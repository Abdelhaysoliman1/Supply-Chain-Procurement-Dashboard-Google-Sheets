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ashboard" sheetId="2" r:id="rId5"/>
  </sheets>
  <definedNames/>
  <calcPr/>
  <extLst>
    <ext uri="GoogleSheetsCustomDataVersion2">
      <go:sheetsCustomData xmlns:go="http://customooxmlschemas.google.com/" r:id="rId6" roundtripDataChecksum="TRNN3etr1FWreZVPvEUNWbHGYwUvGDWIjaYzM8B/RrQ="/>
    </ext>
  </extLst>
</workbook>
</file>

<file path=xl/sharedStrings.xml><?xml version="1.0" encoding="utf-8"?>
<sst xmlns="http://schemas.openxmlformats.org/spreadsheetml/2006/main" count="3779" uniqueCount="700">
  <si>
    <t>Project Name</t>
  </si>
  <si>
    <t>Supplier</t>
  </si>
  <si>
    <t>Product</t>
  </si>
  <si>
    <t>Quantity</t>
  </si>
  <si>
    <t>Unit Price</t>
  </si>
  <si>
    <t>Total</t>
  </si>
  <si>
    <t>Start Date</t>
  </si>
  <si>
    <t>Project Duration (Weeks)</t>
  </si>
  <si>
    <t>Deadline</t>
  </si>
  <si>
    <t>Payment Status</t>
  </si>
  <si>
    <t>Status</t>
  </si>
  <si>
    <t>DateOK</t>
  </si>
  <si>
    <t>MatchAll</t>
  </si>
  <si>
    <t>MatchExclProduct</t>
  </si>
  <si>
    <t>MatchExclSupplier</t>
  </si>
  <si>
    <t>MatchExclStatus</t>
  </si>
  <si>
    <t>MatchExclProject</t>
  </si>
  <si>
    <t>MatchExclPayment</t>
  </si>
  <si>
    <t>RowIdx</t>
  </si>
  <si>
    <t>ProjectList</t>
  </si>
  <si>
    <t>SupplierList</t>
  </si>
  <si>
    <t>ProductList</t>
  </si>
  <si>
    <t>FRA</t>
  </si>
  <si>
    <t>Wireless dynamics</t>
  </si>
  <si>
    <t>TC 56 handheld</t>
  </si>
  <si>
    <t>Not Paid</t>
  </si>
  <si>
    <t>Completed</t>
  </si>
  <si>
    <t>All</t>
  </si>
  <si>
    <t>Fusion</t>
  </si>
  <si>
    <t>[5118.001.01] ID MAX.U500i-EU Compact UHF Access Control Re</t>
  </si>
  <si>
    <t>Advance Payment</t>
  </si>
  <si>
    <t>Pending</t>
  </si>
  <si>
    <t>ATC</t>
  </si>
  <si>
    <t xml:space="preserve"> MET QR Code Scanner</t>
  </si>
  <si>
    <t>Metalcraft</t>
  </si>
  <si>
    <t>EU Universal tags</t>
  </si>
  <si>
    <t>Fully Paid</t>
  </si>
  <si>
    <t>In Progress</t>
  </si>
  <si>
    <t>El Kasr</t>
  </si>
  <si>
    <t>ATID</t>
  </si>
  <si>
    <t>(SBH01) Barrier Beam Connection piece Flange</t>
  </si>
  <si>
    <t>Dipole</t>
  </si>
  <si>
    <t>Dogbone</t>
  </si>
  <si>
    <t>Harvest</t>
  </si>
  <si>
    <t>Avery Dennison/Dipole</t>
  </si>
  <si>
    <t>15 coaxial cable</t>
  </si>
  <si>
    <t>Jarltech</t>
  </si>
  <si>
    <t>FX9600 Reader</t>
  </si>
  <si>
    <t>Delayed</t>
  </si>
  <si>
    <t>Lavista Patios</t>
  </si>
  <si>
    <t>Confidex</t>
  </si>
  <si>
    <t>70 coaxial cable</t>
  </si>
  <si>
    <t>AN480 Antenna</t>
  </si>
  <si>
    <t>Layan</t>
  </si>
  <si>
    <t>Cube</t>
  </si>
  <si>
    <t>[14229] Paper tags (Dogbone) Blank</t>
  </si>
  <si>
    <t>Local</t>
  </si>
  <si>
    <t>Protection cap</t>
  </si>
  <si>
    <t>Majid El futtaim</t>
  </si>
  <si>
    <t xml:space="preserve">[14229] Paper tags (Dogbone) Blank		</t>
  </si>
  <si>
    <t>Antenna Stand</t>
  </si>
  <si>
    <t>مخازن وزارة الصحة</t>
  </si>
  <si>
    <t>El Nekheely</t>
  </si>
  <si>
    <t>[3199.000.00] ID ISC.ANT.U270/270-EU Antenna UHF</t>
  </si>
  <si>
    <t>Feig</t>
  </si>
  <si>
    <t>Jewelry tags</t>
  </si>
  <si>
    <t>Telal Elsahel</t>
  </si>
  <si>
    <t>FAAC</t>
  </si>
  <si>
    <t>[3908425] SkinPack 615 Barrier</t>
  </si>
  <si>
    <t>Printer CT4LX</t>
  </si>
  <si>
    <t>El Kasr Jewelry</t>
  </si>
  <si>
    <t>FEIG</t>
  </si>
  <si>
    <t>[4127.001.01] ID ISC.LRU1002-EU Fixed UHF Long Range Reader (ID LRU1002-EU)</t>
  </si>
  <si>
    <t>Ribbons</t>
  </si>
  <si>
    <t>El Patio</t>
  </si>
  <si>
    <t>[4245985] GR, EXT release standard 615</t>
  </si>
  <si>
    <t>LRU1002</t>
  </si>
  <si>
    <t>Bellagio</t>
  </si>
  <si>
    <t>[5118.001.01] ID MAX.U500i-EU</t>
  </si>
  <si>
    <t>Antenna</t>
  </si>
  <si>
    <t>AlBurouj</t>
  </si>
  <si>
    <t>IPS</t>
  </si>
  <si>
    <t>AT907</t>
  </si>
  <si>
    <t>Suez Canal Bank</t>
  </si>
  <si>
    <t>[5118.001.01] ID MAX.U500i-EU Compact UHF Access Control Reader with integrated Antenna</t>
  </si>
  <si>
    <t>koodle</t>
  </si>
  <si>
    <t>RFID Desktop Printer with Feeder- (CT4LX)</t>
  </si>
  <si>
    <t>Akoya</t>
  </si>
  <si>
    <t>jarltech</t>
  </si>
  <si>
    <t>[5400.001.01] ID ANT1710/690-A Crystal Gate Wave "Base"</t>
  </si>
  <si>
    <t>The tag factory</t>
  </si>
  <si>
    <t>Ribbons for the printer</t>
  </si>
  <si>
    <t>Marshmallow</t>
  </si>
  <si>
    <t>[5401.001.01] ID ANT1710/690-B Crystal Gate Wave</t>
  </si>
  <si>
    <t>Karma</t>
  </si>
  <si>
    <t>Koodle</t>
  </si>
  <si>
    <t>[7080435] cylinder joint 615</t>
  </si>
  <si>
    <t>Dogbone tags</t>
  </si>
  <si>
    <t>Geera</t>
  </si>
  <si>
    <t>[7128035] cylinder lock</t>
  </si>
  <si>
    <t>EU Universal tags- Blank</t>
  </si>
  <si>
    <t>Jewar</t>
  </si>
  <si>
    <t>[713002] 402 release key</t>
  </si>
  <si>
    <t>zebra</t>
  </si>
  <si>
    <t>Hang tags</t>
  </si>
  <si>
    <t>El Nakheel</t>
  </si>
  <si>
    <t>Metalcraft/ Thabet</t>
  </si>
  <si>
    <t>[ACG8065] Pair of columns for FIT SLIM photocells</t>
  </si>
  <si>
    <t>Dest windshield tags</t>
  </si>
  <si>
    <t>Radisson Blue</t>
  </si>
  <si>
    <t>Minamark</t>
  </si>
  <si>
    <t>[ACG8502] RIB Boom arm 4 m. - Ø80mm</t>
  </si>
  <si>
    <t>Rich</t>
  </si>
  <si>
    <t>Prometeon</t>
  </si>
  <si>
    <t>OGTech Dubai</t>
  </si>
  <si>
    <t>[BA04011] Mechanical Stopper</t>
  </si>
  <si>
    <t>SIDC</t>
  </si>
  <si>
    <t>Perkotek</t>
  </si>
  <si>
    <t xml:space="preserve">[CEL1425] Capacitor 230v </t>
  </si>
  <si>
    <t>MaxU1002</t>
  </si>
  <si>
    <t>SLR-RFID</t>
  </si>
  <si>
    <t>Promojet</t>
  </si>
  <si>
    <t xml:space="preserve">[CEL1425] Capacitor 230v        </t>
  </si>
  <si>
    <t>Antenna 270/270 U</t>
  </si>
  <si>
    <t>Enova</t>
  </si>
  <si>
    <t>RIB</t>
  </si>
  <si>
    <t>[EG-437750582-001] LF Cards- Printed</t>
  </si>
  <si>
    <t>RFID Destructive WINDSHIELD Tags Printed</t>
  </si>
  <si>
    <t>Semiramis</t>
  </si>
  <si>
    <t>[OG-00170] UHF cards- printed</t>
  </si>
  <si>
    <t>AIB</t>
  </si>
  <si>
    <t>RICH RFID</t>
  </si>
  <si>
    <t>[OG-00202] EU-Universal Tags (On Metal Tags)</t>
  </si>
  <si>
    <t>Obour Institute</t>
  </si>
  <si>
    <t>RICHRFID</t>
  </si>
  <si>
    <t>[OG-00209] Silver Barcode Labels (50mm * 25mm)</t>
  </si>
  <si>
    <t>AUBE</t>
  </si>
  <si>
    <t>SATO</t>
  </si>
  <si>
    <t>[OG-00215] M-Crown RFID Hard Tags</t>
  </si>
  <si>
    <t>Lavista</t>
  </si>
  <si>
    <t>sato</t>
  </si>
  <si>
    <t>[OG-00346] GDS - 410-MF QR Scanner</t>
  </si>
  <si>
    <t>Sato Printer</t>
  </si>
  <si>
    <t>Select</t>
  </si>
  <si>
    <t>Smartrac</t>
  </si>
  <si>
    <t>[OG-00348] FAAC Barrier B680 5 Meters</t>
  </si>
  <si>
    <t>LoutesTex</t>
  </si>
  <si>
    <t>Stock</t>
  </si>
  <si>
    <t>[OG-00382] MET QR Code Scanner</t>
  </si>
  <si>
    <t>Destructive WINDSHIELD Tags- (New Logo)</t>
  </si>
  <si>
    <t>Stone Park</t>
  </si>
  <si>
    <t>Tag factory</t>
  </si>
  <si>
    <t>[OG-00384] Destructive Windshield Tag-printed</t>
  </si>
  <si>
    <t>Destructive WINDSHIELD Tags- (Old Logo)</t>
  </si>
  <si>
    <t>TMG</t>
  </si>
  <si>
    <t>TANSA</t>
  </si>
  <si>
    <t>[OG-00700] Boom Arm 4m FAAC B680</t>
  </si>
  <si>
    <t>Coaxial 4m</t>
  </si>
  <si>
    <t>El-Marwa</t>
  </si>
  <si>
    <t>Tech-Electrique</t>
  </si>
  <si>
    <t>[RC9017-4] UHF jewelry tag with NXP Ucode 8</t>
  </si>
  <si>
    <t>Coaxial 3m</t>
  </si>
  <si>
    <t>Nissan</t>
  </si>
  <si>
    <t>[RFID-1677-1] Destructive Windshield Tags</t>
  </si>
  <si>
    <t>Coaxial 10m</t>
  </si>
  <si>
    <t>Hadayek El Ferdous</t>
  </si>
  <si>
    <t>[WWCL05100] CUTTER KIT</t>
  </si>
  <si>
    <t>Coaxial 13m</t>
  </si>
  <si>
    <t>Obour institute</t>
  </si>
  <si>
    <t>[WWCT03243] CT4−LX TT203 RFID UHF Printer</t>
  </si>
  <si>
    <t>FAAC Gate B614- 4m</t>
  </si>
  <si>
    <t>Obour university</t>
  </si>
  <si>
    <t>[WWFX31243] FX3-LX SATO Food Printer</t>
  </si>
  <si>
    <t>Control Board of Barrier FAAC B614</t>
  </si>
  <si>
    <t>Tanmyah</t>
  </si>
  <si>
    <t>[Y10110600011] Special Ribbons for SATO Desktop Printer</t>
  </si>
  <si>
    <t>FAAC Boom- 3m</t>
  </si>
  <si>
    <t>La Hacienda</t>
  </si>
  <si>
    <t>[Zebra Z-ULTIMATE 3000T] 3000T WHITE 82.55 x 37.3062 outside core Diameter 31.75, Labels per Roll 2000</t>
  </si>
  <si>
    <t>Automatic switch</t>
  </si>
  <si>
    <t>Marina</t>
  </si>
  <si>
    <t>A5 Paper Sticker Label - Blank</t>
  </si>
  <si>
    <t>UHF On metal tags</t>
  </si>
  <si>
    <t>Marbella</t>
  </si>
  <si>
    <t>Adapter 12V</t>
  </si>
  <si>
    <t>El-Shorouk</t>
  </si>
  <si>
    <t>Adapter 24V</t>
  </si>
  <si>
    <t>Max50.10</t>
  </si>
  <si>
    <t>Diamond Palace</t>
  </si>
  <si>
    <t>Adapter and charging cable</t>
  </si>
  <si>
    <t>Power reader 24V</t>
  </si>
  <si>
    <t>Dreamland</t>
  </si>
  <si>
    <t>adaptor12 v</t>
  </si>
  <si>
    <t>Electric lock</t>
  </si>
  <si>
    <t>Maraqia</t>
  </si>
  <si>
    <t>Advantech industrial PC IPC-610H</t>
  </si>
  <si>
    <t>Push button</t>
  </si>
  <si>
    <t>July</t>
  </si>
  <si>
    <t>HF Cards</t>
  </si>
  <si>
    <t>DANLESCO</t>
  </si>
  <si>
    <t>ANT 270</t>
  </si>
  <si>
    <t>MRU102-POE</t>
  </si>
  <si>
    <t>Al Borouj</t>
  </si>
  <si>
    <t>ANT.U290/290</t>
  </si>
  <si>
    <t>spring rubber</t>
  </si>
  <si>
    <t>Amigo</t>
  </si>
  <si>
    <t>Spring blue</t>
  </si>
  <si>
    <t>NASPS</t>
  </si>
  <si>
    <t>Motor body</t>
  </si>
  <si>
    <t>Alzad</t>
  </si>
  <si>
    <t>Limit Switch</t>
  </si>
  <si>
    <t>Antenna stand</t>
  </si>
  <si>
    <t>HUB</t>
  </si>
  <si>
    <t>The Sovereign Fund Of Egypt</t>
  </si>
  <si>
    <t>Anttena</t>
  </si>
  <si>
    <t>Spring Green</t>
  </si>
  <si>
    <t>Katameya heights</t>
  </si>
  <si>
    <t>APC Easy UPS On-Line 1000VA/800W</t>
  </si>
  <si>
    <t>Spring Blue</t>
  </si>
  <si>
    <t>BUE</t>
  </si>
  <si>
    <t>Aruba 124W Switch POE ARUBA - 8 Ports</t>
  </si>
  <si>
    <t xml:space="preserve">Battary </t>
  </si>
  <si>
    <t>Heliopolis Residence</t>
  </si>
  <si>
    <t>AT 909</t>
  </si>
  <si>
    <t>Jeera, Jewar, Jedar</t>
  </si>
  <si>
    <t>at 909</t>
  </si>
  <si>
    <t>Villa Khaled Abu El Naga</t>
  </si>
  <si>
    <t>At 909</t>
  </si>
  <si>
    <t>Silver Barcode Labels
50mm*25mm
Blank
1 Roll includes 1800 labels</t>
  </si>
  <si>
    <t>Lavista 6</t>
  </si>
  <si>
    <t>AT 909-rent</t>
  </si>
  <si>
    <t>Lavista 8</t>
  </si>
  <si>
    <t>Industrial Barcode printer (CL4NX)</t>
  </si>
  <si>
    <t>iscore</t>
  </si>
  <si>
    <t>AT909</t>
  </si>
  <si>
    <t>4 out of 14</t>
  </si>
  <si>
    <t>Mediterranean</t>
  </si>
  <si>
    <t>at909</t>
  </si>
  <si>
    <t>Reefy</t>
  </si>
  <si>
    <t>ATID RFID Handheld - AT909</t>
  </si>
  <si>
    <t>Lavista 5,8,Topaz</t>
  </si>
  <si>
    <t>ATID RFID Handheld AT907</t>
  </si>
  <si>
    <t>MAX.U500I</t>
  </si>
  <si>
    <t>Hadayek El-Ferdous</t>
  </si>
  <si>
    <t>Sodic Club</t>
  </si>
  <si>
    <t>Barcode label (10 * 2 cm) - Blank</t>
  </si>
  <si>
    <t>RW02.10</t>
  </si>
  <si>
    <t>Diar</t>
  </si>
  <si>
    <t>Barcode labels 3500 per roll/ 21000 total</t>
  </si>
  <si>
    <t>UHF Paper tags- Dogbone- Blank</t>
  </si>
  <si>
    <t>Omega</t>
  </si>
  <si>
    <t>Barcode Printer-(SG112-ex)</t>
  </si>
  <si>
    <t>UHF Tags for Metal Assets- RCO7011- Blank</t>
  </si>
  <si>
    <t>SIEMENS</t>
  </si>
  <si>
    <t>Barcode Silver labels 5X2.5cm</t>
  </si>
  <si>
    <t>RFID Hard Tag- M-Crown</t>
  </si>
  <si>
    <t>AAIB</t>
  </si>
  <si>
    <t>Barrier Beam Connection Flange
Part Number SBH01</t>
  </si>
  <si>
    <t>Industrial RFID Printer CL4NX Plus</t>
  </si>
  <si>
    <t>Orascom</t>
  </si>
  <si>
    <t>Resin ribbon- Y10110600364</t>
  </si>
  <si>
    <t>Evergreen</t>
  </si>
  <si>
    <t>Boom 4m - FAAC B615 BPR</t>
  </si>
  <si>
    <t>Handheld- AT907</t>
  </si>
  <si>
    <t>ANOPC</t>
  </si>
  <si>
    <t>Boom-5m</t>
  </si>
  <si>
    <t>1100 out of 5000</t>
  </si>
  <si>
    <t>IDB</t>
  </si>
  <si>
    <t>CL4NX Plus Barcode Printer</t>
  </si>
  <si>
    <t>ID CPR30+ USB</t>
  </si>
  <si>
    <t>1 out of 3</t>
  </si>
  <si>
    <t>Hayat Centric</t>
  </si>
  <si>
    <t>Cleaning Kit- Smart 1</t>
  </si>
  <si>
    <t>Dogbone tags- Pre printed in black&amp;encoded</t>
  </si>
  <si>
    <t>Roya</t>
  </si>
  <si>
    <t>EU Universal tags- Printed</t>
  </si>
  <si>
    <t>HAP</t>
  </si>
  <si>
    <t>Destructive windshield tags- Printed</t>
  </si>
  <si>
    <t>La vista</t>
  </si>
  <si>
    <t>EL Sewedy electric</t>
  </si>
  <si>
    <t>Palm Vein F-Pro</t>
  </si>
  <si>
    <t>AlBorouj</t>
  </si>
  <si>
    <t>Coaxial Cable 20m</t>
  </si>
  <si>
    <t>Tripode Turnstile</t>
  </si>
  <si>
    <t>SLR/hap-town</t>
  </si>
  <si>
    <t>Coaxial Cables</t>
  </si>
  <si>
    <t>SLG</t>
  </si>
  <si>
    <t>Condenser</t>
  </si>
  <si>
    <t>CT4LX Printer with feeder</t>
  </si>
  <si>
    <t>Sia Lagoon</t>
  </si>
  <si>
    <t>Control Board</t>
  </si>
  <si>
    <t>Boyot</t>
  </si>
  <si>
    <t>Control board for Magnetic Toll</t>
  </si>
  <si>
    <t>Doit</t>
  </si>
  <si>
    <t>Head Sub for Cl4NX Plus</t>
  </si>
  <si>
    <t>Elsewedy</t>
  </si>
  <si>
    <t>Platen for Cl4NX Plus</t>
  </si>
  <si>
    <t>Egyptian Steel</t>
  </si>
  <si>
    <t>Cutter Kit for CL4NX Plus Printer</t>
  </si>
  <si>
    <t>GDS410</t>
  </si>
  <si>
    <t>Heliopollis Residence</t>
  </si>
  <si>
    <t>Dell OptiPlex 7020</t>
  </si>
  <si>
    <t>QR Stands</t>
  </si>
  <si>
    <t>DOIT</t>
  </si>
  <si>
    <t>The Sovereign Fund of Egypt</t>
  </si>
  <si>
    <t>Dest windshield tags- Blank</t>
  </si>
  <si>
    <t>Venus Jewelry</t>
  </si>
  <si>
    <t>Dest windshield tags- Blank &amp; Encoding</t>
  </si>
  <si>
    <t>Rapid N-5m</t>
  </si>
  <si>
    <t>Pharma Overseas</t>
  </si>
  <si>
    <t>Dest windshield tags- Blank- Encoded</t>
  </si>
  <si>
    <t>El-Sewedy Electric</t>
  </si>
  <si>
    <t>Dest windshield tags- printed</t>
  </si>
  <si>
    <t>Magnetic Lock</t>
  </si>
  <si>
    <t xml:space="preserve"> Rooya Group</t>
  </si>
  <si>
    <t>Dest windshield tags-blank &amp; encoded</t>
  </si>
  <si>
    <t>ZL Bracket</t>
  </si>
  <si>
    <t>Ballah Resort</t>
  </si>
  <si>
    <t>Destructive Windshield pre</t>
  </si>
  <si>
    <t>Hay Al Worood</t>
  </si>
  <si>
    <t>Destructive Windshield pre printed &amp; encoded</t>
  </si>
  <si>
    <t>Rooya group</t>
  </si>
  <si>
    <t>Destructive Windshield Tag-printed</t>
  </si>
  <si>
    <t>Tripod Turnstile SINGLE UNIT (LTT303A)</t>
  </si>
  <si>
    <t>Shefaa Orman Hospital</t>
  </si>
  <si>
    <t>Destructive Windshield Tags</t>
  </si>
  <si>
    <t>MAX50.10-RE</t>
  </si>
  <si>
    <t>Hassan Allam Properties (HQ)</t>
  </si>
  <si>
    <t>Swing Gate (SG 212)</t>
  </si>
  <si>
    <t>Al Baraka Bank</t>
  </si>
  <si>
    <t>EIM Group</t>
  </si>
  <si>
    <t>Dogbone- printed&amp;encoded</t>
  </si>
  <si>
    <t>Mirage City</t>
  </si>
  <si>
    <t>Destructive Windshield Tags-printed give him 30 tags blank</t>
  </si>
  <si>
    <t>On metal tags- (RCO7012)- printed&amp;encoded</t>
  </si>
  <si>
    <t xml:space="preserve"> Hassan Allam Properties (SLG)</t>
  </si>
  <si>
    <t>Devil 4015 UHF Hard Tag</t>
  </si>
  <si>
    <t>Hassan allam</t>
  </si>
  <si>
    <t>UHF Cards- one side printed</t>
  </si>
  <si>
    <t>90 AVENUE</t>
  </si>
  <si>
    <t>dogbone</t>
  </si>
  <si>
    <t>Rapid S- 3m</t>
  </si>
  <si>
    <t>SpringNova</t>
  </si>
  <si>
    <t>Dogbone - blank</t>
  </si>
  <si>
    <t>Sidc</t>
  </si>
  <si>
    <t>Dogbone blank</t>
  </si>
  <si>
    <t>Hassan Allam (SLR)</t>
  </si>
  <si>
    <t>dogbone printed</t>
  </si>
  <si>
    <t>1189 - Hassan Allam properties (SLN)</t>
  </si>
  <si>
    <t>Dogbone printed&amp;encoded</t>
  </si>
  <si>
    <t>Mall of Egypt</t>
  </si>
  <si>
    <t>Select Jewelry</t>
  </si>
  <si>
    <t>Dogbone Tags</t>
  </si>
  <si>
    <t>City Center Almaza</t>
  </si>
  <si>
    <t>La Vista</t>
  </si>
  <si>
    <t>Dogbone- printed</t>
  </si>
  <si>
    <t>G-Bay</t>
  </si>
  <si>
    <t>Mini web tags</t>
  </si>
  <si>
    <t>Rooya Group</t>
  </si>
  <si>
    <t>Dogbone-printed&amp; encoded</t>
  </si>
  <si>
    <t>Philip Morris</t>
  </si>
  <si>
    <t>LF Cards blank- serial</t>
  </si>
  <si>
    <t>El Shrouk Village</t>
  </si>
  <si>
    <t>Epson TM-T20III</t>
  </si>
  <si>
    <t>AXA OneHealth</t>
  </si>
  <si>
    <t>Ethernet Cable</t>
  </si>
  <si>
    <t>0913 - Sidc - Orascom</t>
  </si>
  <si>
    <t>Axiom Technology</t>
  </si>
  <si>
    <t>GDS410 with stand</t>
  </si>
  <si>
    <t>Japan University of science and technology</t>
  </si>
  <si>
    <t>SkyTex Garments</t>
  </si>
  <si>
    <t>EU Universal tags- printed</t>
  </si>
  <si>
    <t>Tanmeya</t>
  </si>
  <si>
    <t>EU- Universal tags-blank</t>
  </si>
  <si>
    <t>CACC(CARGOLINX)</t>
  </si>
  <si>
    <t>EU-Universal Tags (On Metal Tags)</t>
  </si>
  <si>
    <t>1920- Hardrock Cafe Egypt</t>
  </si>
  <si>
    <t>FAAC 4m Boom for B680</t>
  </si>
  <si>
    <t>Syntegon Technology Ltd</t>
  </si>
  <si>
    <t>Faac 615 Beam 3.3m</t>
  </si>
  <si>
    <t xml:space="preserve">CACC(CARGOLINX) </t>
  </si>
  <si>
    <t>Faac 615 POCKET S</t>
  </si>
  <si>
    <t>Hassan Allam</t>
  </si>
  <si>
    <t>Faac 680 Barrier body (housing)</t>
  </si>
  <si>
    <t>Rapid S 3m</t>
  </si>
  <si>
    <t>Misr Public Library</t>
  </si>
  <si>
    <t>faac 680H control board</t>
  </si>
  <si>
    <t>BANQUE DU CAIRE S.A.E</t>
  </si>
  <si>
    <t>FAAC B614 Barrier 4m</t>
  </si>
  <si>
    <t>HF Cards- double side printed</t>
  </si>
  <si>
    <t>ElAraby Group</t>
  </si>
  <si>
    <t>FAAC B680- 5 Meters</t>
  </si>
  <si>
    <t>Toshiba B-SX8T Spare Printhead</t>
  </si>
  <si>
    <t>Al Burouj</t>
  </si>
  <si>
    <t xml:space="preserve">FAAC Barrier B614- 4 Meters                     </t>
  </si>
  <si>
    <t>RC2005 Tags</t>
  </si>
  <si>
    <t>Bright Information System</t>
  </si>
  <si>
    <t>FAAC Barrier B680- 5 Meters</t>
  </si>
  <si>
    <t>UHF Cards- Serialized</t>
  </si>
  <si>
    <t>FAAC Barrier Model B614 4m</t>
  </si>
  <si>
    <t>rooya group telal</t>
  </si>
  <si>
    <t>Faac Beam 6m with accessories</t>
  </si>
  <si>
    <t>LF Cards- Printed</t>
  </si>
  <si>
    <t>SUNRISE Resorts &amp; Cruises</t>
  </si>
  <si>
    <t>Mechanical stopper</t>
  </si>
  <si>
    <t>EL Kasr</t>
  </si>
  <si>
    <t>Suprema XPass 2 MDPB</t>
  </si>
  <si>
    <t>Iwan Group Jeera</t>
  </si>
  <si>
    <t>Faac oil Unit</t>
  </si>
  <si>
    <t>Bishoy Showroom Sanitary wear</t>
  </si>
  <si>
    <t>FAAC photocell</t>
  </si>
  <si>
    <t>UHF Cards</t>
  </si>
  <si>
    <t>Iwan Group Jewar</t>
  </si>
  <si>
    <t>FAAC Photocell</t>
  </si>
  <si>
    <t>Pushbutton</t>
  </si>
  <si>
    <t>Transmura</t>
  </si>
  <si>
    <t>Feig ID SPAD102</t>
  </si>
  <si>
    <t>Photocell</t>
  </si>
  <si>
    <t>Marakia</t>
  </si>
  <si>
    <t>Feig RFID Handheld PRH200</t>
  </si>
  <si>
    <t>Spring Rubber</t>
  </si>
  <si>
    <t>EL KASR</t>
  </si>
  <si>
    <t>Fixing hub for round boom - Diam. 80mm</t>
  </si>
  <si>
    <t>Photocell with column</t>
  </si>
  <si>
    <t>1260 - Construction management System</t>
  </si>
  <si>
    <t>KIT PRINCE</t>
  </si>
  <si>
    <t>SLX Hassan Allam properties (SLN)</t>
  </si>
  <si>
    <t>M-Crown tags</t>
  </si>
  <si>
    <t>Akoya Compound</t>
  </si>
  <si>
    <t>S01952 - 1616 - Pharma Overseas</t>
  </si>
  <si>
    <t>Limit switch</t>
  </si>
  <si>
    <t>S02032 - 0430 - Marina</t>
  </si>
  <si>
    <t>Handicap Turnstile - Tansa</t>
  </si>
  <si>
    <t>S02100 - 0757 - Hay Al Worood</t>
  </si>
  <si>
    <t>SATO ribbon</t>
  </si>
  <si>
    <t xml:space="preserve"> Nakhla Tobacco co. S.A.E - JTI</t>
  </si>
  <si>
    <t>Sato Resin Ribbons (Y10110600421)</t>
  </si>
  <si>
    <t>International Food &amp; Consumable Goods (IFCG)</t>
  </si>
  <si>
    <t>HF Card - blank</t>
  </si>
  <si>
    <t>STELLA DI MARE SIDI ABDEL RAHMAN RESORT</t>
  </si>
  <si>
    <t>HF Card Mifare "2 side printed"</t>
  </si>
  <si>
    <t>UHF Tags for Metal Assets- (RCO7011)</t>
  </si>
  <si>
    <t>Armed Forces (AlMostakbal City)</t>
  </si>
  <si>
    <t>HF Card Mifare "one side printed"</t>
  </si>
  <si>
    <t xml:space="preserve"> Hassan Allam Properties (SLK)</t>
  </si>
  <si>
    <t>HF Card Mifare - printed</t>
  </si>
  <si>
    <t>UHF tags- RCO7008 printed&amp;encoded</t>
  </si>
  <si>
    <t xml:space="preserve"> Hassan Allam properties (Little Venice)</t>
  </si>
  <si>
    <t>HF card printed</t>
  </si>
  <si>
    <t>Ortho-House</t>
  </si>
  <si>
    <t>HF card- printed</t>
  </si>
  <si>
    <t>Fourtex, Sharabati Denim</t>
  </si>
  <si>
    <t>HF card-printed</t>
  </si>
  <si>
    <t>1076 - Nakhla Tobacco co- JTI</t>
  </si>
  <si>
    <t>HF card-printed-one sided</t>
  </si>
  <si>
    <t>S02001 - 0882 - Diamond Palace</t>
  </si>
  <si>
    <t>S02285 - 1356 - Venus Jewelry</t>
  </si>
  <si>
    <t>HF Cards- Blank</t>
  </si>
  <si>
    <t xml:space="preserve">S02293 - 324-STELLA </t>
  </si>
  <si>
    <t>S02309 - 1116-Nacita</t>
  </si>
  <si>
    <t>HF cards- printed</t>
  </si>
  <si>
    <t>S02140 - 1189 - Hassan Allam Properties (HQ)</t>
  </si>
  <si>
    <t>Honeywell bracket</t>
  </si>
  <si>
    <t>S01690 - 0279 - ElNakheel Compound</t>
  </si>
  <si>
    <t>S02331 - 1495 - Select Jewelry</t>
  </si>
  <si>
    <t>ID ANT.U290/290-EU Robust UHF Long Range Antenna</t>
  </si>
  <si>
    <t>Motor repair</t>
  </si>
  <si>
    <t>S02315 - 0359 - Egyptian Steel</t>
  </si>
  <si>
    <t>MAX50.10 instead of CPR50.10-RE</t>
  </si>
  <si>
    <t>S02346 - 1189 - Hassan Allam properties (SLN)</t>
  </si>
  <si>
    <t>ID ISC.ANT.U270/270-EU UHF Antenna</t>
  </si>
  <si>
    <t>TP 201-S model waist height turnstile</t>
  </si>
  <si>
    <t>S02376 - 0430 - Marina</t>
  </si>
  <si>
    <t>ID MAX.U500i-EU Compact UHF</t>
  </si>
  <si>
    <t xml:space="preserve">MEX-430 magnetic lock </t>
  </si>
  <si>
    <t>S02382 - 0030 - La Vista</t>
  </si>
  <si>
    <t>ID MAX50.10-RE Proximity Reader</t>
  </si>
  <si>
    <t>Push buttons</t>
  </si>
  <si>
    <t>S02332 - 1377 - Premiere Casing Services</t>
  </si>
  <si>
    <t>ID MAX50.10-RE with Relay</t>
  </si>
  <si>
    <t>S02381 - 1832 - Ballah Resort</t>
  </si>
  <si>
    <t>ID SPAD.U-USB-EU UHF Shielded Pad Reader</t>
  </si>
  <si>
    <t>S02384 - 0285 - Dreamland</t>
  </si>
  <si>
    <t>S02397 - 324-STELLA DI MARE SIDI ABDEL RAHMAN RESORT</t>
  </si>
  <si>
    <t>Industrial printer- CL4NX</t>
  </si>
  <si>
    <t>S02432 - 0800 - Cairo University</t>
  </si>
  <si>
    <t>S02452 - 1116-Nacita</t>
  </si>
  <si>
    <t>S02467 - 0913 - Sidc - Orascom</t>
  </si>
  <si>
    <t>S02490 - 1799-EIM Group</t>
  </si>
  <si>
    <t>KMTRonic</t>
  </si>
  <si>
    <t xml:space="preserve">Protection Cap </t>
  </si>
  <si>
    <t>S02504 - 0195 - Roya Group</t>
  </si>
  <si>
    <t xml:space="preserve">KMtronic </t>
  </si>
  <si>
    <t>S02516 - 0195 - Roya Group</t>
  </si>
  <si>
    <t>Laundry Tag</t>
  </si>
  <si>
    <t>Ribbons for the printer- (R333A)</t>
  </si>
  <si>
    <t>S02207 - 0195 - Roya Group</t>
  </si>
  <si>
    <t>S02447 - 0430 - Marina</t>
  </si>
  <si>
    <t>S02464 - 1189 - Hassan Allam properties (SLN)</t>
  </si>
  <si>
    <t>Red housing Complete cover for B680</t>
  </si>
  <si>
    <t>S02438 - 1189 - Hassan Allam Properties (HQ)</t>
  </si>
  <si>
    <t>RAM 8GB</t>
  </si>
  <si>
    <t>460- VFS Global</t>
  </si>
  <si>
    <t>loop cable</t>
  </si>
  <si>
    <t>SSD Hard 512GB</t>
  </si>
  <si>
    <t>0027 - El-Sewedy Electric</t>
  </si>
  <si>
    <t xml:space="preserve">loop caple </t>
  </si>
  <si>
    <t>S02543 - 0030 - La Vista</t>
  </si>
  <si>
    <t>LR5-LAN Tower Lamp</t>
  </si>
  <si>
    <t>Pm75 upgraded to 85</t>
  </si>
  <si>
    <t>S02418 - 1342 - Mirage City</t>
  </si>
  <si>
    <t>LRU 1002</t>
  </si>
  <si>
    <t>S02534 - 324-STELLA DI MARE SIDI ABDEL RAHMAN RESORT</t>
  </si>
  <si>
    <t xml:space="preserve">LRU 1002 </t>
  </si>
  <si>
    <t>S02519 - 1707 - 57357 Hospital</t>
  </si>
  <si>
    <t>LRU 4000 UHF</t>
  </si>
  <si>
    <t>S02607 - 1189 - Hassan Allam Properties (HAPtown)</t>
  </si>
  <si>
    <t>S02485 - 1979-Mazarine</t>
  </si>
  <si>
    <t>LRU1002 UHF Reader with 1 Antenna Kit</t>
  </si>
  <si>
    <t>S02651 - 0430 - Marina</t>
  </si>
  <si>
    <t>LRU1002 UHF Reader with 2 Antennas Kit</t>
  </si>
  <si>
    <t>S02622 - 1888-El Abd</t>
  </si>
  <si>
    <t>LRU1002 UHF Reader with 4 Antennas Kit</t>
  </si>
  <si>
    <t>Ribbons-(Y10110600370)</t>
  </si>
  <si>
    <t>1996-Hourof Company</t>
  </si>
  <si>
    <t>LRU4000 UHF Fixed Reader</t>
  </si>
  <si>
    <t>S02661 - 1189 - Hassan Allam Properties (HQ)</t>
  </si>
  <si>
    <t>LRU4000 UHF Reader with 2 Antennas Kit</t>
  </si>
  <si>
    <t>RCO7008 on metal printed</t>
  </si>
  <si>
    <t>S02642 - 0030 - La Vista</t>
  </si>
  <si>
    <t>LRU4000 UHF Reader with 4 Antennas Kit</t>
  </si>
  <si>
    <t>LRU4000 UHF with 3 antennas Kit</t>
  </si>
  <si>
    <t>M-Crown RFID Hard Tag</t>
  </si>
  <si>
    <t xml:space="preserve">M-Crown RFID Hard Tag </t>
  </si>
  <si>
    <t>Web paper tags</t>
  </si>
  <si>
    <t>M-Crown RFID Hard Tags</t>
  </si>
  <si>
    <t>RCO7012 tags- Blank</t>
  </si>
  <si>
    <t>Silver labels (1500 label each)</t>
  </si>
  <si>
    <t>Magnetic Access Pro Barrier</t>
  </si>
  <si>
    <t>UHF Tags for Metal Assets (RCO7012)</t>
  </si>
  <si>
    <t>Magnetic Access Pro Boom 6m</t>
  </si>
  <si>
    <t>UHF RFID Paper Tags (Dogbone)</t>
  </si>
  <si>
    <t>Magnetic Toll Barrier</t>
  </si>
  <si>
    <t>RFID UHF Handheld (AT907)</t>
  </si>
  <si>
    <t>Magnetic Toll barrier boom 3 meters</t>
  </si>
  <si>
    <t>Magnetic Toll Barrier boom 3 meters</t>
  </si>
  <si>
    <t>max 50.10</t>
  </si>
  <si>
    <t>MAX 50.10</t>
  </si>
  <si>
    <t>Switch 5 port</t>
  </si>
  <si>
    <t>Protection Cap</t>
  </si>
  <si>
    <t>QR Scanners</t>
  </si>
  <si>
    <t>Maxim hi techmour</t>
  </si>
  <si>
    <t>Paper Label roll, 15X20cm, 500 label each roll</t>
  </si>
  <si>
    <t>MET QR Code Scanner</t>
  </si>
  <si>
    <t>RFID Destructive WINDSHIELD Tags/Printed</t>
  </si>
  <si>
    <t xml:space="preserve">MEX-430 Magnetic lock </t>
  </si>
  <si>
    <t>MEX-430 Magnetic lock &amp; braket</t>
  </si>
  <si>
    <t>QR Reader for entry lane only</t>
  </si>
  <si>
    <t>Mifare HF cards:
Pre-printed&amp;Pre-encoded</t>
  </si>
  <si>
    <t>Stand (2.4 to 3M)</t>
  </si>
  <si>
    <t>Monitor with mouse &amp; Keyboard</t>
  </si>
  <si>
    <t>Photocell with columns</t>
  </si>
  <si>
    <t>on metal tags</t>
  </si>
  <si>
    <t>UHF Paper tags for Non-Metal Assets (Dogbone)</t>
  </si>
  <si>
    <t>RCO7012 On-metal tags</t>
  </si>
  <si>
    <t>Optical Flap Turnstile DS312 - Daosafe</t>
  </si>
  <si>
    <t>Printer CL4NX Plus</t>
  </si>
  <si>
    <t>Paper label 155mm X 300mm 500labels/Roll</t>
  </si>
  <si>
    <t>Paper tags (Dogbone) Blank</t>
  </si>
  <si>
    <t>Zebra 800011-140 Color Ribbon YMCKO</t>
  </si>
  <si>
    <t>Paper tags (Dogbone) Printed</t>
  </si>
  <si>
    <t>Paper tags Dogbone Printed</t>
  </si>
  <si>
    <t>UHF cards:
Pre-printed&amp;Pre-encoded</t>
  </si>
  <si>
    <t>PC with Touch screen</t>
  </si>
  <si>
    <t>RIB Barrier Rapid S (4m boom)</t>
  </si>
  <si>
    <t>PerkoTEK AVAX V90 Swing gate turnstile.</t>
  </si>
  <si>
    <t>Zebra Ribbon Roll</t>
  </si>
  <si>
    <t>Zebra Rattail Label Tag</t>
  </si>
  <si>
    <t>R333A Ribbons</t>
  </si>
  <si>
    <t>UHF jewelry tag with NXP Ucode 8</t>
  </si>
  <si>
    <t>RFID Industrial Printer CL4NX Plus</t>
  </si>
  <si>
    <t>Ribbons for SATO Industrial Printer</t>
  </si>
  <si>
    <t>POWER SUPPLY 12 V 5A</t>
  </si>
  <si>
    <t>power supply for magnetic toll</t>
  </si>
  <si>
    <t>RFID UHF Handheld (2 AT907) 1 AT909</t>
  </si>
  <si>
    <t>RFID Industrial printer (CL4NX)</t>
  </si>
  <si>
    <t>Printer Stand</t>
  </si>
  <si>
    <t>Ribbons 110mm x 450m</t>
  </si>
  <si>
    <t>RCO7012</t>
  </si>
  <si>
    <t>RCO7006</t>
  </si>
  <si>
    <t>push button</t>
  </si>
  <si>
    <t>Somax Tripod turnstile</t>
  </si>
  <si>
    <t>Push Button</t>
  </si>
  <si>
    <t>7 got 4 only</t>
  </si>
  <si>
    <t xml:space="preserve">Push to exit button </t>
  </si>
  <si>
    <t>ZKTeco CMP200 Barrier</t>
  </si>
  <si>
    <t>QR Code Scanner</t>
  </si>
  <si>
    <t>QR Stand</t>
  </si>
  <si>
    <t>QR Reader</t>
  </si>
  <si>
    <t>TP 201-S WAIST HEIGHT TURNSTILE</t>
  </si>
  <si>
    <t>QR scanner</t>
  </si>
  <si>
    <t>RFID Destructive WINDSHIELD Tag</t>
  </si>
  <si>
    <t>QR Scanner</t>
  </si>
  <si>
    <t>RFID Destructive Windshield Tags</t>
  </si>
  <si>
    <t>Rapid N 5m Kit</t>
  </si>
  <si>
    <t>Rapid S 4m Kit</t>
  </si>
  <si>
    <t>Resin Ribbon SATO R333A (273mmx210m)</t>
  </si>
  <si>
    <t>RCO -7012 blank</t>
  </si>
  <si>
    <t>RCO -7012 printed&amp; encoded</t>
  </si>
  <si>
    <t>RFID Industrial Printer CL4NX Plus Kit</t>
  </si>
  <si>
    <t>Rco 7012- blank</t>
  </si>
  <si>
    <t>RCO-7012 - Blank</t>
  </si>
  <si>
    <t>RCO7012-Blank</t>
  </si>
  <si>
    <t>Rich tags (RCO7012) Printed</t>
  </si>
  <si>
    <t>rco7012</t>
  </si>
  <si>
    <t>RCO7012  - blank</t>
  </si>
  <si>
    <t>WWCLP202NSP SATO Printer</t>
  </si>
  <si>
    <t>RCO7012- printed</t>
  </si>
  <si>
    <t>Zebra DS3678 Barcode Reader</t>
  </si>
  <si>
    <t>RCO7012-blank</t>
  </si>
  <si>
    <t>Reader Stand+Mounting Set</t>
  </si>
  <si>
    <t>Receipt printer</t>
  </si>
  <si>
    <t>Resin Ribbon SATO - R333A(273mmx210m)</t>
  </si>
  <si>
    <t>Ribbons Industrial Printer: 110mm x 450m</t>
  </si>
  <si>
    <t>RFD8500 SLED</t>
  </si>
  <si>
    <t>Rittal PC Enclosure and Cooling Unit</t>
  </si>
  <si>
    <t>Zebra 105999-701 Feeder Cleaning Cards for ZXP Series 7</t>
  </si>
  <si>
    <t>Zebra 105999-701 Print Path Cleaning Cards for ZXP Series 7</t>
  </si>
  <si>
    <t>RFID Industrial Printer (CL4NX)</t>
  </si>
  <si>
    <t>stand</t>
  </si>
  <si>
    <t>Rib boom 5m</t>
  </si>
  <si>
    <t>RIB Cover Board [BA01510] without metal plate</t>
  </si>
  <si>
    <t>100 m</t>
  </si>
  <si>
    <t>Ribbon Size: 110 mm x 450 m</t>
  </si>
  <si>
    <t>Ribbons for SATO Desktop Printer</t>
  </si>
  <si>
    <t>Ribbons for SATO Industrial Printer 110mm × 450m</t>
  </si>
  <si>
    <t>Ribbons for the printer Size: 110 mm x 450 m</t>
  </si>
  <si>
    <t>Ribbons for the printer(R333A) 110mm x 74m</t>
  </si>
  <si>
    <t>Sato unwinder unit for SG112-EX SATO printer</t>
  </si>
  <si>
    <t>Rich tags (RCO7012) Blank</t>
  </si>
  <si>
    <t xml:space="preserve">Rich tags (RCO7012) Printed </t>
  </si>
  <si>
    <t xml:space="preserve">S150 Tripod Drop Arm Turnstile - Perkotek </t>
  </si>
  <si>
    <t>S84NX Sato Printer</t>
  </si>
  <si>
    <t>Samsung 50-inch 4K UHD Crystal Smart TV - 50DU7000</t>
  </si>
  <si>
    <t>SATO DT Film for FX3-LX Printer T1062000011
-Size:  40mm (P) x 40mm (W)
- 500 pcs per roll</t>
  </si>
  <si>
    <t>Self-Check Kiosk</t>
  </si>
  <si>
    <t>Silver Barcode Labels (50mm * 25mm)- printed</t>
  </si>
  <si>
    <t>Zebra Ribbon YMCKO for ZC350</t>
  </si>
  <si>
    <t>Silver Barcode labels 1500</t>
  </si>
  <si>
    <t>SKINPACK 615 BPR BARRIER - FAAC</t>
  </si>
  <si>
    <t>Spad 102</t>
  </si>
  <si>
    <t>ZXP series 7 Card Printer</t>
  </si>
  <si>
    <t>Zebra YMCKO Ribbon for ZXP series 7 printer (750 Image/roll)</t>
  </si>
  <si>
    <t>1328+40</t>
  </si>
  <si>
    <t>400 instead of 300</t>
  </si>
  <si>
    <t>TWN4 Multi Tech 2 LF/HF reader with PI</t>
  </si>
  <si>
    <t>TCST2103 Optical Sensor</t>
  </si>
  <si>
    <t>Web paper tags (M730) Blank</t>
  </si>
  <si>
    <t>UHF- printed</t>
  </si>
  <si>
    <t>Tripod Tansa Turnstile LTT303 A control Board</t>
  </si>
  <si>
    <t>UHF card printed</t>
  </si>
  <si>
    <t>UHF Laundry Tag Hydro LA421</t>
  </si>
  <si>
    <t>UHF RFID Paper Tags (SHORTDIPOLE)</t>
  </si>
  <si>
    <t>windshield</t>
  </si>
  <si>
    <t>ZC300 Card Printer - Single Sided</t>
  </si>
  <si>
    <t>ZC300 Card Ribbon - YMCKOK</t>
  </si>
  <si>
    <t>Zebra DS2208 Handheld 2D Imager Scanner</t>
  </si>
  <si>
    <t>Zebra DS8108 Barcode Scanner</t>
  </si>
  <si>
    <t>ZKTeco SpeedFace M4</t>
  </si>
  <si>
    <t>200m</t>
  </si>
  <si>
    <t>TOTAL</t>
  </si>
  <si>
    <t>Total Quantity:</t>
  </si>
  <si>
    <t>Total Value:</t>
  </si>
  <si>
    <t>📊 Project Procurement Tracker Dashboard</t>
  </si>
  <si>
    <t>Supply Chain Planning &amp; Procurement Insights</t>
  </si>
  <si>
    <t>📦 TOTAL QUANTITY</t>
  </si>
  <si>
    <t>📄 TOTAL ORDERS</t>
  </si>
  <si>
    <t>🏢 SELECTED SUPPLIER</t>
  </si>
  <si>
    <t>📁 SELECTED PROJECT</t>
  </si>
  <si>
    <t>📅 SELECTED START DATE RANGE</t>
  </si>
  <si>
    <t>🔍  Filters</t>
  </si>
  <si>
    <t>Quantity by Product</t>
  </si>
  <si>
    <t>Category</t>
  </si>
  <si>
    <t>Project Status</t>
  </si>
  <si>
    <t>Start Date From</t>
  </si>
  <si>
    <t>Start Date To</t>
  </si>
  <si>
    <t>📊 Quantity by Product</t>
  </si>
  <si>
    <t>📊 Quantity by Supplier</t>
  </si>
  <si>
    <t>📊 Quantity by Project Status</t>
  </si>
  <si>
    <t>📊 Quantity by Payment Status</t>
  </si>
  <si>
    <t>📈 Top 10 Projects by Quantity</t>
  </si>
  <si>
    <t>📋 Filtered Order Detail</t>
  </si>
  <si>
    <t>Quantity by Supplier</t>
  </si>
  <si>
    <t>Quantity by Project Status</t>
  </si>
  <si>
    <t>Quantity by Payment Status</t>
  </si>
  <si>
    <t>Partial Payment</t>
  </si>
  <si>
    <t>Quantity by Project (full list)</t>
  </si>
  <si>
    <t>Top 10 Projects by Quantity</t>
  </si>
  <si>
    <t>TieBreak</t>
  </si>
  <si>
    <t>↑ Chart source data (auto-updates with filters)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</si>
</sst>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"/>
    <numFmt numFmtId="165" formatCode="dd/mm/yyyy"/>
    <numFmt numFmtId="166" formatCode="mm/dd/yyyy"/>
  </numFmts>
  <fonts count="23">
    <font>
      <sz val="11.0"/>
      <color theme="1"/>
      <name val="Calibri"/>
      <scheme val="minor"/>
    </font>
    <font>
      <b/>
      <sz val="10.0"/>
      <color rgb="FFFFFFFF"/>
      <name val="Calibri"/>
    </font>
    <font>
      <b/>
      <sz val="9.0"/>
      <color rgb="FF5A5A5A"/>
      <name val="Calibri"/>
    </font>
    <font>
      <sz val="10.0"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theme="1"/>
      <name val="FreeSans"/>
    </font>
    <font>
      <sz val="10.0"/>
      <color theme="1"/>
      <name val="FreeSans"/>
    </font>
    <font>
      <color theme="1"/>
      <name val="Calibri"/>
    </font>
    <font>
      <b/>
      <sz val="11.0"/>
      <color rgb="FFFFFFFF"/>
      <name val="Calibri"/>
    </font>
    <font>
      <b/>
      <sz val="22.0"/>
      <color rgb="FFFFFFFF"/>
      <name val="Calibri"/>
    </font>
    <font/>
    <font>
      <i/>
      <sz val="11.0"/>
      <color rgb="FF5A5A5A"/>
      <name val="Calibri"/>
    </font>
    <font>
      <b/>
      <sz val="9.0"/>
      <color rgb="FFFFFFFF"/>
      <name val="Calibri"/>
    </font>
    <font>
      <b/>
      <sz val="14.0"/>
      <color rgb="FF1F3864"/>
      <name val="Calibri"/>
    </font>
    <font>
      <b/>
      <sz val="13.0"/>
      <color rgb="FF1F3864"/>
      <name val="Calibri"/>
    </font>
    <font>
      <b/>
      <sz val="10.0"/>
      <color rgb="FF5A5A5A"/>
      <name val="Calibri"/>
    </font>
    <font>
      <b/>
      <sz val="10.0"/>
      <color rgb="FF1F3864"/>
      <name val="Calibri"/>
    </font>
    <font>
      <sz val="9.0"/>
      <color theme="1"/>
      <name val="Calibri"/>
    </font>
    <font>
      <b/>
      <sz val="12.0"/>
      <color rgb="FF1F3864"/>
      <name val="Calibri"/>
    </font>
    <font>
      <sz val="8.0"/>
      <color rgb="FF5A5A5A"/>
      <name val="Calibri"/>
    </font>
    <font>
      <sz val="9.0"/>
      <color theme="1"/>
      <name val="FreeSans"/>
    </font>
    <font>
      <i/>
      <sz val="8.0"/>
      <color rgb="FF5A5A5A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EF3FA"/>
        <bgColor rgb="FFEEF3FA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</fills>
  <borders count="11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/>
      <right/>
      <top/>
      <bottom/>
    </border>
    <border>
      <left/>
      <top/>
      <bottom/>
    </border>
    <border>
      <top/>
      <bottom/>
    </border>
    <border>
      <left style="medium">
        <color rgb="FF2E75B6"/>
      </left>
      <top style="medium">
        <color rgb="FF2E75B6"/>
      </top>
      <bottom style="medium">
        <color rgb="FF2E75B6"/>
      </bottom>
    </border>
    <border>
      <right style="medium">
        <color rgb="FF2E75B6"/>
      </right>
      <top style="medium">
        <color rgb="FF2E75B6"/>
      </top>
      <bottom style="medium">
        <color rgb="FF2E75B6"/>
      </bottom>
    </border>
    <border>
      <left style="medium">
        <color rgb="FF2E75B6"/>
      </left>
      <top style="medium">
        <color rgb="FF2E75B6"/>
      </top>
    </border>
    <border>
      <right style="medium">
        <color rgb="FF2E75B6"/>
      </right>
      <top style="medium">
        <color rgb="FF2E75B6"/>
      </top>
    </border>
    <border>
      <left style="medium">
        <color rgb="FF2E75B6"/>
      </left>
      <bottom style="medium">
        <color rgb="FF2E75B6"/>
      </bottom>
    </border>
    <border>
      <right style="medium">
        <color rgb="FF2E75B6"/>
      </right>
      <bottom style="medium">
        <color rgb="FF2E75B6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1" fillId="3" fontId="3" numFmtId="0" xfId="0" applyAlignment="1" applyBorder="1" applyFill="1" applyFont="1">
      <alignment horizontal="left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164" xfId="0" applyAlignment="1" applyBorder="1" applyFont="1" applyNumberFormat="1">
      <alignment horizontal="center" shrinkToFit="0" vertical="center" wrapText="0"/>
    </xf>
    <xf borderId="0" fillId="0" fontId="4" numFmtId="165" xfId="0" applyAlignment="1" applyFont="1" applyNumberFormat="1">
      <alignment horizontal="right" vertical="bottom"/>
    </xf>
    <xf borderId="1" fillId="3" fontId="3" numFmtId="166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1" fillId="0" fontId="3" numFmtId="164" xfId="0" applyAlignment="1" applyBorder="1" applyFont="1" applyNumberFormat="1">
      <alignment horizontal="center" shrinkToFit="0" vertical="center" wrapText="0"/>
    </xf>
    <xf borderId="1" fillId="0" fontId="3" numFmtId="166" xfId="0" applyAlignment="1" applyBorder="1" applyFont="1" applyNumberFormat="1">
      <alignment horizontal="center" shrinkToFit="0" vertical="center" wrapText="0"/>
    </xf>
    <xf borderId="1" fillId="3" fontId="3" numFmtId="164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1" fillId="3" fontId="7" numFmtId="0" xfId="0" applyAlignment="1" applyBorder="1" applyFont="1">
      <alignment horizontal="left" readingOrder="0" shrinkToFit="0" vertical="center" wrapText="0"/>
    </xf>
    <xf borderId="1" fillId="0" fontId="7" numFmtId="0" xfId="0" applyAlignment="1" applyBorder="1" applyFont="1">
      <alignment horizontal="left" readingOrder="0" shrinkToFit="0" vertical="center" wrapText="0"/>
    </xf>
    <xf borderId="0" fillId="0" fontId="4" numFmtId="0" xfId="0" applyAlignment="1" applyFont="1">
      <alignment horizontal="right" vertical="bottom"/>
    </xf>
    <xf borderId="1" fillId="3" fontId="3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vertical="bottom" wrapText="1"/>
    </xf>
    <xf borderId="0" fillId="0" fontId="8" numFmtId="0" xfId="0" applyFont="1"/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3" numFmtId="166" xfId="0" applyAlignment="1" applyBorder="1" applyFont="1" applyNumberFormat="1">
      <alignment shrinkToFit="0" vertical="bottom" wrapText="0"/>
    </xf>
    <xf borderId="2" fillId="4" fontId="9" numFmtId="0" xfId="0" applyAlignment="1" applyBorder="1" applyFill="1" applyFont="1">
      <alignment shrinkToFit="0" vertical="bottom" wrapText="0"/>
    </xf>
    <xf borderId="2" fillId="4" fontId="5" numFmtId="0" xfId="0" applyAlignment="1" applyBorder="1" applyFont="1">
      <alignment shrinkToFit="0" vertical="bottom" wrapText="0"/>
    </xf>
    <xf borderId="2" fillId="4" fontId="9" numFmtId="164" xfId="0" applyAlignment="1" applyBorder="1" applyFont="1" applyNumberFormat="1">
      <alignment shrinkToFit="0" vertical="bottom" wrapText="0"/>
    </xf>
    <xf borderId="3" fillId="2" fontId="10" numFmtId="0" xfId="0" applyAlignment="1" applyBorder="1" applyFont="1">
      <alignment horizontal="center" shrinkToFit="0" vertical="center" wrapText="0"/>
    </xf>
    <xf borderId="4" fillId="0" fontId="11" numFmtId="0" xfId="0" applyBorder="1" applyFont="1"/>
    <xf borderId="0" fillId="0" fontId="12" numFmtId="0" xfId="0" applyAlignment="1" applyFont="1">
      <alignment horizontal="center" shrinkToFit="0" vertical="center" wrapText="0"/>
    </xf>
    <xf borderId="5" fillId="4" fontId="13" numFmtId="0" xfId="0" applyAlignment="1" applyBorder="1" applyFont="1">
      <alignment horizontal="center" shrinkToFit="0" vertical="center" wrapText="1"/>
    </xf>
    <xf borderId="6" fillId="0" fontId="11" numFmtId="0" xfId="0" applyBorder="1" applyFont="1"/>
    <xf borderId="7" fillId="5" fontId="14" numFmtId="3" xfId="0" applyAlignment="1" applyBorder="1" applyFill="1" applyFont="1" applyNumberFormat="1">
      <alignment horizontal="center" shrinkToFit="0" vertical="center" wrapText="1"/>
    </xf>
    <xf borderId="8" fillId="0" fontId="11" numFmtId="0" xfId="0" applyBorder="1" applyFont="1"/>
    <xf borderId="7" fillId="5" fontId="14" numFmtId="0" xfId="0" applyAlignment="1" applyBorder="1" applyFont="1">
      <alignment horizontal="center" shrinkToFit="0" vertical="center" wrapText="1"/>
    </xf>
    <xf borderId="9" fillId="0" fontId="11" numFmtId="0" xfId="0" applyBorder="1" applyFont="1"/>
    <xf borderId="10" fillId="0" fontId="11" numFmtId="0" xfId="0" applyBorder="1" applyFont="1"/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center" wrapText="0"/>
    </xf>
    <xf borderId="1" fillId="6" fontId="17" numFmtId="0" xfId="0" applyAlignment="1" applyBorder="1" applyFill="1" applyFont="1">
      <alignment horizontal="center" shrinkToFit="0" vertical="center" wrapText="0"/>
    </xf>
    <xf borderId="0" fillId="0" fontId="17" numFmtId="0" xfId="0" applyAlignment="1" applyFont="1">
      <alignment shrinkToFit="0" vertical="bottom" wrapText="0"/>
    </xf>
    <xf borderId="2" fillId="4" fontId="13" numFmtId="0" xfId="0" applyAlignment="1" applyBorder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1" fillId="6" fontId="17" numFmtId="166" xfId="0" applyAlignment="1" applyBorder="1" applyFont="1" applyNumberFormat="1">
      <alignment horizontal="center" shrinkToFit="0" vertical="center" wrapText="0"/>
    </xf>
    <xf borderId="0" fillId="0" fontId="19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1"/>
    </xf>
    <xf borderId="1" fillId="2" fontId="13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bottom" wrapText="0"/>
    </xf>
    <xf borderId="1" fillId="0" fontId="18" numFmtId="164" xfId="0" applyAlignment="1" applyBorder="1" applyFont="1" applyNumberFormat="1">
      <alignment horizontal="center" shrinkToFit="0" vertical="bottom" wrapText="0"/>
    </xf>
    <xf borderId="1" fillId="0" fontId="18" numFmtId="166" xfId="0" applyAlignment="1" applyBorder="1" applyFont="1" applyNumberFormat="1">
      <alignment horizontal="center" shrinkToFit="0" vertical="bottom" wrapText="0"/>
    </xf>
    <xf borderId="1" fillId="3" fontId="18" numFmtId="0" xfId="0" applyAlignment="1" applyBorder="1" applyFont="1">
      <alignment horizontal="center" shrinkToFit="0" vertical="bottom" wrapText="0"/>
    </xf>
    <xf borderId="1" fillId="3" fontId="18" numFmtId="164" xfId="0" applyAlignment="1" applyBorder="1" applyFont="1" applyNumberFormat="1">
      <alignment horizontal="center" shrinkToFit="0" vertical="bottom" wrapText="0"/>
    </xf>
    <xf borderId="1" fillId="3" fontId="18" numFmtId="166" xfId="0" applyAlignment="1" applyBorder="1" applyFont="1" applyNumberFormat="1">
      <alignment horizontal="center" shrinkToFit="0" vertical="bottom" wrapText="0"/>
    </xf>
    <xf borderId="1" fillId="0" fontId="18" numFmtId="0" xfId="0" applyAlignment="1" applyBorder="1" applyFont="1">
      <alignment horizontal="center" shrinkToFit="0" vertical="bottom" wrapText="1"/>
    </xf>
    <xf borderId="1" fillId="3" fontId="18" numFmtId="0" xfId="0" applyAlignment="1" applyBorder="1" applyFont="1">
      <alignment horizontal="center" shrinkToFit="0" vertical="bottom" wrapText="1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Quantity</c:v>
          </c:tx>
          <c:spPr>
            <a:solidFill>
              <a:srgbClr val="2E75B6"/>
            </a:solidFill>
            <a:ln cmpd="sng">
              <a:noFill/>
            </a:ln>
          </c:spPr>
          <c:cat>
            <c:strRef>
              <c:f>Dashboard!$M$15:$M$414</c:f>
            </c:strRef>
          </c:cat>
          <c:val>
            <c:numRef>
              <c:f>Dashboard!$N$15:$N$414</c:f>
              <c:numCache/>
            </c:numRef>
          </c:val>
        </c:ser>
        <c:axId val="1135119695"/>
        <c:axId val="78531112"/>
      </c:barChart>
      <c:catAx>
        <c:axId val="1135119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8531112"/>
      </c:catAx>
      <c:valAx>
        <c:axId val="78531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35119695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Quantity</c:v>
          </c:tx>
          <c:spPr>
            <a:solidFill>
              <a:srgbClr val="1F3864"/>
            </a:solidFill>
            <a:ln cmpd="sng">
              <a:noFill/>
            </a:ln>
          </c:spPr>
          <c:cat>
            <c:strRef>
              <c:f>Dashboard!$M$418:$M$454</c:f>
            </c:strRef>
          </c:cat>
          <c:val>
            <c:numRef>
              <c:f>Dashboard!$N$418:$N$454</c:f>
              <c:numCache/>
            </c:numRef>
          </c:val>
        </c:ser>
        <c:axId val="1026088392"/>
        <c:axId val="1817548038"/>
      </c:barChart>
      <c:catAx>
        <c:axId val="1026088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17548038"/>
      </c:catAx>
      <c:valAx>
        <c:axId val="1817548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26088392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Quantity</c:v>
          </c:tx>
          <c:spPr>
            <a:solidFill>
              <a:srgbClr val="4F81BD"/>
            </a:solidFill>
            <a:ln cmpd="sng">
              <a:noFill/>
            </a:ln>
          </c:spPr>
          <c:dPt>
            <c:idx val="0"/>
            <c:spPr>
              <a:solidFill>
                <a:srgbClr val="BF8F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2E75B6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1F7A3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C00000"/>
              </a:solidFill>
              <a:ln cmpd="sng">
                <a:noFill/>
              </a:ln>
            </c:spPr>
          </c:dPt>
          <c:cat>
            <c:strRef>
              <c:f>Dashboard!$M$458:$M$461</c:f>
            </c:strRef>
          </c:cat>
          <c:val>
            <c:numRef>
              <c:f>Dashboard!$N$458:$N$461</c:f>
              <c:numCache/>
            </c:numRef>
          </c:val>
        </c:ser>
        <c:axId val="1891005638"/>
        <c:axId val="378424657"/>
      </c:barChart>
      <c:catAx>
        <c:axId val="1891005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78424657"/>
      </c:catAx>
      <c:valAx>
        <c:axId val="378424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91005638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Quantity</c:v>
          </c:tx>
          <c:spPr>
            <a:solidFill>
              <a:srgbClr val="4F81BD"/>
            </a:solidFill>
            <a:ln cmpd="sng">
              <a:noFill/>
            </a:ln>
          </c:spPr>
          <c:dPt>
            <c:idx val="0"/>
            <c:spPr>
              <a:solidFill>
                <a:srgbClr val="C0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1F7A3D"/>
              </a:solidFill>
              <a:ln cmpd="sng">
                <a:noFill/>
              </a:ln>
            </c:spPr>
          </c:dPt>
          <c:cat>
            <c:strRef>
              <c:f>Dashboard!$M$465:$M$467</c:f>
            </c:strRef>
          </c:cat>
          <c:val>
            <c:numRef>
              <c:f>Dashboard!$N$465:$N$467</c:f>
              <c:numCache/>
            </c:numRef>
          </c:val>
        </c:ser>
        <c:axId val="643811303"/>
        <c:axId val="843107793"/>
      </c:barChart>
      <c:catAx>
        <c:axId val="643811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43107793"/>
      </c:catAx>
      <c:valAx>
        <c:axId val="8431077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43811303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Quantity</c:v>
          </c:tx>
          <c:spPr>
            <a:solidFill>
              <a:srgbClr val="2E75B6"/>
            </a:solidFill>
            <a:ln cmpd="sng">
              <a:noFill/>
            </a:ln>
          </c:spPr>
          <c:cat>
            <c:strRef>
              <c:f>Dashboard!$M$671:$M$680</c:f>
            </c:strRef>
          </c:cat>
          <c:val>
            <c:numRef>
              <c:f>Dashboard!$N$671:$N$680</c:f>
              <c:numCache/>
            </c:numRef>
          </c:val>
        </c:ser>
        <c:axId val="102708063"/>
        <c:axId val="18607398"/>
      </c:barChart>
      <c:catAx>
        <c:axId val="102708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Project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607398"/>
      </c:catAx>
      <c:valAx>
        <c:axId val="18607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2708063"/>
      </c:valAx>
    </c:plotArea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200025</xdr:rowOff>
    </xdr:from>
    <xdr:ext cx="9534525" cy="3400425"/>
    <xdr:graphicFrame>
      <xdr:nvGraphicFramePr>
        <xdr:cNvPr id="669049115" name="Chart 1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38</xdr:row>
      <xdr:rowOff>95250</xdr:rowOff>
    </xdr:from>
    <xdr:ext cx="9534525" cy="3400425"/>
    <xdr:graphicFrame>
      <xdr:nvGraphicFramePr>
        <xdr:cNvPr id="35908055" name="Chart 2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61</xdr:row>
      <xdr:rowOff>200025</xdr:rowOff>
    </xdr:from>
    <xdr:ext cx="5124450" cy="3009900"/>
    <xdr:graphicFrame>
      <xdr:nvGraphicFramePr>
        <xdr:cNvPr id="1048039105" name="Chart 3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438150</xdr:colOff>
      <xdr:row>61</xdr:row>
      <xdr:rowOff>200025</xdr:rowOff>
    </xdr:from>
    <xdr:ext cx="4410075" cy="2952750"/>
    <xdr:graphicFrame>
      <xdr:nvGraphicFramePr>
        <xdr:cNvPr id="230620417" name="Chart 4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84</xdr:row>
      <xdr:rowOff>19050</xdr:rowOff>
    </xdr:from>
    <xdr:ext cx="9382125" cy="3400425"/>
    <xdr:graphicFrame>
      <xdr:nvGraphicFramePr>
        <xdr:cNvPr id="1654259309" name="Chart 5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1.43"/>
    <col customWidth="1" min="3" max="3" width="36.0"/>
    <col customWidth="1" min="4" max="4" width="10.0"/>
    <col customWidth="1" min="5" max="5" width="11.0"/>
    <col customWidth="1" min="6" max="7" width="12.0"/>
    <col customWidth="1" min="8" max="8" width="15.0"/>
    <col customWidth="1" min="9" max="9" width="12.0"/>
    <col customWidth="1" min="10" max="10" width="14.0"/>
    <col customWidth="1" min="11" max="11" width="13.0"/>
    <col customWidth="1" hidden="1" min="12" max="19" width="8.0"/>
    <col customWidth="1" hidden="1" min="20" max="21" width="22.0"/>
    <col customWidth="1" hidden="1" min="22" max="22" width="40.0"/>
    <col customWidth="1" hidden="1" min="23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4" t="s">
        <v>23</v>
      </c>
      <c r="C2" s="3" t="s">
        <v>24</v>
      </c>
      <c r="D2" s="4">
        <v>2.0</v>
      </c>
      <c r="E2" s="5">
        <v>2.0</v>
      </c>
      <c r="F2" s="5">
        <f t="shared" ref="F2:F378" si="1">IF(E2="","",D2*E2)</f>
        <v>4</v>
      </c>
      <c r="G2" s="6">
        <v>46144.0</v>
      </c>
      <c r="H2" s="4">
        <v>1.0</v>
      </c>
      <c r="I2" s="7">
        <f t="shared" ref="I2:I378" si="2">IF(OR(G2="",H2=""),"",G2+H2*7)</f>
        <v>46151</v>
      </c>
      <c r="J2" s="4" t="s">
        <v>25</v>
      </c>
      <c r="K2" s="8" t="s">
        <v>26</v>
      </c>
      <c r="L2" s="9">
        <f>IF(A2="","",IF(OR(G2="",AND(G2&gt;=Dashboard!$C$18,G2&lt;=Dashboard!$C$19)),1,0))</f>
        <v>1</v>
      </c>
      <c r="M2" s="9">
        <f>IF(AND(L2=1,OR(Dashboard!$C$13="All",A2=Dashboard!$C$13),OR(Dashboard!$C$14="All",B2=Dashboard!$C$14),OR(Dashboard!$C$15="All",C2=Dashboard!$C$15),OR(Dashboard!$C$16="All",K2=Dashboard!$C$16),OR(Dashboard!$C$17="All",J2=Dashboard!$C$17)),1,0)</f>
        <v>1</v>
      </c>
      <c r="N2" s="9">
        <f>IF(AND(L2=1,OR(Dashboard!$C$13="All",A2=Dashboard!$C$13),OR(Dashboard!$C$14="All",B2=Dashboard!$C$14),OR(Dashboard!$C$16="All",K2=Dashboard!$C$16),OR(Dashboard!$C$17="All",J2=Dashboard!$C$17)),1,0)</f>
        <v>1</v>
      </c>
      <c r="O2" s="9">
        <f>IF(AND(L2=1,OR(Dashboard!$C$13="All",A2=Dashboard!$C$13),OR(Dashboard!$C$15="All",C2=Dashboard!$C$15),OR(Dashboard!$C$16="All",K2=Dashboard!$C$16),OR(Dashboard!$C$17="All",J2=Dashboard!$C$17)),1,0)</f>
        <v>1</v>
      </c>
      <c r="P2" s="9">
        <f>IF(AND(L2=1,OR(Dashboard!$C$13="All",A2=Dashboard!$C$13),OR(Dashboard!$C$14="All",B2=Dashboard!$C$14),OR(Dashboard!$C$15="All",C2=Dashboard!$C$15),OR(Dashboard!$C$17="All",J2=Dashboard!$C$17)),1,0)</f>
        <v>1</v>
      </c>
      <c r="Q2" s="9">
        <f>IF(AND(L2=1,OR(Dashboard!$C$14="All",B2=Dashboard!$C$14),OR(Dashboard!$C$15="All",C2=Dashboard!$C$15),OR(Dashboard!$C$16="All",K2=Dashboard!$C$16),OR(Dashboard!$C$17="All",J2=Dashboard!$C$17)),1,0)</f>
        <v>1</v>
      </c>
      <c r="R2" s="9">
        <f>IF(AND(L2=1,OR(Dashboard!$C$13="All",A2=Dashboard!$C$13),OR(Dashboard!$C$14="All",B2=Dashboard!$C$14),OR(Dashboard!$C$15="All",C2=Dashboard!$C$15),OR(Dashboard!$C$16="All",K2=Dashboard!$C$16)),1,0)</f>
        <v>1</v>
      </c>
      <c r="S2" s="9">
        <f t="shared" ref="S2:S750" si="3">IF(M2=1,ROW()-1,"")</f>
        <v>1</v>
      </c>
      <c r="T2" s="9" t="s">
        <v>27</v>
      </c>
      <c r="U2" s="9" t="s">
        <v>27</v>
      </c>
      <c r="V2" s="9" t="s">
        <v>27</v>
      </c>
    </row>
    <row r="3">
      <c r="A3" s="10" t="s">
        <v>22</v>
      </c>
      <c r="B3" s="11" t="s">
        <v>28</v>
      </c>
      <c r="C3" s="12" t="s">
        <v>29</v>
      </c>
      <c r="D3" s="13">
        <v>2.0</v>
      </c>
      <c r="E3" s="14">
        <v>5.0</v>
      </c>
      <c r="F3" s="15">
        <f t="shared" si="1"/>
        <v>10</v>
      </c>
      <c r="G3" s="6">
        <v>46145.0</v>
      </c>
      <c r="H3" s="8">
        <v>2.0</v>
      </c>
      <c r="I3" s="16">
        <f t="shared" si="2"/>
        <v>46159</v>
      </c>
      <c r="J3" s="11" t="s">
        <v>30</v>
      </c>
      <c r="K3" s="13" t="s">
        <v>31</v>
      </c>
      <c r="L3" s="9">
        <f>IF(A3="","",IF(OR(G3="",AND(G3&gt;=Dashboard!$C$18,G3&lt;=Dashboard!$C$19)),1,0))</f>
        <v>1</v>
      </c>
      <c r="M3" s="9">
        <f>IF(AND(L3=1,OR(Dashboard!$C$13="All",A3=Dashboard!$C$13),OR(Dashboard!$C$14="All",B3=Dashboard!$C$14),OR(Dashboard!$C$15="All",C3=Dashboard!$C$15),OR(Dashboard!$C$16="All",K3=Dashboard!$C$16),OR(Dashboard!$C$17="All",J3=Dashboard!$C$17)),1,0)</f>
        <v>1</v>
      </c>
      <c r="N3" s="9">
        <f>IF(AND(L3=1,OR(Dashboard!$C$13="All",A3=Dashboard!$C$13),OR(Dashboard!$C$14="All",B3=Dashboard!$C$14),OR(Dashboard!$C$16="All",K3=Dashboard!$C$16),OR(Dashboard!$C$17="All",J3=Dashboard!$C$17)),1,0)</f>
        <v>1</v>
      </c>
      <c r="O3" s="9">
        <f>IF(AND(L3=1,OR(Dashboard!$C$13="All",A3=Dashboard!$C$13),OR(Dashboard!$C$15="All",C3=Dashboard!$C$15),OR(Dashboard!$C$16="All",K3=Dashboard!$C$16),OR(Dashboard!$C$17="All",J3=Dashboard!$C$17)),1,0)</f>
        <v>1</v>
      </c>
      <c r="P3" s="9">
        <f>IF(AND(L3=1,OR(Dashboard!$C$13="All",A3=Dashboard!$C$13),OR(Dashboard!$C$14="All",B3=Dashboard!$C$14),OR(Dashboard!$C$15="All",C3=Dashboard!$C$15),OR(Dashboard!$C$17="All",J3=Dashboard!$C$17)),1,0)</f>
        <v>1</v>
      </c>
      <c r="Q3" s="9">
        <f>IF(AND(L3=1,OR(Dashboard!$C$14="All",B3=Dashboard!$C$14),OR(Dashboard!$C$15="All",C3=Dashboard!$C$15),OR(Dashboard!$C$16="All",K3=Dashboard!$C$16),OR(Dashboard!$C$17="All",J3=Dashboard!$C$17)),1,0)</f>
        <v>1</v>
      </c>
      <c r="R3" s="9">
        <f>IF(AND(L3=1,OR(Dashboard!$C$13="All",A3=Dashboard!$C$13),OR(Dashboard!$C$14="All",B3=Dashboard!$C$14),OR(Dashboard!$C$15="All",C3=Dashboard!$C$15),OR(Dashboard!$C$16="All",K3=Dashboard!$C$16)),1,0)</f>
        <v>1</v>
      </c>
      <c r="S3" s="9">
        <f t="shared" si="3"/>
        <v>2</v>
      </c>
      <c r="T3" s="9" t="s">
        <v>22</v>
      </c>
      <c r="U3" s="9" t="s">
        <v>32</v>
      </c>
      <c r="V3" s="9" t="s">
        <v>33</v>
      </c>
    </row>
    <row r="4">
      <c r="A4" s="3" t="s">
        <v>22</v>
      </c>
      <c r="B4" s="4" t="s">
        <v>34</v>
      </c>
      <c r="C4" s="3" t="s">
        <v>35</v>
      </c>
      <c r="D4" s="4">
        <v>1000.0</v>
      </c>
      <c r="E4" s="17">
        <v>6.0</v>
      </c>
      <c r="F4" s="5">
        <f t="shared" si="1"/>
        <v>6000</v>
      </c>
      <c r="G4" s="6">
        <v>46146.0</v>
      </c>
      <c r="H4" s="8">
        <v>4.0</v>
      </c>
      <c r="I4" s="7">
        <f t="shared" si="2"/>
        <v>46174</v>
      </c>
      <c r="J4" s="8" t="s">
        <v>36</v>
      </c>
      <c r="K4" s="8" t="s">
        <v>37</v>
      </c>
      <c r="L4" s="9">
        <f>IF(A4="","",IF(OR(G4="",AND(G4&gt;=Dashboard!$C$18,G4&lt;=Dashboard!$C$19)),1,0))</f>
        <v>1</v>
      </c>
      <c r="M4" s="9">
        <f>IF(AND(L4=1,OR(Dashboard!$C$13="All",A4=Dashboard!$C$13),OR(Dashboard!$C$14="All",B4=Dashboard!$C$14),OR(Dashboard!$C$15="All",C4=Dashboard!$C$15),OR(Dashboard!$C$16="All",K4=Dashboard!$C$16),OR(Dashboard!$C$17="All",J4=Dashboard!$C$17)),1,0)</f>
        <v>1</v>
      </c>
      <c r="N4" s="9">
        <f>IF(AND(L4=1,OR(Dashboard!$C$13="All",A4=Dashboard!$C$13),OR(Dashboard!$C$14="All",B4=Dashboard!$C$14),OR(Dashboard!$C$16="All",K4=Dashboard!$C$16),OR(Dashboard!$C$17="All",J4=Dashboard!$C$17)),1,0)</f>
        <v>1</v>
      </c>
      <c r="O4" s="9">
        <f>IF(AND(L4=1,OR(Dashboard!$C$13="All",A4=Dashboard!$C$13),OR(Dashboard!$C$15="All",C4=Dashboard!$C$15),OR(Dashboard!$C$16="All",K4=Dashboard!$C$16),OR(Dashboard!$C$17="All",J4=Dashboard!$C$17)),1,0)</f>
        <v>1</v>
      </c>
      <c r="P4" s="9">
        <f>IF(AND(L4=1,OR(Dashboard!$C$13="All",A4=Dashboard!$C$13),OR(Dashboard!$C$14="All",B4=Dashboard!$C$14),OR(Dashboard!$C$15="All",C4=Dashboard!$C$15),OR(Dashboard!$C$17="All",J4=Dashboard!$C$17)),1,0)</f>
        <v>1</v>
      </c>
      <c r="Q4" s="9">
        <f>IF(AND(L4=1,OR(Dashboard!$C$14="All",B4=Dashboard!$C$14),OR(Dashboard!$C$15="All",C4=Dashboard!$C$15),OR(Dashboard!$C$16="All",K4=Dashboard!$C$16),OR(Dashboard!$C$17="All",J4=Dashboard!$C$17)),1,0)</f>
        <v>1</v>
      </c>
      <c r="R4" s="9">
        <f>IF(AND(L4=1,OR(Dashboard!$C$13="All",A4=Dashboard!$C$13),OR(Dashboard!$C$14="All",B4=Dashboard!$C$14),OR(Dashboard!$C$15="All",C4=Dashboard!$C$15),OR(Dashboard!$C$16="All",K4=Dashboard!$C$16)),1,0)</f>
        <v>1</v>
      </c>
      <c r="S4" s="9">
        <f t="shared" si="3"/>
        <v>3</v>
      </c>
      <c r="T4" s="9" t="s">
        <v>38</v>
      </c>
      <c r="U4" s="9" t="s">
        <v>39</v>
      </c>
      <c r="V4" s="9" t="s">
        <v>40</v>
      </c>
    </row>
    <row r="5">
      <c r="A5" s="10" t="s">
        <v>22</v>
      </c>
      <c r="B5" s="13" t="s">
        <v>41</v>
      </c>
      <c r="C5" s="10" t="s">
        <v>42</v>
      </c>
      <c r="D5" s="13">
        <v>3500.0</v>
      </c>
      <c r="E5" s="14">
        <v>7.0</v>
      </c>
      <c r="F5" s="15">
        <f t="shared" si="1"/>
        <v>24500</v>
      </c>
      <c r="G5" s="6">
        <v>46147.0</v>
      </c>
      <c r="H5" s="8">
        <v>6.0</v>
      </c>
      <c r="I5" s="16">
        <f t="shared" si="2"/>
        <v>46189</v>
      </c>
      <c r="J5" s="11" t="s">
        <v>30</v>
      </c>
      <c r="K5" s="11" t="s">
        <v>26</v>
      </c>
      <c r="L5" s="9">
        <f>IF(A5="","",IF(OR(G5="",AND(G5&gt;=Dashboard!$C$18,G5&lt;=Dashboard!$C$19)),1,0))</f>
        <v>1</v>
      </c>
      <c r="M5" s="9">
        <f>IF(AND(L5=1,OR(Dashboard!$C$13="All",A5=Dashboard!$C$13),OR(Dashboard!$C$14="All",B5=Dashboard!$C$14),OR(Dashboard!$C$15="All",C5=Dashboard!$C$15),OR(Dashboard!$C$16="All",K5=Dashboard!$C$16),OR(Dashboard!$C$17="All",J5=Dashboard!$C$17)),1,0)</f>
        <v>1</v>
      </c>
      <c r="N5" s="9">
        <f>IF(AND(L5=1,OR(Dashboard!$C$13="All",A5=Dashboard!$C$13),OR(Dashboard!$C$14="All",B5=Dashboard!$C$14),OR(Dashboard!$C$16="All",K5=Dashboard!$C$16),OR(Dashboard!$C$17="All",J5=Dashboard!$C$17)),1,0)</f>
        <v>1</v>
      </c>
      <c r="O5" s="9">
        <f>IF(AND(L5=1,OR(Dashboard!$C$13="All",A5=Dashboard!$C$13),OR(Dashboard!$C$15="All",C5=Dashboard!$C$15),OR(Dashboard!$C$16="All",K5=Dashboard!$C$16),OR(Dashboard!$C$17="All",J5=Dashboard!$C$17)),1,0)</f>
        <v>1</v>
      </c>
      <c r="P5" s="9">
        <f>IF(AND(L5=1,OR(Dashboard!$C$13="All",A5=Dashboard!$C$13),OR(Dashboard!$C$14="All",B5=Dashboard!$C$14),OR(Dashboard!$C$15="All",C5=Dashboard!$C$15),OR(Dashboard!$C$17="All",J5=Dashboard!$C$17)),1,0)</f>
        <v>1</v>
      </c>
      <c r="Q5" s="9">
        <f>IF(AND(L5=1,OR(Dashboard!$C$14="All",B5=Dashboard!$C$14),OR(Dashboard!$C$15="All",C5=Dashboard!$C$15),OR(Dashboard!$C$16="All",K5=Dashboard!$C$16),OR(Dashboard!$C$17="All",J5=Dashboard!$C$17)),1,0)</f>
        <v>1</v>
      </c>
      <c r="R5" s="9">
        <f>IF(AND(L5=1,OR(Dashboard!$C$13="All",A5=Dashboard!$C$13),OR(Dashboard!$C$14="All",B5=Dashboard!$C$14),OR(Dashboard!$C$15="All",C5=Dashboard!$C$15),OR(Dashboard!$C$16="All",K5=Dashboard!$C$16)),1,0)</f>
        <v>1</v>
      </c>
      <c r="S5" s="9">
        <f t="shared" si="3"/>
        <v>4</v>
      </c>
      <c r="T5" s="9" t="s">
        <v>43</v>
      </c>
      <c r="U5" s="9" t="s">
        <v>44</v>
      </c>
      <c r="V5" s="9" t="s">
        <v>45</v>
      </c>
    </row>
    <row r="6">
      <c r="A6" s="3" t="s">
        <v>22</v>
      </c>
      <c r="B6" s="4" t="s">
        <v>46</v>
      </c>
      <c r="C6" s="3" t="s">
        <v>47</v>
      </c>
      <c r="D6" s="4">
        <v>18.0</v>
      </c>
      <c r="E6" s="17">
        <v>8.0</v>
      </c>
      <c r="F6" s="5">
        <f t="shared" si="1"/>
        <v>144</v>
      </c>
      <c r="G6" s="6">
        <v>46148.0</v>
      </c>
      <c r="H6" s="8">
        <v>8.0</v>
      </c>
      <c r="I6" s="7">
        <f t="shared" si="2"/>
        <v>46204</v>
      </c>
      <c r="J6" s="8" t="s">
        <v>36</v>
      </c>
      <c r="K6" s="8" t="s">
        <v>48</v>
      </c>
      <c r="L6" s="9">
        <f>IF(A6="","",IF(OR(G6="",AND(G6&gt;=Dashboard!$C$18,G6&lt;=Dashboard!$C$19)),1,0))</f>
        <v>1</v>
      </c>
      <c r="M6" s="9">
        <f>IF(AND(L6=1,OR(Dashboard!$C$13="All",A6=Dashboard!$C$13),OR(Dashboard!$C$14="All",B6=Dashboard!$C$14),OR(Dashboard!$C$15="All",C6=Dashboard!$C$15),OR(Dashboard!$C$16="All",K6=Dashboard!$C$16),OR(Dashboard!$C$17="All",J6=Dashboard!$C$17)),1,0)</f>
        <v>1</v>
      </c>
      <c r="N6" s="9">
        <f>IF(AND(L6=1,OR(Dashboard!$C$13="All",A6=Dashboard!$C$13),OR(Dashboard!$C$14="All",B6=Dashboard!$C$14),OR(Dashboard!$C$16="All",K6=Dashboard!$C$16),OR(Dashboard!$C$17="All",J6=Dashboard!$C$17)),1,0)</f>
        <v>1</v>
      </c>
      <c r="O6" s="9">
        <f>IF(AND(L6=1,OR(Dashboard!$C$13="All",A6=Dashboard!$C$13),OR(Dashboard!$C$15="All",C6=Dashboard!$C$15),OR(Dashboard!$C$16="All",K6=Dashboard!$C$16),OR(Dashboard!$C$17="All",J6=Dashboard!$C$17)),1,0)</f>
        <v>1</v>
      </c>
      <c r="P6" s="9">
        <f>IF(AND(L6=1,OR(Dashboard!$C$13="All",A6=Dashboard!$C$13),OR(Dashboard!$C$14="All",B6=Dashboard!$C$14),OR(Dashboard!$C$15="All",C6=Dashboard!$C$15),OR(Dashboard!$C$17="All",J6=Dashboard!$C$17)),1,0)</f>
        <v>1</v>
      </c>
      <c r="Q6" s="9">
        <f>IF(AND(L6=1,OR(Dashboard!$C$14="All",B6=Dashboard!$C$14),OR(Dashboard!$C$15="All",C6=Dashboard!$C$15),OR(Dashboard!$C$16="All",K6=Dashboard!$C$16),OR(Dashboard!$C$17="All",J6=Dashboard!$C$17)),1,0)</f>
        <v>1</v>
      </c>
      <c r="R6" s="9">
        <f>IF(AND(L6=1,OR(Dashboard!$C$13="All",A6=Dashboard!$C$13),OR(Dashboard!$C$14="All",B6=Dashboard!$C$14),OR(Dashboard!$C$15="All",C6=Dashboard!$C$15),OR(Dashboard!$C$16="All",K6=Dashboard!$C$16)),1,0)</f>
        <v>1</v>
      </c>
      <c r="S6" s="9">
        <f t="shared" si="3"/>
        <v>5</v>
      </c>
      <c r="T6" s="9" t="s">
        <v>49</v>
      </c>
      <c r="U6" s="9" t="s">
        <v>50</v>
      </c>
      <c r="V6" s="9" t="s">
        <v>51</v>
      </c>
    </row>
    <row r="7">
      <c r="A7" s="10" t="s">
        <v>22</v>
      </c>
      <c r="B7" s="13" t="s">
        <v>46</v>
      </c>
      <c r="C7" s="10" t="s">
        <v>52</v>
      </c>
      <c r="D7" s="13">
        <v>37.0</v>
      </c>
      <c r="E7" s="14">
        <v>2.0</v>
      </c>
      <c r="F7" s="15">
        <f t="shared" si="1"/>
        <v>74</v>
      </c>
      <c r="G7" s="6">
        <v>46149.0</v>
      </c>
      <c r="H7" s="8">
        <v>9.0</v>
      </c>
      <c r="I7" s="16">
        <f t="shared" si="2"/>
        <v>46212</v>
      </c>
      <c r="J7" s="4" t="s">
        <v>25</v>
      </c>
      <c r="K7" s="13" t="s">
        <v>31</v>
      </c>
      <c r="L7" s="9">
        <f>IF(A7="","",IF(OR(G7="",AND(G7&gt;=Dashboard!$C$18,G7&lt;=Dashboard!$C$19)),1,0))</f>
        <v>1</v>
      </c>
      <c r="M7" s="9">
        <f>IF(AND(L7=1,OR(Dashboard!$C$13="All",A7=Dashboard!$C$13),OR(Dashboard!$C$14="All",B7=Dashboard!$C$14),OR(Dashboard!$C$15="All",C7=Dashboard!$C$15),OR(Dashboard!$C$16="All",K7=Dashboard!$C$16),OR(Dashboard!$C$17="All",J7=Dashboard!$C$17)),1,0)</f>
        <v>1</v>
      </c>
      <c r="N7" s="9">
        <f>IF(AND(L7=1,OR(Dashboard!$C$13="All",A7=Dashboard!$C$13),OR(Dashboard!$C$14="All",B7=Dashboard!$C$14),OR(Dashboard!$C$16="All",K7=Dashboard!$C$16),OR(Dashboard!$C$17="All",J7=Dashboard!$C$17)),1,0)</f>
        <v>1</v>
      </c>
      <c r="O7" s="9">
        <f>IF(AND(L7=1,OR(Dashboard!$C$13="All",A7=Dashboard!$C$13),OR(Dashboard!$C$15="All",C7=Dashboard!$C$15),OR(Dashboard!$C$16="All",K7=Dashboard!$C$16),OR(Dashboard!$C$17="All",J7=Dashboard!$C$17)),1,0)</f>
        <v>1</v>
      </c>
      <c r="P7" s="9">
        <f>IF(AND(L7=1,OR(Dashboard!$C$13="All",A7=Dashboard!$C$13),OR(Dashboard!$C$14="All",B7=Dashboard!$C$14),OR(Dashboard!$C$15="All",C7=Dashboard!$C$15),OR(Dashboard!$C$17="All",J7=Dashboard!$C$17)),1,0)</f>
        <v>1</v>
      </c>
      <c r="Q7" s="9">
        <f>IF(AND(L7=1,OR(Dashboard!$C$14="All",B7=Dashboard!$C$14),OR(Dashboard!$C$15="All",C7=Dashboard!$C$15),OR(Dashboard!$C$16="All",K7=Dashboard!$C$16),OR(Dashboard!$C$17="All",J7=Dashboard!$C$17)),1,0)</f>
        <v>1</v>
      </c>
      <c r="R7" s="9">
        <f>IF(AND(L7=1,OR(Dashboard!$C$13="All",A7=Dashboard!$C$13),OR(Dashboard!$C$14="All",B7=Dashboard!$C$14),OR(Dashboard!$C$15="All",C7=Dashboard!$C$15),OR(Dashboard!$C$16="All",K7=Dashboard!$C$16)),1,0)</f>
        <v>1</v>
      </c>
      <c r="S7" s="9">
        <f t="shared" si="3"/>
        <v>6</v>
      </c>
      <c r="T7" s="9" t="s">
        <v>53</v>
      </c>
      <c r="U7" s="9" t="s">
        <v>54</v>
      </c>
      <c r="V7" s="9" t="s">
        <v>55</v>
      </c>
    </row>
    <row r="8">
      <c r="A8" s="3" t="s">
        <v>22</v>
      </c>
      <c r="B8" s="4" t="s">
        <v>56</v>
      </c>
      <c r="C8" s="3" t="s">
        <v>57</v>
      </c>
      <c r="D8" s="4">
        <v>18.0</v>
      </c>
      <c r="E8" s="17">
        <v>15.0</v>
      </c>
      <c r="F8" s="5">
        <f t="shared" si="1"/>
        <v>270</v>
      </c>
      <c r="G8" s="6">
        <v>46150.0</v>
      </c>
      <c r="H8" s="8">
        <v>4.0</v>
      </c>
      <c r="I8" s="7">
        <f t="shared" si="2"/>
        <v>46178</v>
      </c>
      <c r="J8" s="11" t="s">
        <v>30</v>
      </c>
      <c r="K8" s="8" t="s">
        <v>26</v>
      </c>
      <c r="L8" s="9">
        <f>IF(A8="","",IF(OR(G8="",AND(G8&gt;=Dashboard!$C$18,G8&lt;=Dashboard!$C$19)),1,0))</f>
        <v>1</v>
      </c>
      <c r="M8" s="9">
        <f>IF(AND(L8=1,OR(Dashboard!$C$13="All",A8=Dashboard!$C$13),OR(Dashboard!$C$14="All",B8=Dashboard!$C$14),OR(Dashboard!$C$15="All",C8=Dashboard!$C$15),OR(Dashboard!$C$16="All",K8=Dashboard!$C$16),OR(Dashboard!$C$17="All",J8=Dashboard!$C$17)),1,0)</f>
        <v>1</v>
      </c>
      <c r="N8" s="9">
        <f>IF(AND(L8=1,OR(Dashboard!$C$13="All",A8=Dashboard!$C$13),OR(Dashboard!$C$14="All",B8=Dashboard!$C$14),OR(Dashboard!$C$16="All",K8=Dashboard!$C$16),OR(Dashboard!$C$17="All",J8=Dashboard!$C$17)),1,0)</f>
        <v>1</v>
      </c>
      <c r="O8" s="9">
        <f>IF(AND(L8=1,OR(Dashboard!$C$13="All",A8=Dashboard!$C$13),OR(Dashboard!$C$15="All",C8=Dashboard!$C$15),OR(Dashboard!$C$16="All",K8=Dashboard!$C$16),OR(Dashboard!$C$17="All",J8=Dashboard!$C$17)),1,0)</f>
        <v>1</v>
      </c>
      <c r="P8" s="9">
        <f>IF(AND(L8=1,OR(Dashboard!$C$13="All",A8=Dashboard!$C$13),OR(Dashboard!$C$14="All",B8=Dashboard!$C$14),OR(Dashboard!$C$15="All",C8=Dashboard!$C$15),OR(Dashboard!$C$17="All",J8=Dashboard!$C$17)),1,0)</f>
        <v>1</v>
      </c>
      <c r="Q8" s="9">
        <f>IF(AND(L8=1,OR(Dashboard!$C$14="All",B8=Dashboard!$C$14),OR(Dashboard!$C$15="All",C8=Dashboard!$C$15),OR(Dashboard!$C$16="All",K8=Dashboard!$C$16),OR(Dashboard!$C$17="All",J8=Dashboard!$C$17)),1,0)</f>
        <v>1</v>
      </c>
      <c r="R8" s="9">
        <f>IF(AND(L8=1,OR(Dashboard!$C$13="All",A8=Dashboard!$C$13),OR(Dashboard!$C$14="All",B8=Dashboard!$C$14),OR(Dashboard!$C$15="All",C8=Dashboard!$C$15),OR(Dashboard!$C$16="All",K8=Dashboard!$C$16)),1,0)</f>
        <v>1</v>
      </c>
      <c r="S8" s="9">
        <f t="shared" si="3"/>
        <v>7</v>
      </c>
      <c r="T8" s="9" t="s">
        <v>58</v>
      </c>
      <c r="U8" s="9" t="s">
        <v>41</v>
      </c>
      <c r="V8" s="9" t="s">
        <v>59</v>
      </c>
    </row>
    <row r="9">
      <c r="A9" s="10" t="s">
        <v>22</v>
      </c>
      <c r="B9" s="13" t="s">
        <v>56</v>
      </c>
      <c r="C9" s="10" t="s">
        <v>60</v>
      </c>
      <c r="D9" s="13">
        <v>37.0</v>
      </c>
      <c r="E9" s="14">
        <v>45.0</v>
      </c>
      <c r="F9" s="15">
        <f t="shared" si="1"/>
        <v>1665</v>
      </c>
      <c r="G9" s="6">
        <v>46151.0</v>
      </c>
      <c r="H9" s="8">
        <v>3.0</v>
      </c>
      <c r="I9" s="16">
        <f t="shared" si="2"/>
        <v>46172</v>
      </c>
      <c r="J9" s="8" t="s">
        <v>36</v>
      </c>
      <c r="K9" s="13" t="s">
        <v>31</v>
      </c>
      <c r="L9" s="9">
        <f>IF(A9="","",IF(OR(G9="",AND(G9&gt;=Dashboard!$C$18,G9&lt;=Dashboard!$C$19)),1,0))</f>
        <v>1</v>
      </c>
      <c r="M9" s="9">
        <f>IF(AND(L9=1,OR(Dashboard!$C$13="All",A9=Dashboard!$C$13),OR(Dashboard!$C$14="All",B9=Dashboard!$C$14),OR(Dashboard!$C$15="All",C9=Dashboard!$C$15),OR(Dashboard!$C$16="All",K9=Dashboard!$C$16),OR(Dashboard!$C$17="All",J9=Dashboard!$C$17)),1,0)</f>
        <v>1</v>
      </c>
      <c r="N9" s="9">
        <f>IF(AND(L9=1,OR(Dashboard!$C$13="All",A9=Dashboard!$C$13),OR(Dashboard!$C$14="All",B9=Dashboard!$C$14),OR(Dashboard!$C$16="All",K9=Dashboard!$C$16),OR(Dashboard!$C$17="All",J9=Dashboard!$C$17)),1,0)</f>
        <v>1</v>
      </c>
      <c r="O9" s="9">
        <f>IF(AND(L9=1,OR(Dashboard!$C$13="All",A9=Dashboard!$C$13),OR(Dashboard!$C$15="All",C9=Dashboard!$C$15),OR(Dashboard!$C$16="All",K9=Dashboard!$C$16),OR(Dashboard!$C$17="All",J9=Dashboard!$C$17)),1,0)</f>
        <v>1</v>
      </c>
      <c r="P9" s="9">
        <f>IF(AND(L9=1,OR(Dashboard!$C$13="All",A9=Dashboard!$C$13),OR(Dashboard!$C$14="All",B9=Dashboard!$C$14),OR(Dashboard!$C$15="All",C9=Dashboard!$C$15),OR(Dashboard!$C$17="All",J9=Dashboard!$C$17)),1,0)</f>
        <v>1</v>
      </c>
      <c r="Q9" s="9">
        <f>IF(AND(L9=1,OR(Dashboard!$C$14="All",B9=Dashboard!$C$14),OR(Dashboard!$C$15="All",C9=Dashboard!$C$15),OR(Dashboard!$C$16="All",K9=Dashboard!$C$16),OR(Dashboard!$C$17="All",J9=Dashboard!$C$17)),1,0)</f>
        <v>1</v>
      </c>
      <c r="R9" s="9">
        <f>IF(AND(L9=1,OR(Dashboard!$C$13="All",A9=Dashboard!$C$13),OR(Dashboard!$C$14="All",B9=Dashboard!$C$14),OR(Dashboard!$C$15="All",C9=Dashboard!$C$15),OR(Dashboard!$C$16="All",K9=Dashboard!$C$16)),1,0)</f>
        <v>1</v>
      </c>
      <c r="S9" s="9">
        <f t="shared" si="3"/>
        <v>8</v>
      </c>
      <c r="T9" s="18" t="s">
        <v>61</v>
      </c>
      <c r="U9" s="9" t="s">
        <v>62</v>
      </c>
      <c r="V9" s="9" t="s">
        <v>63</v>
      </c>
    </row>
    <row r="10">
      <c r="A10" s="3" t="s">
        <v>38</v>
      </c>
      <c r="B10" s="8" t="s">
        <v>64</v>
      </c>
      <c r="C10" s="3" t="s">
        <v>65</v>
      </c>
      <c r="D10" s="4">
        <v>40000.0</v>
      </c>
      <c r="E10" s="17">
        <v>24.0</v>
      </c>
      <c r="F10" s="5">
        <f t="shared" si="1"/>
        <v>960000</v>
      </c>
      <c r="G10" s="6">
        <v>46152.0</v>
      </c>
      <c r="H10" s="4">
        <v>1.0</v>
      </c>
      <c r="I10" s="7">
        <f t="shared" si="2"/>
        <v>46159</v>
      </c>
      <c r="J10" s="11" t="s">
        <v>30</v>
      </c>
      <c r="K10" s="8" t="s">
        <v>37</v>
      </c>
      <c r="L10" s="19">
        <f>IF(A10="","",IF(OR(G10="",AND(G10&gt;=Dashboard!$C$18,G10&lt;=Dashboard!$C$19)),1,0))</f>
        <v>1</v>
      </c>
      <c r="M10" s="19">
        <f>IF(AND(L10=1,OR(Dashboard!$C$13="All",A10=Dashboard!$C$13),OR(Dashboard!$C$14="All",B10=Dashboard!$C$14),OR(Dashboard!$C$15="All",C10=Dashboard!$C$15),OR(Dashboard!$C$16="All",K10=Dashboard!$C$16),OR(Dashboard!$C$17="All",J10=Dashboard!$C$17)),1,0)</f>
        <v>1</v>
      </c>
      <c r="N10" s="19">
        <f>IF(AND(L10=1,OR(Dashboard!$C$13="All",A10=Dashboard!$C$13),OR(Dashboard!$C$14="All",B10=Dashboard!$C$14),OR(Dashboard!$C$16="All",K10=Dashboard!$C$16),OR(Dashboard!$C$17="All",J10=Dashboard!$C$17)),1,0)</f>
        <v>1</v>
      </c>
      <c r="O10" s="19">
        <f>IF(AND(L10=1,OR(Dashboard!$C$13="All",A10=Dashboard!$C$13),OR(Dashboard!$C$15="All",C10=Dashboard!$C$15),OR(Dashboard!$C$16="All",K10=Dashboard!$C$16),OR(Dashboard!$C$17="All",J10=Dashboard!$C$17)),1,0)</f>
        <v>1</v>
      </c>
      <c r="P10" s="19">
        <f>IF(AND(L10=1,OR(Dashboard!$C$13="All",A10=Dashboard!$C$13),OR(Dashboard!$C$14="All",B10=Dashboard!$C$14),OR(Dashboard!$C$15="All",C10=Dashboard!$C$15),OR(Dashboard!$C$17="All",J10=Dashboard!$C$17)),1,0)</f>
        <v>1</v>
      </c>
      <c r="Q10" s="19">
        <f>IF(AND(L10=1,OR(Dashboard!$C$14="All",B10=Dashboard!$C$14),OR(Dashboard!$C$15="All",C10=Dashboard!$C$15),OR(Dashboard!$C$16="All",K10=Dashboard!$C$16),OR(Dashboard!$C$17="All",J10=Dashboard!$C$17)),1,0)</f>
        <v>1</v>
      </c>
      <c r="R10" s="19">
        <f>IF(AND(L10=1,OR(Dashboard!$C$13="All",A10=Dashboard!$C$13),OR(Dashboard!$C$14="All",B10=Dashboard!$C$14),OR(Dashboard!$C$15="All",C10=Dashboard!$C$15),OR(Dashboard!$C$16="All",K10=Dashboard!$C$16)),1,0)</f>
        <v>1</v>
      </c>
      <c r="S10" s="19">
        <f t="shared" si="3"/>
        <v>9</v>
      </c>
      <c r="T10" s="9" t="s">
        <v>66</v>
      </c>
      <c r="U10" s="9" t="s">
        <v>67</v>
      </c>
      <c r="V10" s="9" t="s">
        <v>68</v>
      </c>
    </row>
    <row r="11">
      <c r="A11" s="10" t="s">
        <v>38</v>
      </c>
      <c r="B11" s="11" t="s">
        <v>41</v>
      </c>
      <c r="C11" s="10" t="s">
        <v>69</v>
      </c>
      <c r="D11" s="13">
        <v>5.0</v>
      </c>
      <c r="E11" s="14">
        <v>25.0</v>
      </c>
      <c r="F11" s="15">
        <f t="shared" si="1"/>
        <v>125</v>
      </c>
      <c r="G11" s="6">
        <v>46153.0</v>
      </c>
      <c r="H11" s="8">
        <v>2.0</v>
      </c>
      <c r="I11" s="16">
        <f t="shared" si="2"/>
        <v>46167</v>
      </c>
      <c r="J11" s="8" t="s">
        <v>36</v>
      </c>
      <c r="K11" s="11" t="s">
        <v>26</v>
      </c>
      <c r="L11" s="19">
        <f>IF(A11="","",IF(OR(G11="",AND(G11&gt;=Dashboard!$C$18,G11&lt;=Dashboard!$C$19)),1,0))</f>
        <v>1</v>
      </c>
      <c r="M11" s="19">
        <f>IF(AND(L11=1,OR(Dashboard!$C$13="All",A11=Dashboard!$C$13),OR(Dashboard!$C$14="All",B11=Dashboard!$C$14),OR(Dashboard!$C$15="All",C11=Dashboard!$C$15),OR(Dashboard!$C$16="All",K11=Dashboard!$C$16),OR(Dashboard!$C$17="All",J11=Dashboard!$C$17)),1,0)</f>
        <v>1</v>
      </c>
      <c r="N11" s="19">
        <f>IF(AND(L11=1,OR(Dashboard!$C$13="All",A11=Dashboard!$C$13),OR(Dashboard!$C$14="All",B11=Dashboard!$C$14),OR(Dashboard!$C$16="All",K11=Dashboard!$C$16),OR(Dashboard!$C$17="All",J11=Dashboard!$C$17)),1,0)</f>
        <v>1</v>
      </c>
      <c r="O11" s="19">
        <f>IF(AND(L11=1,OR(Dashboard!$C$13="All",A11=Dashboard!$C$13),OR(Dashboard!$C$15="All",C11=Dashboard!$C$15),OR(Dashboard!$C$16="All",K11=Dashboard!$C$16),OR(Dashboard!$C$17="All",J11=Dashboard!$C$17)),1,0)</f>
        <v>1</v>
      </c>
      <c r="P11" s="19">
        <f>IF(AND(L11=1,OR(Dashboard!$C$13="All",A11=Dashboard!$C$13),OR(Dashboard!$C$14="All",B11=Dashboard!$C$14),OR(Dashboard!$C$15="All",C11=Dashboard!$C$15),OR(Dashboard!$C$17="All",J11=Dashboard!$C$17)),1,0)</f>
        <v>1</v>
      </c>
      <c r="Q11" s="19">
        <f>IF(AND(L11=1,OR(Dashboard!$C$14="All",B11=Dashboard!$C$14),OR(Dashboard!$C$15="All",C11=Dashboard!$C$15),OR(Dashboard!$C$16="All",K11=Dashboard!$C$16),OR(Dashboard!$C$17="All",J11=Dashboard!$C$17)),1,0)</f>
        <v>1</v>
      </c>
      <c r="R11" s="19">
        <f>IF(AND(L11=1,OR(Dashboard!$C$13="All",A11=Dashboard!$C$13),OR(Dashboard!$C$14="All",B11=Dashboard!$C$14),OR(Dashboard!$C$15="All",C11=Dashboard!$C$15),OR(Dashboard!$C$16="All",K11=Dashboard!$C$16)),1,0)</f>
        <v>1</v>
      </c>
      <c r="S11" s="19">
        <f t="shared" si="3"/>
        <v>10</v>
      </c>
      <c r="T11" s="9" t="s">
        <v>70</v>
      </c>
      <c r="U11" s="9" t="s">
        <v>71</v>
      </c>
      <c r="V11" s="9" t="s">
        <v>72</v>
      </c>
    </row>
    <row r="12">
      <c r="A12" s="3" t="s">
        <v>38</v>
      </c>
      <c r="B12" s="8" t="s">
        <v>62</v>
      </c>
      <c r="C12" s="3" t="s">
        <v>73</v>
      </c>
      <c r="D12" s="4">
        <v>20.0</v>
      </c>
      <c r="E12" s="17">
        <v>36.0</v>
      </c>
      <c r="F12" s="5">
        <f t="shared" si="1"/>
        <v>720</v>
      </c>
      <c r="G12" s="6">
        <v>46154.0</v>
      </c>
      <c r="H12" s="8">
        <v>7.0</v>
      </c>
      <c r="I12" s="7">
        <f t="shared" si="2"/>
        <v>46203</v>
      </c>
      <c r="J12" s="4" t="s">
        <v>25</v>
      </c>
      <c r="K12" s="8" t="s">
        <v>48</v>
      </c>
      <c r="L12" s="19">
        <f>IF(A12="","",IF(OR(G12="",AND(G12&gt;=Dashboard!$C$18,G12&lt;=Dashboard!$C$19)),1,0))</f>
        <v>1</v>
      </c>
      <c r="M12" s="19">
        <f>IF(AND(L12=1,OR(Dashboard!$C$13="All",A12=Dashboard!$C$13),OR(Dashboard!$C$14="All",B12=Dashboard!$C$14),OR(Dashboard!$C$15="All",C12=Dashboard!$C$15),OR(Dashboard!$C$16="All",K12=Dashboard!$C$16),OR(Dashboard!$C$17="All",J12=Dashboard!$C$17)),1,0)</f>
        <v>1</v>
      </c>
      <c r="N12" s="19">
        <f>IF(AND(L12=1,OR(Dashboard!$C$13="All",A12=Dashboard!$C$13),OR(Dashboard!$C$14="All",B12=Dashboard!$C$14),OR(Dashboard!$C$16="All",K12=Dashboard!$C$16),OR(Dashboard!$C$17="All",J12=Dashboard!$C$17)),1,0)</f>
        <v>1</v>
      </c>
      <c r="O12" s="19">
        <f>IF(AND(L12=1,OR(Dashboard!$C$13="All",A12=Dashboard!$C$13),OR(Dashboard!$C$15="All",C12=Dashboard!$C$15),OR(Dashboard!$C$16="All",K12=Dashboard!$C$16),OR(Dashboard!$C$17="All",J12=Dashboard!$C$17)),1,0)</f>
        <v>1</v>
      </c>
      <c r="P12" s="19">
        <f>IF(AND(L12=1,OR(Dashboard!$C$13="All",A12=Dashboard!$C$13),OR(Dashboard!$C$14="All",B12=Dashboard!$C$14),OR(Dashboard!$C$15="All",C12=Dashboard!$C$15),OR(Dashboard!$C$17="All",J12=Dashboard!$C$17)),1,0)</f>
        <v>1</v>
      </c>
      <c r="Q12" s="19">
        <f>IF(AND(L12=1,OR(Dashboard!$C$14="All",B12=Dashboard!$C$14),OR(Dashboard!$C$15="All",C12=Dashboard!$C$15),OR(Dashboard!$C$16="All",K12=Dashboard!$C$16),OR(Dashboard!$C$17="All",J12=Dashboard!$C$17)),1,0)</f>
        <v>1</v>
      </c>
      <c r="R12" s="19">
        <f>IF(AND(L12=1,OR(Dashboard!$C$13="All",A12=Dashboard!$C$13),OR(Dashboard!$C$14="All",B12=Dashboard!$C$14),OR(Dashboard!$C$15="All",C12=Dashboard!$C$15),OR(Dashboard!$C$16="All",K12=Dashboard!$C$16)),1,0)</f>
        <v>1</v>
      </c>
      <c r="S12" s="19">
        <f t="shared" si="3"/>
        <v>11</v>
      </c>
      <c r="T12" s="9" t="s">
        <v>74</v>
      </c>
      <c r="U12" s="9" t="s">
        <v>64</v>
      </c>
      <c r="V12" s="9" t="s">
        <v>75</v>
      </c>
    </row>
    <row r="13">
      <c r="A13" s="10" t="s">
        <v>38</v>
      </c>
      <c r="B13" s="11" t="s">
        <v>67</v>
      </c>
      <c r="C13" s="10" t="s">
        <v>76</v>
      </c>
      <c r="D13" s="13">
        <v>5.0</v>
      </c>
      <c r="E13" s="14">
        <v>95.0</v>
      </c>
      <c r="F13" s="15">
        <f t="shared" si="1"/>
        <v>475</v>
      </c>
      <c r="G13" s="6">
        <v>46155.0</v>
      </c>
      <c r="H13" s="8">
        <v>2.0</v>
      </c>
      <c r="I13" s="16">
        <f t="shared" si="2"/>
        <v>46169</v>
      </c>
      <c r="J13" s="11" t="s">
        <v>30</v>
      </c>
      <c r="K13" s="13" t="s">
        <v>31</v>
      </c>
      <c r="L13" s="19">
        <f>IF(A13="","",IF(OR(G13="",AND(G13&gt;=Dashboard!$C$18,G13&lt;=Dashboard!$C$19)),1,0))</f>
        <v>1</v>
      </c>
      <c r="M13" s="19">
        <f>IF(AND(L13=1,OR(Dashboard!$C$13="All",A13=Dashboard!$C$13),OR(Dashboard!$C$14="All",B13=Dashboard!$C$14),OR(Dashboard!$C$15="All",C13=Dashboard!$C$15),OR(Dashboard!$C$16="All",K13=Dashboard!$C$16),OR(Dashboard!$C$17="All",J13=Dashboard!$C$17)),1,0)</f>
        <v>1</v>
      </c>
      <c r="N13" s="19">
        <f>IF(AND(L13=1,OR(Dashboard!$C$13="All",A13=Dashboard!$C$13),OR(Dashboard!$C$14="All",B13=Dashboard!$C$14),OR(Dashboard!$C$16="All",K13=Dashboard!$C$16),OR(Dashboard!$C$17="All",J13=Dashboard!$C$17)),1,0)</f>
        <v>1</v>
      </c>
      <c r="O13" s="19">
        <f>IF(AND(L13=1,OR(Dashboard!$C$13="All",A13=Dashboard!$C$13),OR(Dashboard!$C$15="All",C13=Dashboard!$C$15),OR(Dashboard!$C$16="All",K13=Dashboard!$C$16),OR(Dashboard!$C$17="All",J13=Dashboard!$C$17)),1,0)</f>
        <v>1</v>
      </c>
      <c r="P13" s="19">
        <f>IF(AND(L13=1,OR(Dashboard!$C$13="All",A13=Dashboard!$C$13),OR(Dashboard!$C$14="All",B13=Dashboard!$C$14),OR(Dashboard!$C$15="All",C13=Dashboard!$C$15),OR(Dashboard!$C$17="All",J13=Dashboard!$C$17)),1,0)</f>
        <v>1</v>
      </c>
      <c r="Q13" s="19">
        <f>IF(AND(L13=1,OR(Dashboard!$C$14="All",B13=Dashboard!$C$14),OR(Dashboard!$C$15="All",C13=Dashboard!$C$15),OR(Dashboard!$C$16="All",K13=Dashboard!$C$16),OR(Dashboard!$C$17="All",J13=Dashboard!$C$17)),1,0)</f>
        <v>1</v>
      </c>
      <c r="R13" s="19">
        <f>IF(AND(L13=1,OR(Dashboard!$C$13="All",A13=Dashboard!$C$13),OR(Dashboard!$C$14="All",B13=Dashboard!$C$14),OR(Dashboard!$C$15="All",C13=Dashboard!$C$15),OR(Dashboard!$C$16="All",K13=Dashboard!$C$16)),1,0)</f>
        <v>1</v>
      </c>
      <c r="S13" s="19">
        <f t="shared" si="3"/>
        <v>12</v>
      </c>
      <c r="T13" s="9" t="s">
        <v>77</v>
      </c>
      <c r="U13" s="9" t="s">
        <v>28</v>
      </c>
      <c r="V13" s="9" t="s">
        <v>78</v>
      </c>
    </row>
    <row r="14">
      <c r="A14" s="3" t="s">
        <v>38</v>
      </c>
      <c r="B14" s="8" t="s">
        <v>54</v>
      </c>
      <c r="C14" s="3" t="s">
        <v>79</v>
      </c>
      <c r="D14" s="4">
        <v>10.0</v>
      </c>
      <c r="E14" s="17">
        <v>574.0</v>
      </c>
      <c r="F14" s="5">
        <f t="shared" si="1"/>
        <v>5740</v>
      </c>
      <c r="G14" s="6">
        <v>46156.0</v>
      </c>
      <c r="H14" s="8">
        <v>6.0</v>
      </c>
      <c r="I14" s="7">
        <f t="shared" si="2"/>
        <v>46198</v>
      </c>
      <c r="J14" s="8" t="s">
        <v>36</v>
      </c>
      <c r="K14" s="4" t="s">
        <v>31</v>
      </c>
      <c r="L14" s="19">
        <f>IF(A14="","",IF(OR(G14="",AND(G14&gt;=Dashboard!$C$18,G14&lt;=Dashboard!$C$19)),1,0))</f>
        <v>1</v>
      </c>
      <c r="M14" s="19">
        <f>IF(AND(L14=1,OR(Dashboard!$C$13="All",A14=Dashboard!$C$13),OR(Dashboard!$C$14="All",B14=Dashboard!$C$14),OR(Dashboard!$C$15="All",C14=Dashboard!$C$15),OR(Dashboard!$C$16="All",K14=Dashboard!$C$16),OR(Dashboard!$C$17="All",J14=Dashboard!$C$17)),1,0)</f>
        <v>1</v>
      </c>
      <c r="N14" s="19">
        <f>IF(AND(L14=1,OR(Dashboard!$C$13="All",A14=Dashboard!$C$13),OR(Dashboard!$C$14="All",B14=Dashboard!$C$14),OR(Dashboard!$C$16="All",K14=Dashboard!$C$16),OR(Dashboard!$C$17="All",J14=Dashboard!$C$17)),1,0)</f>
        <v>1</v>
      </c>
      <c r="O14" s="19">
        <f>IF(AND(L14=1,OR(Dashboard!$C$13="All",A14=Dashboard!$C$13),OR(Dashboard!$C$15="All",C14=Dashboard!$C$15),OR(Dashboard!$C$16="All",K14=Dashboard!$C$16),OR(Dashboard!$C$17="All",J14=Dashboard!$C$17)),1,0)</f>
        <v>1</v>
      </c>
      <c r="P14" s="19">
        <f>IF(AND(L14=1,OR(Dashboard!$C$13="All",A14=Dashboard!$C$13),OR(Dashboard!$C$14="All",B14=Dashboard!$C$14),OR(Dashboard!$C$15="All",C14=Dashboard!$C$15),OR(Dashboard!$C$17="All",J14=Dashboard!$C$17)),1,0)</f>
        <v>1</v>
      </c>
      <c r="Q14" s="19">
        <f>IF(AND(L14=1,OR(Dashboard!$C$14="All",B14=Dashboard!$C$14),OR(Dashboard!$C$15="All",C14=Dashboard!$C$15),OR(Dashboard!$C$16="All",K14=Dashboard!$C$16),OR(Dashboard!$C$17="All",J14=Dashboard!$C$17)),1,0)</f>
        <v>1</v>
      </c>
      <c r="R14" s="19">
        <f>IF(AND(L14=1,OR(Dashboard!$C$13="All",A14=Dashboard!$C$13),OR(Dashboard!$C$14="All",B14=Dashboard!$C$14),OR(Dashboard!$C$15="All",C14=Dashboard!$C$15),OR(Dashboard!$C$16="All",K14=Dashboard!$C$16)),1,0)</f>
        <v>1</v>
      </c>
      <c r="S14" s="19">
        <f t="shared" si="3"/>
        <v>13</v>
      </c>
      <c r="T14" s="9" t="s">
        <v>80</v>
      </c>
      <c r="U14" s="9" t="s">
        <v>81</v>
      </c>
      <c r="V14" s="9" t="s">
        <v>29</v>
      </c>
    </row>
    <row r="15">
      <c r="A15" s="10" t="s">
        <v>38</v>
      </c>
      <c r="B15" s="11" t="s">
        <v>50</v>
      </c>
      <c r="C15" s="10" t="s">
        <v>82</v>
      </c>
      <c r="D15" s="13"/>
      <c r="E15" s="14">
        <v>558.0</v>
      </c>
      <c r="F15" s="15">
        <f t="shared" si="1"/>
        <v>0</v>
      </c>
      <c r="G15" s="6">
        <v>46157.0</v>
      </c>
      <c r="H15" s="8">
        <v>4.0</v>
      </c>
      <c r="I15" s="16">
        <f t="shared" si="2"/>
        <v>46185</v>
      </c>
      <c r="J15" s="11" t="s">
        <v>30</v>
      </c>
      <c r="K15" s="13" t="s">
        <v>31</v>
      </c>
      <c r="L15" s="19">
        <f>IF(A15="","",IF(OR(G15="",AND(G15&gt;=Dashboard!$C$18,G15&lt;=Dashboard!$C$19)),1,0))</f>
        <v>1</v>
      </c>
      <c r="M15" s="19">
        <f>IF(AND(L15=1,OR(Dashboard!$C$13="All",A15=Dashboard!$C$13),OR(Dashboard!$C$14="All",B15=Dashboard!$C$14),OR(Dashboard!$C$15="All",C15=Dashboard!$C$15),OR(Dashboard!$C$16="All",K15=Dashboard!$C$16),OR(Dashboard!$C$17="All",J15=Dashboard!$C$17)),1,0)</f>
        <v>1</v>
      </c>
      <c r="N15" s="19">
        <f>IF(AND(L15=1,OR(Dashboard!$C$13="All",A15=Dashboard!$C$13),OR(Dashboard!$C$14="All",B15=Dashboard!$C$14),OR(Dashboard!$C$16="All",K15=Dashboard!$C$16),OR(Dashboard!$C$17="All",J15=Dashboard!$C$17)),1,0)</f>
        <v>1</v>
      </c>
      <c r="O15" s="19">
        <f>IF(AND(L15=1,OR(Dashboard!$C$13="All",A15=Dashboard!$C$13),OR(Dashboard!$C$15="All",C15=Dashboard!$C$15),OR(Dashboard!$C$16="All",K15=Dashboard!$C$16),OR(Dashboard!$C$17="All",J15=Dashboard!$C$17)),1,0)</f>
        <v>1</v>
      </c>
      <c r="P15" s="19">
        <f>IF(AND(L15=1,OR(Dashboard!$C$13="All",A15=Dashboard!$C$13),OR(Dashboard!$C$14="All",B15=Dashboard!$C$14),OR(Dashboard!$C$15="All",C15=Dashboard!$C$15),OR(Dashboard!$C$17="All",J15=Dashboard!$C$17)),1,0)</f>
        <v>1</v>
      </c>
      <c r="Q15" s="19">
        <f>IF(AND(L15=1,OR(Dashboard!$C$14="All",B15=Dashboard!$C$14),OR(Dashboard!$C$15="All",C15=Dashboard!$C$15),OR(Dashboard!$C$16="All",K15=Dashboard!$C$16),OR(Dashboard!$C$17="All",J15=Dashboard!$C$17)),1,0)</f>
        <v>1</v>
      </c>
      <c r="R15" s="19">
        <f>IF(AND(L15=1,OR(Dashboard!$C$13="All",A15=Dashboard!$C$13),OR(Dashboard!$C$14="All",B15=Dashboard!$C$14),OR(Dashboard!$C$15="All",C15=Dashboard!$C$15),OR(Dashboard!$C$16="All",K15=Dashboard!$C$16)),1,0)</f>
        <v>1</v>
      </c>
      <c r="S15" s="19">
        <f t="shared" si="3"/>
        <v>14</v>
      </c>
      <c r="T15" s="9" t="s">
        <v>83</v>
      </c>
      <c r="U15" s="9" t="s">
        <v>46</v>
      </c>
      <c r="V15" s="9" t="s">
        <v>84</v>
      </c>
    </row>
    <row r="16">
      <c r="A16" s="3" t="s">
        <v>43</v>
      </c>
      <c r="B16" s="8" t="s">
        <v>85</v>
      </c>
      <c r="C16" s="3" t="s">
        <v>86</v>
      </c>
      <c r="D16" s="4">
        <v>2.0</v>
      </c>
      <c r="E16" s="17">
        <v>2265.0</v>
      </c>
      <c r="F16" s="5">
        <f t="shared" si="1"/>
        <v>4530</v>
      </c>
      <c r="G16" s="6">
        <v>46158.0</v>
      </c>
      <c r="H16" s="4">
        <v>1.0</v>
      </c>
      <c r="I16" s="7">
        <f t="shared" si="2"/>
        <v>46165</v>
      </c>
      <c r="J16" s="8" t="s">
        <v>36</v>
      </c>
      <c r="K16" s="4" t="s">
        <v>31</v>
      </c>
      <c r="L16" s="19">
        <f>IF(A16="","",IF(OR(G16="",AND(G16&gt;=Dashboard!$C$18,G16&lt;=Dashboard!$C$19)),1,0))</f>
        <v>1</v>
      </c>
      <c r="M16" s="19">
        <f>IF(AND(L16=1,OR(Dashboard!$C$13="All",A16=Dashboard!$C$13),OR(Dashboard!$C$14="All",B16=Dashboard!$C$14),OR(Dashboard!$C$15="All",C16=Dashboard!$C$15),OR(Dashboard!$C$16="All",K16=Dashboard!$C$16),OR(Dashboard!$C$17="All",J16=Dashboard!$C$17)),1,0)</f>
        <v>1</v>
      </c>
      <c r="N16" s="19">
        <f>IF(AND(L16=1,OR(Dashboard!$C$13="All",A16=Dashboard!$C$13),OR(Dashboard!$C$14="All",B16=Dashboard!$C$14),OR(Dashboard!$C$16="All",K16=Dashboard!$C$16),OR(Dashboard!$C$17="All",J16=Dashboard!$C$17)),1,0)</f>
        <v>1</v>
      </c>
      <c r="O16" s="19">
        <f>IF(AND(L16=1,OR(Dashboard!$C$13="All",A16=Dashboard!$C$13),OR(Dashboard!$C$15="All",C16=Dashboard!$C$15),OR(Dashboard!$C$16="All",K16=Dashboard!$C$16),OR(Dashboard!$C$17="All",J16=Dashboard!$C$17)),1,0)</f>
        <v>1</v>
      </c>
      <c r="P16" s="19">
        <f>IF(AND(L16=1,OR(Dashboard!$C$13="All",A16=Dashboard!$C$13),OR(Dashboard!$C$14="All",B16=Dashboard!$C$14),OR(Dashboard!$C$15="All",C16=Dashboard!$C$15),OR(Dashboard!$C$17="All",J16=Dashboard!$C$17)),1,0)</f>
        <v>1</v>
      </c>
      <c r="Q16" s="19">
        <f>IF(AND(L16=1,OR(Dashboard!$C$14="All",B16=Dashboard!$C$14),OR(Dashboard!$C$15="All",C16=Dashboard!$C$15),OR(Dashboard!$C$16="All",K16=Dashboard!$C$16),OR(Dashboard!$C$17="All",J16=Dashboard!$C$17)),1,0)</f>
        <v>1</v>
      </c>
      <c r="R16" s="19">
        <f>IF(AND(L16=1,OR(Dashboard!$C$13="All",A16=Dashboard!$C$13),OR(Dashboard!$C$14="All",B16=Dashboard!$C$14),OR(Dashboard!$C$15="All",C16=Dashboard!$C$15),OR(Dashboard!$C$16="All",K16=Dashboard!$C$16)),1,0)</f>
        <v>1</v>
      </c>
      <c r="S16" s="19">
        <f t="shared" si="3"/>
        <v>15</v>
      </c>
      <c r="T16" s="9" t="s">
        <v>87</v>
      </c>
      <c r="U16" s="9" t="s">
        <v>88</v>
      </c>
      <c r="V16" s="9" t="s">
        <v>89</v>
      </c>
    </row>
    <row r="17">
      <c r="A17" s="10" t="s">
        <v>43</v>
      </c>
      <c r="B17" s="11" t="s">
        <v>90</v>
      </c>
      <c r="C17" s="10" t="s">
        <v>91</v>
      </c>
      <c r="D17" s="13">
        <v>9.0</v>
      </c>
      <c r="E17" s="14">
        <v>45.0</v>
      </c>
      <c r="F17" s="15">
        <f t="shared" si="1"/>
        <v>405</v>
      </c>
      <c r="G17" s="6">
        <v>46159.0</v>
      </c>
      <c r="H17" s="8">
        <v>2.0</v>
      </c>
      <c r="I17" s="16">
        <f t="shared" si="2"/>
        <v>46173</v>
      </c>
      <c r="J17" s="13" t="s">
        <v>25</v>
      </c>
      <c r="K17" s="13" t="s">
        <v>31</v>
      </c>
      <c r="L17" s="19">
        <f>IF(A17="","",IF(OR(G17="",AND(G17&gt;=Dashboard!$C$18,G17&lt;=Dashboard!$C$19)),1,0))</f>
        <v>1</v>
      </c>
      <c r="M17" s="19">
        <f>IF(AND(L17=1,OR(Dashboard!$C$13="All",A17=Dashboard!$C$13),OR(Dashboard!$C$14="All",B17=Dashboard!$C$14),OR(Dashboard!$C$15="All",C17=Dashboard!$C$15),OR(Dashboard!$C$16="All",K17=Dashboard!$C$16),OR(Dashboard!$C$17="All",J17=Dashboard!$C$17)),1,0)</f>
        <v>1</v>
      </c>
      <c r="N17" s="19">
        <f>IF(AND(L17=1,OR(Dashboard!$C$13="All",A17=Dashboard!$C$13),OR(Dashboard!$C$14="All",B17=Dashboard!$C$14),OR(Dashboard!$C$16="All",K17=Dashboard!$C$16),OR(Dashboard!$C$17="All",J17=Dashboard!$C$17)),1,0)</f>
        <v>1</v>
      </c>
      <c r="O17" s="19">
        <f>IF(AND(L17=1,OR(Dashboard!$C$13="All",A17=Dashboard!$C$13),OR(Dashboard!$C$15="All",C17=Dashboard!$C$15),OR(Dashboard!$C$16="All",K17=Dashboard!$C$16),OR(Dashboard!$C$17="All",J17=Dashboard!$C$17)),1,0)</f>
        <v>1</v>
      </c>
      <c r="P17" s="19">
        <f>IF(AND(L17=1,OR(Dashboard!$C$13="All",A17=Dashboard!$C$13),OR(Dashboard!$C$14="All",B17=Dashboard!$C$14),OR(Dashboard!$C$15="All",C17=Dashboard!$C$15),OR(Dashboard!$C$17="All",J17=Dashboard!$C$17)),1,0)</f>
        <v>1</v>
      </c>
      <c r="Q17" s="19">
        <f>IF(AND(L17=1,OR(Dashboard!$C$14="All",B17=Dashboard!$C$14),OR(Dashboard!$C$15="All",C17=Dashboard!$C$15),OR(Dashboard!$C$16="All",K17=Dashboard!$C$16),OR(Dashboard!$C$17="All",J17=Dashboard!$C$17)),1,0)</f>
        <v>1</v>
      </c>
      <c r="R17" s="19">
        <f>IF(AND(L17=1,OR(Dashboard!$C$13="All",A17=Dashboard!$C$13),OR(Dashboard!$C$14="All",B17=Dashboard!$C$14),OR(Dashboard!$C$15="All",C17=Dashboard!$C$15),OR(Dashboard!$C$16="All",K17=Dashboard!$C$16)),1,0)</f>
        <v>1</v>
      </c>
      <c r="S17" s="19">
        <f t="shared" si="3"/>
        <v>16</v>
      </c>
      <c r="T17" s="9" t="s">
        <v>92</v>
      </c>
      <c r="U17" s="9" t="s">
        <v>85</v>
      </c>
      <c r="V17" s="9" t="s">
        <v>93</v>
      </c>
    </row>
    <row r="18">
      <c r="A18" s="3" t="s">
        <v>43</v>
      </c>
      <c r="B18" s="8" t="s">
        <v>50</v>
      </c>
      <c r="C18" s="3" t="s">
        <v>82</v>
      </c>
      <c r="D18" s="4">
        <v>2.0</v>
      </c>
      <c r="E18" s="17">
        <v>5554.0</v>
      </c>
      <c r="F18" s="5">
        <f t="shared" si="1"/>
        <v>11108</v>
      </c>
      <c r="G18" s="6">
        <v>46160.0</v>
      </c>
      <c r="H18" s="8">
        <v>4.0</v>
      </c>
      <c r="I18" s="7">
        <f t="shared" si="2"/>
        <v>46188</v>
      </c>
      <c r="J18" s="4" t="s">
        <v>25</v>
      </c>
      <c r="K18" s="8" t="s">
        <v>26</v>
      </c>
      <c r="L18" s="19">
        <f>IF(A18="","",IF(OR(G18="",AND(G18&gt;=Dashboard!$C$18,G18&lt;=Dashboard!$C$19)),1,0))</f>
        <v>1</v>
      </c>
      <c r="M18" s="19">
        <f>IF(AND(L18=1,OR(Dashboard!$C$13="All",A18=Dashboard!$C$13),OR(Dashboard!$C$14="All",B18=Dashboard!$C$14),OR(Dashboard!$C$15="All",C18=Dashboard!$C$15),OR(Dashboard!$C$16="All",K18=Dashboard!$C$16),OR(Dashboard!$C$17="All",J18=Dashboard!$C$17)),1,0)</f>
        <v>1</v>
      </c>
      <c r="N18" s="19">
        <f>IF(AND(L18=1,OR(Dashboard!$C$13="All",A18=Dashboard!$C$13),OR(Dashboard!$C$14="All",B18=Dashboard!$C$14),OR(Dashboard!$C$16="All",K18=Dashboard!$C$16),OR(Dashboard!$C$17="All",J18=Dashboard!$C$17)),1,0)</f>
        <v>1</v>
      </c>
      <c r="O18" s="19">
        <f>IF(AND(L18=1,OR(Dashboard!$C$13="All",A18=Dashboard!$C$13),OR(Dashboard!$C$15="All",C18=Dashboard!$C$15),OR(Dashboard!$C$16="All",K18=Dashboard!$C$16),OR(Dashboard!$C$17="All",J18=Dashboard!$C$17)),1,0)</f>
        <v>1</v>
      </c>
      <c r="P18" s="19">
        <f>IF(AND(L18=1,OR(Dashboard!$C$13="All",A18=Dashboard!$C$13),OR(Dashboard!$C$14="All",B18=Dashboard!$C$14),OR(Dashboard!$C$15="All",C18=Dashboard!$C$15),OR(Dashboard!$C$17="All",J18=Dashboard!$C$17)),1,0)</f>
        <v>1</v>
      </c>
      <c r="Q18" s="19">
        <f>IF(AND(L18=1,OR(Dashboard!$C$14="All",B18=Dashboard!$C$14),OR(Dashboard!$C$15="All",C18=Dashboard!$C$15),OR(Dashboard!$C$16="All",K18=Dashboard!$C$16),OR(Dashboard!$C$17="All",J18=Dashboard!$C$17)),1,0)</f>
        <v>1</v>
      </c>
      <c r="R18" s="19">
        <f>IF(AND(L18=1,OR(Dashboard!$C$13="All",A18=Dashboard!$C$13),OR(Dashboard!$C$14="All",B18=Dashboard!$C$14),OR(Dashboard!$C$15="All",C18=Dashboard!$C$15),OR(Dashboard!$C$16="All",K18=Dashboard!$C$16)),1,0)</f>
        <v>1</v>
      </c>
      <c r="S18" s="19">
        <f t="shared" si="3"/>
        <v>17</v>
      </c>
      <c r="T18" s="9" t="s">
        <v>94</v>
      </c>
      <c r="U18" s="9" t="s">
        <v>95</v>
      </c>
      <c r="V18" s="9" t="s">
        <v>96</v>
      </c>
    </row>
    <row r="19">
      <c r="A19" s="10" t="s">
        <v>43</v>
      </c>
      <c r="B19" s="11" t="s">
        <v>23</v>
      </c>
      <c r="C19" s="10" t="s">
        <v>97</v>
      </c>
      <c r="D19" s="13">
        <v>20198.0</v>
      </c>
      <c r="E19" s="14">
        <v>41.0</v>
      </c>
      <c r="F19" s="15">
        <f t="shared" si="1"/>
        <v>828118</v>
      </c>
      <c r="G19" s="6">
        <v>46161.0</v>
      </c>
      <c r="H19" s="8">
        <v>6.0</v>
      </c>
      <c r="I19" s="16">
        <f t="shared" si="2"/>
        <v>46203</v>
      </c>
      <c r="J19" s="11" t="s">
        <v>30</v>
      </c>
      <c r="K19" s="13" t="s">
        <v>31</v>
      </c>
      <c r="L19" s="19">
        <f>IF(A19="","",IF(OR(G19="",AND(G19&gt;=Dashboard!$C$18,G19&lt;=Dashboard!$C$19)),1,0))</f>
        <v>1</v>
      </c>
      <c r="M19" s="19">
        <f>IF(AND(L19=1,OR(Dashboard!$C$13="All",A19=Dashboard!$C$13),OR(Dashboard!$C$14="All",B19=Dashboard!$C$14),OR(Dashboard!$C$15="All",C19=Dashboard!$C$15),OR(Dashboard!$C$16="All",K19=Dashboard!$C$16),OR(Dashboard!$C$17="All",J19=Dashboard!$C$17)),1,0)</f>
        <v>1</v>
      </c>
      <c r="N19" s="19">
        <f>IF(AND(L19=1,OR(Dashboard!$C$13="All",A19=Dashboard!$C$13),OR(Dashboard!$C$14="All",B19=Dashboard!$C$14),OR(Dashboard!$C$16="All",K19=Dashboard!$C$16),OR(Dashboard!$C$17="All",J19=Dashboard!$C$17)),1,0)</f>
        <v>1</v>
      </c>
      <c r="O19" s="19">
        <f>IF(AND(L19=1,OR(Dashboard!$C$13="All",A19=Dashboard!$C$13),OR(Dashboard!$C$15="All",C19=Dashboard!$C$15),OR(Dashboard!$C$16="All",K19=Dashboard!$C$16),OR(Dashboard!$C$17="All",J19=Dashboard!$C$17)),1,0)</f>
        <v>1</v>
      </c>
      <c r="P19" s="19">
        <f>IF(AND(L19=1,OR(Dashboard!$C$13="All",A19=Dashboard!$C$13),OR(Dashboard!$C$14="All",B19=Dashboard!$C$14),OR(Dashboard!$C$15="All",C19=Dashboard!$C$15),OR(Dashboard!$C$17="All",J19=Dashboard!$C$17)),1,0)</f>
        <v>1</v>
      </c>
      <c r="Q19" s="19">
        <f>IF(AND(L19=1,OR(Dashboard!$C$14="All",B19=Dashboard!$C$14),OR(Dashboard!$C$15="All",C19=Dashboard!$C$15),OR(Dashboard!$C$16="All",K19=Dashboard!$C$16),OR(Dashboard!$C$17="All",J19=Dashboard!$C$17)),1,0)</f>
        <v>1</v>
      </c>
      <c r="R19" s="19">
        <f>IF(AND(L19=1,OR(Dashboard!$C$13="All",A19=Dashboard!$C$13),OR(Dashboard!$C$14="All",B19=Dashboard!$C$14),OR(Dashboard!$C$15="All",C19=Dashboard!$C$15),OR(Dashboard!$C$16="All",K19=Dashboard!$C$16)),1,0)</f>
        <v>1</v>
      </c>
      <c r="S19" s="19">
        <f t="shared" si="3"/>
        <v>18</v>
      </c>
      <c r="T19" s="9" t="s">
        <v>98</v>
      </c>
      <c r="U19" s="9" t="s">
        <v>56</v>
      </c>
      <c r="V19" s="9" t="s">
        <v>99</v>
      </c>
    </row>
    <row r="20">
      <c r="A20" s="3" t="s">
        <v>43</v>
      </c>
      <c r="B20" s="8" t="s">
        <v>34</v>
      </c>
      <c r="C20" s="3" t="s">
        <v>100</v>
      </c>
      <c r="D20" s="4">
        <v>1069.0</v>
      </c>
      <c r="E20" s="17">
        <v>231.0</v>
      </c>
      <c r="F20" s="5">
        <f t="shared" si="1"/>
        <v>246939</v>
      </c>
      <c r="G20" s="6">
        <v>46162.0</v>
      </c>
      <c r="H20" s="8">
        <v>8.0</v>
      </c>
      <c r="I20" s="7">
        <f t="shared" si="2"/>
        <v>46218</v>
      </c>
      <c r="J20" s="8" t="s">
        <v>36</v>
      </c>
      <c r="K20" s="8" t="s">
        <v>37</v>
      </c>
      <c r="L20" s="19">
        <f>IF(A20="","",IF(OR(G20="",AND(G20&gt;=Dashboard!$C$18,G20&lt;=Dashboard!$C$19)),1,0))</f>
        <v>1</v>
      </c>
      <c r="M20" s="19">
        <f>IF(AND(L20=1,OR(Dashboard!$C$13="All",A20=Dashboard!$C$13),OR(Dashboard!$C$14="All",B20=Dashboard!$C$14),OR(Dashboard!$C$15="All",C20=Dashboard!$C$15),OR(Dashboard!$C$16="All",K20=Dashboard!$C$16),OR(Dashboard!$C$17="All",J20=Dashboard!$C$17)),1,0)</f>
        <v>1</v>
      </c>
      <c r="N20" s="19">
        <f>IF(AND(L20=1,OR(Dashboard!$C$13="All",A20=Dashboard!$C$13),OR(Dashboard!$C$14="All",B20=Dashboard!$C$14),OR(Dashboard!$C$16="All",K20=Dashboard!$C$16),OR(Dashboard!$C$17="All",J20=Dashboard!$C$17)),1,0)</f>
        <v>1</v>
      </c>
      <c r="O20" s="19">
        <f>IF(AND(L20=1,OR(Dashboard!$C$13="All",A20=Dashboard!$C$13),OR(Dashboard!$C$15="All",C20=Dashboard!$C$15),OR(Dashboard!$C$16="All",K20=Dashboard!$C$16),OR(Dashboard!$C$17="All",J20=Dashboard!$C$17)),1,0)</f>
        <v>1</v>
      </c>
      <c r="P20" s="19">
        <f>IF(AND(L20=1,OR(Dashboard!$C$13="All",A20=Dashboard!$C$13),OR(Dashboard!$C$14="All",B20=Dashboard!$C$14),OR(Dashboard!$C$15="All",C20=Dashboard!$C$15),OR(Dashboard!$C$17="All",J20=Dashboard!$C$17)),1,0)</f>
        <v>1</v>
      </c>
      <c r="Q20" s="19">
        <f>IF(AND(L20=1,OR(Dashboard!$C$14="All",B20=Dashboard!$C$14),OR(Dashboard!$C$15="All",C20=Dashboard!$C$15),OR(Dashboard!$C$16="All",K20=Dashboard!$C$16),OR(Dashboard!$C$17="All",J20=Dashboard!$C$17)),1,0)</f>
        <v>1</v>
      </c>
      <c r="R20" s="19">
        <f>IF(AND(L20=1,OR(Dashboard!$C$13="All",A20=Dashboard!$C$13),OR(Dashboard!$C$14="All",B20=Dashboard!$C$14),OR(Dashboard!$C$15="All",C20=Dashboard!$C$15),OR(Dashboard!$C$16="All",K20=Dashboard!$C$16)),1,0)</f>
        <v>1</v>
      </c>
      <c r="S20" s="19">
        <f t="shared" si="3"/>
        <v>19</v>
      </c>
      <c r="T20" s="9" t="s">
        <v>101</v>
      </c>
      <c r="U20" s="9" t="s">
        <v>34</v>
      </c>
      <c r="V20" s="9" t="s">
        <v>102</v>
      </c>
    </row>
    <row r="21" ht="15.75" customHeight="1">
      <c r="A21" s="10" t="s">
        <v>43</v>
      </c>
      <c r="B21" s="11" t="s">
        <v>103</v>
      </c>
      <c r="C21" s="10" t="s">
        <v>104</v>
      </c>
      <c r="D21" s="13">
        <v>447.0</v>
      </c>
      <c r="E21" s="14">
        <v>25.0</v>
      </c>
      <c r="F21" s="15">
        <f t="shared" si="1"/>
        <v>11175</v>
      </c>
      <c r="G21" s="6">
        <v>46163.0</v>
      </c>
      <c r="H21" s="8">
        <v>9.0</v>
      </c>
      <c r="I21" s="16">
        <f t="shared" si="2"/>
        <v>46226</v>
      </c>
      <c r="J21" s="11" t="s">
        <v>30</v>
      </c>
      <c r="K21" s="11" t="s">
        <v>26</v>
      </c>
      <c r="L21" s="19">
        <f>IF(A21="","",IF(OR(G21="",AND(G21&gt;=Dashboard!$C$18,G21&lt;=Dashboard!$C$19)),1,0))</f>
        <v>1</v>
      </c>
      <c r="M21" s="19">
        <f>IF(AND(L21=1,OR(Dashboard!$C$13="All",A21=Dashboard!$C$13),OR(Dashboard!$C$14="All",B21=Dashboard!$C$14),OR(Dashboard!$C$15="All",C21=Dashboard!$C$15),OR(Dashboard!$C$16="All",K21=Dashboard!$C$16),OR(Dashboard!$C$17="All",J21=Dashboard!$C$17)),1,0)</f>
        <v>1</v>
      </c>
      <c r="N21" s="19">
        <f>IF(AND(L21=1,OR(Dashboard!$C$13="All",A21=Dashboard!$C$13),OR(Dashboard!$C$14="All",B21=Dashboard!$C$14),OR(Dashboard!$C$16="All",K21=Dashboard!$C$16),OR(Dashboard!$C$17="All",J21=Dashboard!$C$17)),1,0)</f>
        <v>1</v>
      </c>
      <c r="O21" s="19">
        <f>IF(AND(L21=1,OR(Dashboard!$C$13="All",A21=Dashboard!$C$13),OR(Dashboard!$C$15="All",C21=Dashboard!$C$15),OR(Dashboard!$C$16="All",K21=Dashboard!$C$16),OR(Dashboard!$C$17="All",J21=Dashboard!$C$17)),1,0)</f>
        <v>1</v>
      </c>
      <c r="P21" s="19">
        <f>IF(AND(L21=1,OR(Dashboard!$C$13="All",A21=Dashboard!$C$13),OR(Dashboard!$C$14="All",B21=Dashboard!$C$14),OR(Dashboard!$C$15="All",C21=Dashboard!$C$15),OR(Dashboard!$C$17="All",J21=Dashboard!$C$17)),1,0)</f>
        <v>1</v>
      </c>
      <c r="Q21" s="19">
        <f>IF(AND(L21=1,OR(Dashboard!$C$14="All",B21=Dashboard!$C$14),OR(Dashboard!$C$15="All",C21=Dashboard!$C$15),OR(Dashboard!$C$16="All",K21=Dashboard!$C$16),OR(Dashboard!$C$17="All",J21=Dashboard!$C$17)),1,0)</f>
        <v>1</v>
      </c>
      <c r="R21" s="19">
        <f>IF(AND(L21=1,OR(Dashboard!$C$13="All",A21=Dashboard!$C$13),OR(Dashboard!$C$14="All",B21=Dashboard!$C$14),OR(Dashboard!$C$15="All",C21=Dashboard!$C$15),OR(Dashboard!$C$16="All",K21=Dashboard!$C$16)),1,0)</f>
        <v>1</v>
      </c>
      <c r="S21" s="19">
        <f t="shared" si="3"/>
        <v>20</v>
      </c>
      <c r="T21" s="9" t="s">
        <v>105</v>
      </c>
      <c r="U21" s="9" t="s">
        <v>106</v>
      </c>
      <c r="V21" s="9" t="s">
        <v>107</v>
      </c>
    </row>
    <row r="22" ht="15.75" customHeight="1">
      <c r="A22" s="3" t="s">
        <v>43</v>
      </c>
      <c r="B22" s="8" t="s">
        <v>90</v>
      </c>
      <c r="C22" s="3" t="s">
        <v>108</v>
      </c>
      <c r="D22" s="4">
        <v>482.0</v>
      </c>
      <c r="E22" s="17">
        <v>245.0</v>
      </c>
      <c r="F22" s="5">
        <f t="shared" si="1"/>
        <v>118090</v>
      </c>
      <c r="G22" s="6">
        <v>46164.0</v>
      </c>
      <c r="H22" s="8">
        <v>4.0</v>
      </c>
      <c r="I22" s="7">
        <f t="shared" si="2"/>
        <v>46192</v>
      </c>
      <c r="J22" s="8" t="s">
        <v>36</v>
      </c>
      <c r="K22" s="8" t="s">
        <v>48</v>
      </c>
      <c r="L22" s="19">
        <f>IF(A22="","",IF(OR(G22="",AND(G22&gt;=Dashboard!$C$18,G22&lt;=Dashboard!$C$19)),1,0))</f>
        <v>1</v>
      </c>
      <c r="M22" s="19">
        <f>IF(AND(L22=1,OR(Dashboard!$C$13="All",A22=Dashboard!$C$13),OR(Dashboard!$C$14="All",B22=Dashboard!$C$14),OR(Dashboard!$C$15="All",C22=Dashboard!$C$15),OR(Dashboard!$C$16="All",K22=Dashboard!$C$16),OR(Dashboard!$C$17="All",J22=Dashboard!$C$17)),1,0)</f>
        <v>1</v>
      </c>
      <c r="N22" s="19">
        <f>IF(AND(L22=1,OR(Dashboard!$C$13="All",A22=Dashboard!$C$13),OR(Dashboard!$C$14="All",B22=Dashboard!$C$14),OR(Dashboard!$C$16="All",K22=Dashboard!$C$16),OR(Dashboard!$C$17="All",J22=Dashboard!$C$17)),1,0)</f>
        <v>1</v>
      </c>
      <c r="O22" s="19">
        <f>IF(AND(L22=1,OR(Dashboard!$C$13="All",A22=Dashboard!$C$13),OR(Dashboard!$C$15="All",C22=Dashboard!$C$15),OR(Dashboard!$C$16="All",K22=Dashboard!$C$16),OR(Dashboard!$C$17="All",J22=Dashboard!$C$17)),1,0)</f>
        <v>1</v>
      </c>
      <c r="P22" s="19">
        <f>IF(AND(L22=1,OR(Dashboard!$C$13="All",A22=Dashboard!$C$13),OR(Dashboard!$C$14="All",B22=Dashboard!$C$14),OR(Dashboard!$C$15="All",C22=Dashboard!$C$15),OR(Dashboard!$C$17="All",J22=Dashboard!$C$17)),1,0)</f>
        <v>1</v>
      </c>
      <c r="Q22" s="19">
        <f>IF(AND(L22=1,OR(Dashboard!$C$14="All",B22=Dashboard!$C$14),OR(Dashboard!$C$15="All",C22=Dashboard!$C$15),OR(Dashboard!$C$16="All",K22=Dashboard!$C$16),OR(Dashboard!$C$17="All",J22=Dashboard!$C$17)),1,0)</f>
        <v>1</v>
      </c>
      <c r="R22" s="19">
        <f>IF(AND(L22=1,OR(Dashboard!$C$13="All",A22=Dashboard!$C$13),OR(Dashboard!$C$14="All",B22=Dashboard!$C$14),OR(Dashboard!$C$15="All",C22=Dashboard!$C$15),OR(Dashboard!$C$16="All",K22=Dashboard!$C$16)),1,0)</f>
        <v>1</v>
      </c>
      <c r="S22" s="19">
        <f t="shared" si="3"/>
        <v>21</v>
      </c>
      <c r="T22" s="9" t="s">
        <v>109</v>
      </c>
      <c r="U22" s="9" t="s">
        <v>110</v>
      </c>
      <c r="V22" s="9" t="s">
        <v>111</v>
      </c>
    </row>
    <row r="23" ht="15.75" customHeight="1">
      <c r="A23" s="10" t="s">
        <v>49</v>
      </c>
      <c r="B23" s="11" t="s">
        <v>112</v>
      </c>
      <c r="C23" s="10" t="s">
        <v>108</v>
      </c>
      <c r="D23" s="13">
        <v>500.0</v>
      </c>
      <c r="E23" s="14">
        <v>2555.0</v>
      </c>
      <c r="F23" s="15">
        <f t="shared" si="1"/>
        <v>1277500</v>
      </c>
      <c r="G23" s="6">
        <v>46165.0</v>
      </c>
      <c r="H23" s="8">
        <v>3.0</v>
      </c>
      <c r="I23" s="16">
        <f t="shared" si="2"/>
        <v>46186</v>
      </c>
      <c r="J23" s="13" t="s">
        <v>25</v>
      </c>
      <c r="K23" s="13" t="s">
        <v>31</v>
      </c>
      <c r="L23" s="19">
        <f>IF(A23="","",IF(OR(G23="",AND(G23&gt;=Dashboard!$C$18,G23&lt;=Dashboard!$C$19)),1,0))</f>
        <v>1</v>
      </c>
      <c r="M23" s="19">
        <f>IF(AND(L23=1,OR(Dashboard!$C$13="All",A23=Dashboard!$C$13),OR(Dashboard!$C$14="All",B23=Dashboard!$C$14),OR(Dashboard!$C$15="All",C23=Dashboard!$C$15),OR(Dashboard!$C$16="All",K23=Dashboard!$C$16),OR(Dashboard!$C$17="All",J23=Dashboard!$C$17)),1,0)</f>
        <v>1</v>
      </c>
      <c r="N23" s="19">
        <f>IF(AND(L23=1,OR(Dashboard!$C$13="All",A23=Dashboard!$C$13),OR(Dashboard!$C$14="All",B23=Dashboard!$C$14),OR(Dashboard!$C$16="All",K23=Dashboard!$C$16),OR(Dashboard!$C$17="All",J23=Dashboard!$C$17)),1,0)</f>
        <v>1</v>
      </c>
      <c r="O23" s="19">
        <f>IF(AND(L23=1,OR(Dashboard!$C$13="All",A23=Dashboard!$C$13),OR(Dashboard!$C$15="All",C23=Dashboard!$C$15),OR(Dashboard!$C$16="All",K23=Dashboard!$C$16),OR(Dashboard!$C$17="All",J23=Dashboard!$C$17)),1,0)</f>
        <v>1</v>
      </c>
      <c r="P23" s="19">
        <f>IF(AND(L23=1,OR(Dashboard!$C$13="All",A23=Dashboard!$C$13),OR(Dashboard!$C$14="All",B23=Dashboard!$C$14),OR(Dashboard!$C$15="All",C23=Dashboard!$C$15),OR(Dashboard!$C$17="All",J23=Dashboard!$C$17)),1,0)</f>
        <v>1</v>
      </c>
      <c r="Q23" s="19">
        <f>IF(AND(L23=1,OR(Dashboard!$C$14="All",B23=Dashboard!$C$14),OR(Dashboard!$C$15="All",C23=Dashboard!$C$15),OR(Dashboard!$C$16="All",K23=Dashboard!$C$16),OR(Dashboard!$C$17="All",J23=Dashboard!$C$17)),1,0)</f>
        <v>1</v>
      </c>
      <c r="R23" s="19">
        <f>IF(AND(L23=1,OR(Dashboard!$C$13="All",A23=Dashboard!$C$13),OR(Dashboard!$C$14="All",B23=Dashboard!$C$14),OR(Dashboard!$C$15="All",C23=Dashboard!$C$15),OR(Dashboard!$C$16="All",K23=Dashboard!$C$16)),1,0)</f>
        <v>1</v>
      </c>
      <c r="S23" s="19">
        <f t="shared" si="3"/>
        <v>22</v>
      </c>
      <c r="T23" s="9" t="s">
        <v>113</v>
      </c>
      <c r="U23" s="9" t="s">
        <v>114</v>
      </c>
      <c r="V23" s="9" t="s">
        <v>115</v>
      </c>
    </row>
    <row r="24" ht="15.75" customHeight="1">
      <c r="A24" s="3" t="s">
        <v>53</v>
      </c>
      <c r="B24" s="4" t="s">
        <v>34</v>
      </c>
      <c r="C24" s="3" t="s">
        <v>108</v>
      </c>
      <c r="D24" s="4">
        <v>5000.0</v>
      </c>
      <c r="E24" s="17">
        <v>255.0</v>
      </c>
      <c r="F24" s="5">
        <f t="shared" si="1"/>
        <v>1275000</v>
      </c>
      <c r="G24" s="6">
        <v>46166.0</v>
      </c>
      <c r="H24" s="4">
        <v>1.0</v>
      </c>
      <c r="I24" s="7">
        <f t="shared" si="2"/>
        <v>46173</v>
      </c>
      <c r="J24" s="4" t="s">
        <v>25</v>
      </c>
      <c r="K24" s="4" t="s">
        <v>31</v>
      </c>
      <c r="L24" s="19">
        <f>IF(A24="","",IF(OR(G24="",AND(G24&gt;=Dashboard!$C$18,G24&lt;=Dashboard!$C$19)),1,0))</f>
        <v>1</v>
      </c>
      <c r="M24" s="19">
        <f>IF(AND(L24=1,OR(Dashboard!$C$13="All",A24=Dashboard!$C$13),OR(Dashboard!$C$14="All",B24=Dashboard!$C$14),OR(Dashboard!$C$15="All",C24=Dashboard!$C$15),OR(Dashboard!$C$16="All",K24=Dashboard!$C$16),OR(Dashboard!$C$17="All",J24=Dashboard!$C$17)),1,0)</f>
        <v>1</v>
      </c>
      <c r="N24" s="19">
        <f>IF(AND(L24=1,OR(Dashboard!$C$13="All",A24=Dashboard!$C$13),OR(Dashboard!$C$14="All",B24=Dashboard!$C$14),OR(Dashboard!$C$16="All",K24=Dashboard!$C$16),OR(Dashboard!$C$17="All",J24=Dashboard!$C$17)),1,0)</f>
        <v>1</v>
      </c>
      <c r="O24" s="19">
        <f>IF(AND(L24=1,OR(Dashboard!$C$13="All",A24=Dashboard!$C$13),OR(Dashboard!$C$15="All",C24=Dashboard!$C$15),OR(Dashboard!$C$16="All",K24=Dashboard!$C$16),OR(Dashboard!$C$17="All",J24=Dashboard!$C$17)),1,0)</f>
        <v>1</v>
      </c>
      <c r="P24" s="19">
        <f>IF(AND(L24=1,OR(Dashboard!$C$13="All",A24=Dashboard!$C$13),OR(Dashboard!$C$14="All",B24=Dashboard!$C$14),OR(Dashboard!$C$15="All",C24=Dashboard!$C$15),OR(Dashboard!$C$17="All",J24=Dashboard!$C$17)),1,0)</f>
        <v>1</v>
      </c>
      <c r="Q24" s="19">
        <f>IF(AND(L24=1,OR(Dashboard!$C$14="All",B24=Dashboard!$C$14),OR(Dashboard!$C$15="All",C24=Dashboard!$C$15),OR(Dashboard!$C$16="All",K24=Dashboard!$C$16),OR(Dashboard!$C$17="All",J24=Dashboard!$C$17)),1,0)</f>
        <v>1</v>
      </c>
      <c r="R24" s="19">
        <f>IF(AND(L24=1,OR(Dashboard!$C$13="All",A24=Dashboard!$C$13),OR(Dashboard!$C$14="All",B24=Dashboard!$C$14),OR(Dashboard!$C$15="All",C24=Dashboard!$C$15),OR(Dashboard!$C$16="All",K24=Dashboard!$C$16)),1,0)</f>
        <v>1</v>
      </c>
      <c r="S24" s="19">
        <f t="shared" si="3"/>
        <v>23</v>
      </c>
      <c r="T24" s="9" t="s">
        <v>116</v>
      </c>
      <c r="U24" s="9" t="s">
        <v>117</v>
      </c>
      <c r="V24" s="9" t="s">
        <v>118</v>
      </c>
    </row>
    <row r="25" ht="15.75" customHeight="1">
      <c r="A25" s="10" t="s">
        <v>58</v>
      </c>
      <c r="B25" s="13" t="s">
        <v>114</v>
      </c>
      <c r="C25" s="10" t="s">
        <v>119</v>
      </c>
      <c r="D25" s="13">
        <v>1.0</v>
      </c>
      <c r="E25" s="14">
        <v>45.0</v>
      </c>
      <c r="F25" s="15">
        <f t="shared" si="1"/>
        <v>45</v>
      </c>
      <c r="G25" s="6">
        <v>46167.0</v>
      </c>
      <c r="H25" s="8">
        <v>2.0</v>
      </c>
      <c r="I25" s="16">
        <f t="shared" si="2"/>
        <v>46181</v>
      </c>
      <c r="J25" s="11" t="s">
        <v>30</v>
      </c>
      <c r="K25" s="13" t="s">
        <v>31</v>
      </c>
      <c r="L25" s="19">
        <f>IF(A25="","",IF(OR(G25="",AND(G25&gt;=Dashboard!$C$18,G25&lt;=Dashboard!$C$19)),1,0))</f>
        <v>1</v>
      </c>
      <c r="M25" s="19">
        <f>IF(AND(L25=1,OR(Dashboard!$C$13="All",A25=Dashboard!$C$13),OR(Dashboard!$C$14="All",B25=Dashboard!$C$14),OR(Dashboard!$C$15="All",C25=Dashboard!$C$15),OR(Dashboard!$C$16="All",K25=Dashboard!$C$16),OR(Dashboard!$C$17="All",J25=Dashboard!$C$17)),1,0)</f>
        <v>1</v>
      </c>
      <c r="N25" s="19">
        <f>IF(AND(L25=1,OR(Dashboard!$C$13="All",A25=Dashboard!$C$13),OR(Dashboard!$C$14="All",B25=Dashboard!$C$14),OR(Dashboard!$C$16="All",K25=Dashboard!$C$16),OR(Dashboard!$C$17="All",J25=Dashboard!$C$17)),1,0)</f>
        <v>1</v>
      </c>
      <c r="O25" s="19">
        <f>IF(AND(L25=1,OR(Dashboard!$C$13="All",A25=Dashboard!$C$13),OR(Dashboard!$C$15="All",C25=Dashboard!$C$15),OR(Dashboard!$C$16="All",K25=Dashboard!$C$16),OR(Dashboard!$C$17="All",J25=Dashboard!$C$17)),1,0)</f>
        <v>1</v>
      </c>
      <c r="P25" s="19">
        <f>IF(AND(L25=1,OR(Dashboard!$C$13="All",A25=Dashboard!$C$13),OR(Dashboard!$C$14="All",B25=Dashboard!$C$14),OR(Dashboard!$C$15="All",C25=Dashboard!$C$15),OR(Dashboard!$C$17="All",J25=Dashboard!$C$17)),1,0)</f>
        <v>1</v>
      </c>
      <c r="Q25" s="19">
        <f>IF(AND(L25=1,OR(Dashboard!$C$14="All",B25=Dashboard!$C$14),OR(Dashboard!$C$15="All",C25=Dashboard!$C$15),OR(Dashboard!$C$16="All",K25=Dashboard!$C$16),OR(Dashboard!$C$17="All",J25=Dashboard!$C$17)),1,0)</f>
        <v>1</v>
      </c>
      <c r="R25" s="19">
        <f>IF(AND(L25=1,OR(Dashboard!$C$13="All",A25=Dashboard!$C$13),OR(Dashboard!$C$14="All",B25=Dashboard!$C$14),OR(Dashboard!$C$15="All",C25=Dashboard!$C$15),OR(Dashboard!$C$16="All",K25=Dashboard!$C$16)),1,0)</f>
        <v>1</v>
      </c>
      <c r="S25" s="19">
        <f t="shared" si="3"/>
        <v>24</v>
      </c>
      <c r="T25" s="9" t="s">
        <v>120</v>
      </c>
      <c r="U25" s="9" t="s">
        <v>121</v>
      </c>
      <c r="V25" s="9" t="s">
        <v>122</v>
      </c>
    </row>
    <row r="26" ht="15.75" customHeight="1">
      <c r="A26" s="3" t="s">
        <v>58</v>
      </c>
      <c r="B26" s="4" t="s">
        <v>71</v>
      </c>
      <c r="C26" s="3" t="s">
        <v>123</v>
      </c>
      <c r="D26" s="4">
        <v>2.0</v>
      </c>
      <c r="E26" s="17">
        <v>36.0</v>
      </c>
      <c r="F26" s="5">
        <f t="shared" si="1"/>
        <v>72</v>
      </c>
      <c r="G26" s="6">
        <v>46168.0</v>
      </c>
      <c r="H26" s="8">
        <v>7.0</v>
      </c>
      <c r="I26" s="7">
        <f t="shared" si="2"/>
        <v>46217</v>
      </c>
      <c r="J26" s="8" t="s">
        <v>36</v>
      </c>
      <c r="K26" s="8" t="s">
        <v>26</v>
      </c>
      <c r="L26" s="19">
        <f>IF(A26="","",IF(OR(G26="",AND(G26&gt;=Dashboard!$C$18,G26&lt;=Dashboard!$C$19)),1,0))</f>
        <v>1</v>
      </c>
      <c r="M26" s="19">
        <f>IF(AND(L26=1,OR(Dashboard!$C$13="All",A26=Dashboard!$C$13),OR(Dashboard!$C$14="All",B26=Dashboard!$C$14),OR(Dashboard!$C$15="All",C26=Dashboard!$C$15),OR(Dashboard!$C$16="All",K26=Dashboard!$C$16),OR(Dashboard!$C$17="All",J26=Dashboard!$C$17)),1,0)</f>
        <v>1</v>
      </c>
      <c r="N26" s="19">
        <f>IF(AND(L26=1,OR(Dashboard!$C$13="All",A26=Dashboard!$C$13),OR(Dashboard!$C$14="All",B26=Dashboard!$C$14),OR(Dashboard!$C$16="All",K26=Dashboard!$C$16),OR(Dashboard!$C$17="All",J26=Dashboard!$C$17)),1,0)</f>
        <v>1</v>
      </c>
      <c r="O26" s="19">
        <f>IF(AND(L26=1,OR(Dashboard!$C$13="All",A26=Dashboard!$C$13),OR(Dashboard!$C$15="All",C26=Dashboard!$C$15),OR(Dashboard!$C$16="All",K26=Dashboard!$C$16),OR(Dashboard!$C$17="All",J26=Dashboard!$C$17)),1,0)</f>
        <v>1</v>
      </c>
      <c r="P26" s="19">
        <f>IF(AND(L26=1,OR(Dashboard!$C$13="All",A26=Dashboard!$C$13),OR(Dashboard!$C$14="All",B26=Dashboard!$C$14),OR(Dashboard!$C$15="All",C26=Dashboard!$C$15),OR(Dashboard!$C$17="All",J26=Dashboard!$C$17)),1,0)</f>
        <v>1</v>
      </c>
      <c r="Q26" s="19">
        <f>IF(AND(L26=1,OR(Dashboard!$C$14="All",B26=Dashboard!$C$14),OR(Dashboard!$C$15="All",C26=Dashboard!$C$15),OR(Dashboard!$C$16="All",K26=Dashboard!$C$16),OR(Dashboard!$C$17="All",J26=Dashboard!$C$17)),1,0)</f>
        <v>1</v>
      </c>
      <c r="R26" s="19">
        <f>IF(AND(L26=1,OR(Dashboard!$C$13="All",A26=Dashboard!$C$13),OR(Dashboard!$C$14="All",B26=Dashboard!$C$14),OR(Dashboard!$C$15="All",C26=Dashboard!$C$15),OR(Dashboard!$C$16="All",K26=Dashboard!$C$16)),1,0)</f>
        <v>1</v>
      </c>
      <c r="S26" s="19">
        <f t="shared" si="3"/>
        <v>25</v>
      </c>
      <c r="T26" s="9" t="s">
        <v>124</v>
      </c>
      <c r="U26" s="9" t="s">
        <v>125</v>
      </c>
      <c r="V26" s="9" t="s">
        <v>126</v>
      </c>
    </row>
    <row r="27" ht="15.75" customHeight="1">
      <c r="A27" s="10" t="s">
        <v>58</v>
      </c>
      <c r="B27" s="13" t="s">
        <v>34</v>
      </c>
      <c r="C27" s="10" t="s">
        <v>127</v>
      </c>
      <c r="D27" s="13">
        <v>50.0</v>
      </c>
      <c r="E27" s="14">
        <v>96.0</v>
      </c>
      <c r="F27" s="15">
        <f t="shared" si="1"/>
        <v>4800</v>
      </c>
      <c r="G27" s="6">
        <v>46169.0</v>
      </c>
      <c r="H27" s="8">
        <v>2.0</v>
      </c>
      <c r="I27" s="16">
        <f t="shared" si="2"/>
        <v>46183</v>
      </c>
      <c r="J27" s="11" t="s">
        <v>30</v>
      </c>
      <c r="K27" s="13" t="s">
        <v>31</v>
      </c>
      <c r="L27" s="19">
        <f>IF(A27="","",IF(OR(G27="",AND(G27&gt;=Dashboard!$C$18,G27&lt;=Dashboard!$C$19)),1,0))</f>
        <v>1</v>
      </c>
      <c r="M27" s="19">
        <f>IF(AND(L27=1,OR(Dashboard!$C$13="All",A27=Dashboard!$C$13),OR(Dashboard!$C$14="All",B27=Dashboard!$C$14),OR(Dashboard!$C$15="All",C27=Dashboard!$C$15),OR(Dashboard!$C$16="All",K27=Dashboard!$C$16),OR(Dashboard!$C$17="All",J27=Dashboard!$C$17)),1,0)</f>
        <v>1</v>
      </c>
      <c r="N27" s="19">
        <f>IF(AND(L27=1,OR(Dashboard!$C$13="All",A27=Dashboard!$C$13),OR(Dashboard!$C$14="All",B27=Dashboard!$C$14),OR(Dashboard!$C$16="All",K27=Dashboard!$C$16),OR(Dashboard!$C$17="All",J27=Dashboard!$C$17)),1,0)</f>
        <v>1</v>
      </c>
      <c r="O27" s="19">
        <f>IF(AND(L27=1,OR(Dashboard!$C$13="All",A27=Dashboard!$C$13),OR(Dashboard!$C$15="All",C27=Dashboard!$C$15),OR(Dashboard!$C$16="All",K27=Dashboard!$C$16),OR(Dashboard!$C$17="All",J27=Dashboard!$C$17)),1,0)</f>
        <v>1</v>
      </c>
      <c r="P27" s="19">
        <f>IF(AND(L27=1,OR(Dashboard!$C$13="All",A27=Dashboard!$C$13),OR(Dashboard!$C$14="All",B27=Dashboard!$C$14),OR(Dashboard!$C$15="All",C27=Dashboard!$C$15),OR(Dashboard!$C$17="All",J27=Dashboard!$C$17)),1,0)</f>
        <v>1</v>
      </c>
      <c r="Q27" s="19">
        <f>IF(AND(L27=1,OR(Dashboard!$C$14="All",B27=Dashboard!$C$14),OR(Dashboard!$C$15="All",C27=Dashboard!$C$15),OR(Dashboard!$C$16="All",K27=Dashboard!$C$16),OR(Dashboard!$C$17="All",J27=Dashboard!$C$17)),1,0)</f>
        <v>1</v>
      </c>
      <c r="R27" s="19">
        <f>IF(AND(L27=1,OR(Dashboard!$C$13="All",A27=Dashboard!$C$13),OR(Dashboard!$C$14="All",B27=Dashboard!$C$14),OR(Dashboard!$C$15="All",C27=Dashboard!$C$15),OR(Dashboard!$C$16="All",K27=Dashboard!$C$16)),1,0)</f>
        <v>1</v>
      </c>
      <c r="S27" s="19">
        <f t="shared" si="3"/>
        <v>26</v>
      </c>
      <c r="T27" s="9" t="s">
        <v>128</v>
      </c>
      <c r="U27" s="9" t="s">
        <v>112</v>
      </c>
      <c r="V27" s="9" t="s">
        <v>129</v>
      </c>
    </row>
    <row r="28" ht="15.75" customHeight="1">
      <c r="A28" s="20" t="s">
        <v>61</v>
      </c>
      <c r="B28" s="4" t="s">
        <v>71</v>
      </c>
      <c r="C28" s="3" t="s">
        <v>76</v>
      </c>
      <c r="D28" s="4">
        <v>16.0</v>
      </c>
      <c r="E28" s="17">
        <v>8.0</v>
      </c>
      <c r="F28" s="5">
        <f t="shared" si="1"/>
        <v>128</v>
      </c>
      <c r="G28" s="6">
        <v>46170.0</v>
      </c>
      <c r="H28" s="8">
        <v>6.0</v>
      </c>
      <c r="I28" s="7">
        <f t="shared" si="2"/>
        <v>46212</v>
      </c>
      <c r="J28" s="8" t="s">
        <v>36</v>
      </c>
      <c r="K28" s="8" t="s">
        <v>37</v>
      </c>
      <c r="L28" s="19">
        <f>IF(A28="","",IF(OR(G28="",AND(G28&gt;=Dashboard!$C$18,G28&lt;=Dashboard!$C$19)),1,0))</f>
        <v>1</v>
      </c>
      <c r="M28" s="19">
        <f>IF(AND(L28=1,OR(Dashboard!$C$13="All",A28=Dashboard!$C$13),OR(Dashboard!$C$14="All",B28=Dashboard!$C$14),OR(Dashboard!$C$15="All",C28=Dashboard!$C$15),OR(Dashboard!$C$16="All",K28=Dashboard!$C$16),OR(Dashboard!$C$17="All",J28=Dashboard!$C$17)),1,0)</f>
        <v>1</v>
      </c>
      <c r="N28" s="19">
        <f>IF(AND(L28=1,OR(Dashboard!$C$13="All",A28=Dashboard!$C$13),OR(Dashboard!$C$14="All",B28=Dashboard!$C$14),OR(Dashboard!$C$16="All",K28=Dashboard!$C$16),OR(Dashboard!$C$17="All",J28=Dashboard!$C$17)),1,0)</f>
        <v>1</v>
      </c>
      <c r="O28" s="19">
        <f>IF(AND(L28=1,OR(Dashboard!$C$13="All",A28=Dashboard!$C$13),OR(Dashboard!$C$15="All",C28=Dashboard!$C$15),OR(Dashboard!$C$16="All",K28=Dashboard!$C$16),OR(Dashboard!$C$17="All",J28=Dashboard!$C$17)),1,0)</f>
        <v>1</v>
      </c>
      <c r="P28" s="19">
        <f>IF(AND(L28=1,OR(Dashboard!$C$13="All",A28=Dashboard!$C$13),OR(Dashboard!$C$14="All",B28=Dashboard!$C$14),OR(Dashboard!$C$15="All",C28=Dashboard!$C$15),OR(Dashboard!$C$17="All",J28=Dashboard!$C$17)),1,0)</f>
        <v>1</v>
      </c>
      <c r="Q28" s="19">
        <f>IF(AND(L28=1,OR(Dashboard!$C$14="All",B28=Dashboard!$C$14),OR(Dashboard!$C$15="All",C28=Dashboard!$C$15),OR(Dashboard!$C$16="All",K28=Dashboard!$C$16),OR(Dashboard!$C$17="All",J28=Dashboard!$C$17)),1,0)</f>
        <v>1</v>
      </c>
      <c r="R28" s="19">
        <f>IF(AND(L28=1,OR(Dashboard!$C$13="All",A28=Dashboard!$C$13),OR(Dashboard!$C$14="All",B28=Dashboard!$C$14),OR(Dashboard!$C$15="All",C28=Dashboard!$C$15),OR(Dashboard!$C$16="All",K28=Dashboard!$C$16)),1,0)</f>
        <v>1</v>
      </c>
      <c r="S28" s="19">
        <f t="shared" si="3"/>
        <v>27</v>
      </c>
      <c r="T28" s="9" t="s">
        <v>130</v>
      </c>
      <c r="U28" s="9" t="s">
        <v>131</v>
      </c>
      <c r="V28" s="9" t="s">
        <v>132</v>
      </c>
    </row>
    <row r="29" ht="15.75" customHeight="1">
      <c r="A29" s="21" t="s">
        <v>61</v>
      </c>
      <c r="B29" s="13" t="s">
        <v>71</v>
      </c>
      <c r="C29" s="10" t="s">
        <v>79</v>
      </c>
      <c r="D29" s="13">
        <v>15.0</v>
      </c>
      <c r="E29" s="14">
        <v>5.0</v>
      </c>
      <c r="F29" s="15">
        <f t="shared" si="1"/>
        <v>75</v>
      </c>
      <c r="G29" s="6">
        <v>46171.0</v>
      </c>
      <c r="H29" s="8">
        <v>4.0</v>
      </c>
      <c r="I29" s="16">
        <f t="shared" si="2"/>
        <v>46199</v>
      </c>
      <c r="J29" s="13" t="s">
        <v>25</v>
      </c>
      <c r="K29" s="11" t="s">
        <v>26</v>
      </c>
      <c r="L29" s="19">
        <f>IF(A29="","",IF(OR(G29="",AND(G29&gt;=Dashboard!$C$18,G29&lt;=Dashboard!$C$19)),1,0))</f>
        <v>1</v>
      </c>
      <c r="M29" s="19">
        <f>IF(AND(L29=1,OR(Dashboard!$C$13="All",A29=Dashboard!$C$13),OR(Dashboard!$C$14="All",B29=Dashboard!$C$14),OR(Dashboard!$C$15="All",C29=Dashboard!$C$15),OR(Dashboard!$C$16="All",K29=Dashboard!$C$16),OR(Dashboard!$C$17="All",J29=Dashboard!$C$17)),1,0)</f>
        <v>1</v>
      </c>
      <c r="N29" s="19">
        <f>IF(AND(L29=1,OR(Dashboard!$C$13="All",A29=Dashboard!$C$13),OR(Dashboard!$C$14="All",B29=Dashboard!$C$14),OR(Dashboard!$C$16="All",K29=Dashboard!$C$16),OR(Dashboard!$C$17="All",J29=Dashboard!$C$17)),1,0)</f>
        <v>1</v>
      </c>
      <c r="O29" s="19">
        <f>IF(AND(L29=1,OR(Dashboard!$C$13="All",A29=Dashboard!$C$13),OR(Dashboard!$C$15="All",C29=Dashboard!$C$15),OR(Dashboard!$C$16="All",K29=Dashboard!$C$16),OR(Dashboard!$C$17="All",J29=Dashboard!$C$17)),1,0)</f>
        <v>1</v>
      </c>
      <c r="P29" s="19">
        <f>IF(AND(L29=1,OR(Dashboard!$C$13="All",A29=Dashboard!$C$13),OR(Dashboard!$C$14="All",B29=Dashboard!$C$14),OR(Dashboard!$C$15="All",C29=Dashboard!$C$15),OR(Dashboard!$C$17="All",J29=Dashboard!$C$17)),1,0)</f>
        <v>1</v>
      </c>
      <c r="Q29" s="19">
        <f>IF(AND(L29=1,OR(Dashboard!$C$14="All",B29=Dashboard!$C$14),OR(Dashboard!$C$15="All",C29=Dashboard!$C$15),OR(Dashboard!$C$16="All",K29=Dashboard!$C$16),OR(Dashboard!$C$17="All",J29=Dashboard!$C$17)),1,0)</f>
        <v>1</v>
      </c>
      <c r="R29" s="19">
        <f>IF(AND(L29=1,OR(Dashboard!$C$13="All",A29=Dashboard!$C$13),OR(Dashboard!$C$14="All",B29=Dashboard!$C$14),OR(Dashboard!$C$15="All",C29=Dashboard!$C$15),OR(Dashboard!$C$16="All",K29=Dashboard!$C$16)),1,0)</f>
        <v>1</v>
      </c>
      <c r="S29" s="19">
        <f t="shared" si="3"/>
        <v>28</v>
      </c>
      <c r="T29" s="9" t="s">
        <v>133</v>
      </c>
      <c r="U29" s="9" t="s">
        <v>134</v>
      </c>
      <c r="V29" s="9" t="s">
        <v>135</v>
      </c>
    </row>
    <row r="30" ht="15.75" customHeight="1">
      <c r="A30" s="20" t="s">
        <v>61</v>
      </c>
      <c r="B30" s="4" t="s">
        <v>39</v>
      </c>
      <c r="C30" s="3" t="s">
        <v>82</v>
      </c>
      <c r="D30" s="4">
        <v>5.0</v>
      </c>
      <c r="E30" s="17">
        <v>4.0</v>
      </c>
      <c r="F30" s="5">
        <f t="shared" si="1"/>
        <v>20</v>
      </c>
      <c r="G30" s="6">
        <v>46172.0</v>
      </c>
      <c r="H30" s="22">
        <v>17.0</v>
      </c>
      <c r="I30" s="7">
        <f t="shared" si="2"/>
        <v>46291</v>
      </c>
      <c r="J30" s="4" t="s">
        <v>25</v>
      </c>
      <c r="K30" s="8" t="s">
        <v>48</v>
      </c>
      <c r="L30" s="19">
        <f>IF(A30="","",IF(OR(G30="",AND(G30&gt;=Dashboard!$C$18,G30&lt;=Dashboard!$C$19)),1,0))</f>
        <v>1</v>
      </c>
      <c r="M30" s="19">
        <f>IF(AND(L30=1,OR(Dashboard!$C$13="All",A30=Dashboard!$C$13),OR(Dashboard!$C$14="All",B30=Dashboard!$C$14),OR(Dashboard!$C$15="All",C30=Dashboard!$C$15),OR(Dashboard!$C$16="All",K30=Dashboard!$C$16),OR(Dashboard!$C$17="All",J30=Dashboard!$C$17)),1,0)</f>
        <v>1</v>
      </c>
      <c r="N30" s="19">
        <f>IF(AND(L30=1,OR(Dashboard!$C$13="All",A30=Dashboard!$C$13),OR(Dashboard!$C$14="All",B30=Dashboard!$C$14),OR(Dashboard!$C$16="All",K30=Dashboard!$C$16),OR(Dashboard!$C$17="All",J30=Dashboard!$C$17)),1,0)</f>
        <v>1</v>
      </c>
      <c r="O30" s="19">
        <f>IF(AND(L30=1,OR(Dashboard!$C$13="All",A30=Dashboard!$C$13),OR(Dashboard!$C$15="All",C30=Dashboard!$C$15),OR(Dashboard!$C$16="All",K30=Dashboard!$C$16),OR(Dashboard!$C$17="All",J30=Dashboard!$C$17)),1,0)</f>
        <v>1</v>
      </c>
      <c r="P30" s="19">
        <f>IF(AND(L30=1,OR(Dashboard!$C$13="All",A30=Dashboard!$C$13),OR(Dashboard!$C$14="All",B30=Dashboard!$C$14),OR(Dashboard!$C$15="All",C30=Dashboard!$C$15),OR(Dashboard!$C$17="All",J30=Dashboard!$C$17)),1,0)</f>
        <v>1</v>
      </c>
      <c r="Q30" s="19">
        <f>IF(AND(L30=1,OR(Dashboard!$C$14="All",B30=Dashboard!$C$14),OR(Dashboard!$C$15="All",C30=Dashboard!$C$15),OR(Dashboard!$C$16="All",K30=Dashboard!$C$16),OR(Dashboard!$C$17="All",J30=Dashboard!$C$17)),1,0)</f>
        <v>1</v>
      </c>
      <c r="R30" s="19">
        <f>IF(AND(L30=1,OR(Dashboard!$C$13="All",A30=Dashboard!$C$13),OR(Dashboard!$C$14="All",B30=Dashboard!$C$14),OR(Dashboard!$C$15="All",C30=Dashboard!$C$15),OR(Dashboard!$C$16="All",K30=Dashboard!$C$16)),1,0)</f>
        <v>1</v>
      </c>
      <c r="S30" s="19">
        <f t="shared" si="3"/>
        <v>29</v>
      </c>
      <c r="T30" s="9" t="s">
        <v>136</v>
      </c>
      <c r="U30" s="9" t="s">
        <v>137</v>
      </c>
      <c r="V30" s="9" t="s">
        <v>138</v>
      </c>
    </row>
    <row r="31" ht="15.75" customHeight="1">
      <c r="A31" s="21" t="s">
        <v>61</v>
      </c>
      <c r="B31" s="13" t="s">
        <v>41</v>
      </c>
      <c r="C31" s="10" t="s">
        <v>97</v>
      </c>
      <c r="D31" s="13">
        <v>25000.0</v>
      </c>
      <c r="E31" s="14">
        <v>2.0</v>
      </c>
      <c r="F31" s="15">
        <f t="shared" si="1"/>
        <v>50000</v>
      </c>
      <c r="G31" s="6">
        <v>46173.0</v>
      </c>
      <c r="H31" s="22">
        <v>14.0</v>
      </c>
      <c r="I31" s="16">
        <f t="shared" si="2"/>
        <v>46271</v>
      </c>
      <c r="J31" s="13" t="s">
        <v>25</v>
      </c>
      <c r="K31" s="8" t="s">
        <v>26</v>
      </c>
      <c r="L31" s="19">
        <f>IF(A31="","",IF(OR(G31="",AND(G31&gt;=Dashboard!$C$18,G31&lt;=Dashboard!$C$19)),1,0))</f>
        <v>1</v>
      </c>
      <c r="M31" s="19">
        <f>IF(AND(L31=1,OR(Dashboard!$C$13="All",A31=Dashboard!$C$13),OR(Dashboard!$C$14="All",B31=Dashboard!$C$14),OR(Dashboard!$C$15="All",C31=Dashboard!$C$15),OR(Dashboard!$C$16="All",K31=Dashboard!$C$16),OR(Dashboard!$C$17="All",J31=Dashboard!$C$17)),1,0)</f>
        <v>1</v>
      </c>
      <c r="N31" s="19">
        <f>IF(AND(L31=1,OR(Dashboard!$C$13="All",A31=Dashboard!$C$13),OR(Dashboard!$C$14="All",B31=Dashboard!$C$14),OR(Dashboard!$C$16="All",K31=Dashboard!$C$16),OR(Dashboard!$C$17="All",J31=Dashboard!$C$17)),1,0)</f>
        <v>1</v>
      </c>
      <c r="O31" s="19">
        <f>IF(AND(L31=1,OR(Dashboard!$C$13="All",A31=Dashboard!$C$13),OR(Dashboard!$C$15="All",C31=Dashboard!$C$15),OR(Dashboard!$C$16="All",K31=Dashboard!$C$16),OR(Dashboard!$C$17="All",J31=Dashboard!$C$17)),1,0)</f>
        <v>1</v>
      </c>
      <c r="P31" s="19">
        <f>IF(AND(L31=1,OR(Dashboard!$C$13="All",A31=Dashboard!$C$13),OR(Dashboard!$C$14="All",B31=Dashboard!$C$14),OR(Dashboard!$C$15="All",C31=Dashboard!$C$15),OR(Dashboard!$C$17="All",J31=Dashboard!$C$17)),1,0)</f>
        <v>1</v>
      </c>
      <c r="Q31" s="19">
        <f>IF(AND(L31=1,OR(Dashboard!$C$14="All",B31=Dashboard!$C$14),OR(Dashboard!$C$15="All",C31=Dashboard!$C$15),OR(Dashboard!$C$16="All",K31=Dashboard!$C$16),OR(Dashboard!$C$17="All",J31=Dashboard!$C$17)),1,0)</f>
        <v>1</v>
      </c>
      <c r="R31" s="19">
        <f>IF(AND(L31=1,OR(Dashboard!$C$13="All",A31=Dashboard!$C$13),OR(Dashboard!$C$14="All",B31=Dashboard!$C$14),OR(Dashboard!$C$15="All",C31=Dashboard!$C$15),OR(Dashboard!$C$16="All",K31=Dashboard!$C$16)),1,0)</f>
        <v>1</v>
      </c>
      <c r="S31" s="19">
        <f t="shared" si="3"/>
        <v>30</v>
      </c>
      <c r="T31" s="9" t="s">
        <v>139</v>
      </c>
      <c r="U31" s="9" t="s">
        <v>140</v>
      </c>
      <c r="V31" s="9" t="s">
        <v>141</v>
      </c>
    </row>
    <row r="32" ht="15.75" customHeight="1">
      <c r="A32" s="20" t="s">
        <v>61</v>
      </c>
      <c r="B32" s="4" t="s">
        <v>137</v>
      </c>
      <c r="C32" s="3" t="s">
        <v>142</v>
      </c>
      <c r="D32" s="4">
        <v>2.0</v>
      </c>
      <c r="E32" s="17">
        <v>36.0</v>
      </c>
      <c r="F32" s="5">
        <f t="shared" si="1"/>
        <v>72</v>
      </c>
      <c r="G32" s="6">
        <v>46174.0</v>
      </c>
      <c r="H32" s="22">
        <v>15.0</v>
      </c>
      <c r="I32" s="7">
        <f t="shared" si="2"/>
        <v>46279</v>
      </c>
      <c r="J32" s="4" t="s">
        <v>25</v>
      </c>
      <c r="K32" s="13" t="s">
        <v>31</v>
      </c>
      <c r="L32" s="19">
        <f>IF(A32="","",IF(OR(G32="",AND(G32&gt;=Dashboard!$C$18,G32&lt;=Dashboard!$C$19)),1,0))</f>
        <v>1</v>
      </c>
      <c r="M32" s="19">
        <f>IF(AND(L32=1,OR(Dashboard!$C$13="All",A32=Dashboard!$C$13),OR(Dashboard!$C$14="All",B32=Dashboard!$C$14),OR(Dashboard!$C$15="All",C32=Dashboard!$C$15),OR(Dashboard!$C$16="All",K32=Dashboard!$C$16),OR(Dashboard!$C$17="All",J32=Dashboard!$C$17)),1,0)</f>
        <v>1</v>
      </c>
      <c r="N32" s="19">
        <f>IF(AND(L32=1,OR(Dashboard!$C$13="All",A32=Dashboard!$C$13),OR(Dashboard!$C$14="All",B32=Dashboard!$C$14),OR(Dashboard!$C$16="All",K32=Dashboard!$C$16),OR(Dashboard!$C$17="All",J32=Dashboard!$C$17)),1,0)</f>
        <v>1</v>
      </c>
      <c r="O32" s="19">
        <f>IF(AND(L32=1,OR(Dashboard!$C$13="All",A32=Dashboard!$C$13),OR(Dashboard!$C$15="All",C32=Dashboard!$C$15),OR(Dashboard!$C$16="All",K32=Dashboard!$C$16),OR(Dashboard!$C$17="All",J32=Dashboard!$C$17)),1,0)</f>
        <v>1</v>
      </c>
      <c r="P32" s="19">
        <f>IF(AND(L32=1,OR(Dashboard!$C$13="All",A32=Dashboard!$C$13),OR(Dashboard!$C$14="All",B32=Dashboard!$C$14),OR(Dashboard!$C$15="All",C32=Dashboard!$C$15),OR(Dashboard!$C$17="All",J32=Dashboard!$C$17)),1,0)</f>
        <v>1</v>
      </c>
      <c r="Q32" s="19">
        <f>IF(AND(L32=1,OR(Dashboard!$C$14="All",B32=Dashboard!$C$14),OR(Dashboard!$C$15="All",C32=Dashboard!$C$15),OR(Dashboard!$C$16="All",K32=Dashboard!$C$16),OR(Dashboard!$C$17="All",J32=Dashboard!$C$17)),1,0)</f>
        <v>1</v>
      </c>
      <c r="R32" s="19">
        <f>IF(AND(L32=1,OR(Dashboard!$C$13="All",A32=Dashboard!$C$13),OR(Dashboard!$C$14="All",B32=Dashboard!$C$14),OR(Dashboard!$C$15="All",C32=Dashboard!$C$15),OR(Dashboard!$C$16="All",K32=Dashboard!$C$16)),1,0)</f>
        <v>1</v>
      </c>
      <c r="S32" s="19">
        <f t="shared" si="3"/>
        <v>31</v>
      </c>
      <c r="T32" s="9" t="s">
        <v>143</v>
      </c>
      <c r="U32" s="9" t="s">
        <v>144</v>
      </c>
      <c r="V32" s="9" t="s">
        <v>145</v>
      </c>
    </row>
    <row r="33" ht="15.75" customHeight="1">
      <c r="A33" s="21" t="s">
        <v>61</v>
      </c>
      <c r="B33" s="13" t="s">
        <v>137</v>
      </c>
      <c r="C33" s="10" t="s">
        <v>73</v>
      </c>
      <c r="D33" s="13">
        <v>8.0</v>
      </c>
      <c r="E33" s="5">
        <v>2.0</v>
      </c>
      <c r="F33" s="15">
        <f t="shared" si="1"/>
        <v>16</v>
      </c>
      <c r="G33" s="6">
        <v>46175.0</v>
      </c>
      <c r="H33" s="22">
        <v>8.0</v>
      </c>
      <c r="I33" s="16">
        <f t="shared" si="2"/>
        <v>46231</v>
      </c>
      <c r="J33" s="13" t="s">
        <v>25</v>
      </c>
      <c r="K33" s="8" t="s">
        <v>37</v>
      </c>
      <c r="L33" s="19">
        <f>IF(A33="","",IF(OR(G33="",AND(G33&gt;=Dashboard!$C$18,G33&lt;=Dashboard!$C$19)),1,0))</f>
        <v>1</v>
      </c>
      <c r="M33" s="19">
        <f>IF(AND(L33=1,OR(Dashboard!$C$13="All",A33=Dashboard!$C$13),OR(Dashboard!$C$14="All",B33=Dashboard!$C$14),OR(Dashboard!$C$15="All",C33=Dashboard!$C$15),OR(Dashboard!$C$16="All",K33=Dashboard!$C$16),OR(Dashboard!$C$17="All",J33=Dashboard!$C$17)),1,0)</f>
        <v>1</v>
      </c>
      <c r="N33" s="19">
        <f>IF(AND(L33=1,OR(Dashboard!$C$13="All",A33=Dashboard!$C$13),OR(Dashboard!$C$14="All",B33=Dashboard!$C$14),OR(Dashboard!$C$16="All",K33=Dashboard!$C$16),OR(Dashboard!$C$17="All",J33=Dashboard!$C$17)),1,0)</f>
        <v>1</v>
      </c>
      <c r="O33" s="19">
        <f>IF(AND(L33=1,OR(Dashboard!$C$13="All",A33=Dashboard!$C$13),OR(Dashboard!$C$15="All",C33=Dashboard!$C$15),OR(Dashboard!$C$16="All",K33=Dashboard!$C$16),OR(Dashboard!$C$17="All",J33=Dashboard!$C$17)),1,0)</f>
        <v>1</v>
      </c>
      <c r="P33" s="19">
        <f>IF(AND(L33=1,OR(Dashboard!$C$13="All",A33=Dashboard!$C$13),OR(Dashboard!$C$14="All",B33=Dashboard!$C$14),OR(Dashboard!$C$15="All",C33=Dashboard!$C$15),OR(Dashboard!$C$17="All",J33=Dashboard!$C$17)),1,0)</f>
        <v>1</v>
      </c>
      <c r="Q33" s="19">
        <f>IF(AND(L33=1,OR(Dashboard!$C$14="All",B33=Dashboard!$C$14),OR(Dashboard!$C$15="All",C33=Dashboard!$C$15),OR(Dashboard!$C$16="All",K33=Dashboard!$C$16),OR(Dashboard!$C$17="All",J33=Dashboard!$C$17)),1,0)</f>
        <v>1</v>
      </c>
      <c r="R33" s="19">
        <f>IF(AND(L33=1,OR(Dashboard!$C$13="All",A33=Dashboard!$C$13),OR(Dashboard!$C$14="All",B33=Dashboard!$C$14),OR(Dashboard!$C$15="All",C33=Dashboard!$C$15),OR(Dashboard!$C$16="All",K33=Dashboard!$C$16)),1,0)</f>
        <v>1</v>
      </c>
      <c r="S33" s="19">
        <f t="shared" si="3"/>
        <v>32</v>
      </c>
      <c r="T33" s="9" t="s">
        <v>146</v>
      </c>
      <c r="U33" s="9" t="s">
        <v>147</v>
      </c>
      <c r="V33" s="9" t="s">
        <v>148</v>
      </c>
    </row>
    <row r="34" ht="15.75" customHeight="1">
      <c r="A34" s="3" t="s">
        <v>66</v>
      </c>
      <c r="B34" s="4" t="s">
        <v>34</v>
      </c>
      <c r="C34" s="3" t="s">
        <v>149</v>
      </c>
      <c r="D34" s="4">
        <v>2500.0</v>
      </c>
      <c r="E34" s="14">
        <v>5.0</v>
      </c>
      <c r="F34" s="5">
        <f t="shared" si="1"/>
        <v>12500</v>
      </c>
      <c r="G34" s="6">
        <v>46176.0</v>
      </c>
      <c r="H34" s="22">
        <v>6.0</v>
      </c>
      <c r="I34" s="7">
        <f t="shared" si="2"/>
        <v>46218</v>
      </c>
      <c r="J34" s="4" t="s">
        <v>25</v>
      </c>
      <c r="K34" s="11" t="s">
        <v>26</v>
      </c>
      <c r="L34" s="19">
        <f>IF(A34="","",IF(OR(G34="",AND(G34&gt;=Dashboard!$C$18,G34&lt;=Dashboard!$C$19)),1,0))</f>
        <v>1</v>
      </c>
      <c r="M34" s="19">
        <f>IF(AND(L34=1,OR(Dashboard!$C$13="All",A34=Dashboard!$C$13),OR(Dashboard!$C$14="All",B34=Dashboard!$C$14),OR(Dashboard!$C$15="All",C34=Dashboard!$C$15),OR(Dashboard!$C$16="All",K34=Dashboard!$C$16),OR(Dashboard!$C$17="All",J34=Dashboard!$C$17)),1,0)</f>
        <v>1</v>
      </c>
      <c r="N34" s="19">
        <f>IF(AND(L34=1,OR(Dashboard!$C$13="All",A34=Dashboard!$C$13),OR(Dashboard!$C$14="All",B34=Dashboard!$C$14),OR(Dashboard!$C$16="All",K34=Dashboard!$C$16),OR(Dashboard!$C$17="All",J34=Dashboard!$C$17)),1,0)</f>
        <v>1</v>
      </c>
      <c r="O34" s="19">
        <f>IF(AND(L34=1,OR(Dashboard!$C$13="All",A34=Dashboard!$C$13),OR(Dashboard!$C$15="All",C34=Dashboard!$C$15),OR(Dashboard!$C$16="All",K34=Dashboard!$C$16),OR(Dashboard!$C$17="All",J34=Dashboard!$C$17)),1,0)</f>
        <v>1</v>
      </c>
      <c r="P34" s="19">
        <f>IF(AND(L34=1,OR(Dashboard!$C$13="All",A34=Dashboard!$C$13),OR(Dashboard!$C$14="All",B34=Dashboard!$C$14),OR(Dashboard!$C$15="All",C34=Dashboard!$C$15),OR(Dashboard!$C$17="All",J34=Dashboard!$C$17)),1,0)</f>
        <v>1</v>
      </c>
      <c r="Q34" s="19">
        <f>IF(AND(L34=1,OR(Dashboard!$C$14="All",B34=Dashboard!$C$14),OR(Dashboard!$C$15="All",C34=Dashboard!$C$15),OR(Dashboard!$C$16="All",K34=Dashboard!$C$16),OR(Dashboard!$C$17="All",J34=Dashboard!$C$17)),1,0)</f>
        <v>1</v>
      </c>
      <c r="R34" s="19">
        <f>IF(AND(L34=1,OR(Dashboard!$C$13="All",A34=Dashboard!$C$13),OR(Dashboard!$C$14="All",B34=Dashboard!$C$14),OR(Dashboard!$C$15="All",C34=Dashboard!$C$15),OR(Dashboard!$C$16="All",K34=Dashboard!$C$16)),1,0)</f>
        <v>1</v>
      </c>
      <c r="S34" s="19">
        <f t="shared" si="3"/>
        <v>33</v>
      </c>
      <c r="T34" s="9" t="s">
        <v>150</v>
      </c>
      <c r="U34" s="9" t="s">
        <v>151</v>
      </c>
      <c r="V34" s="9" t="s">
        <v>152</v>
      </c>
    </row>
    <row r="35" ht="15.75" customHeight="1">
      <c r="A35" s="10" t="s">
        <v>66</v>
      </c>
      <c r="B35" s="13" t="s">
        <v>34</v>
      </c>
      <c r="C35" s="10" t="s">
        <v>153</v>
      </c>
      <c r="D35" s="13">
        <v>186.0</v>
      </c>
      <c r="E35" s="17">
        <v>6.0</v>
      </c>
      <c r="F35" s="15">
        <f t="shared" si="1"/>
        <v>1116</v>
      </c>
      <c r="G35" s="6">
        <v>46177.0</v>
      </c>
      <c r="H35" s="22">
        <v>7.0</v>
      </c>
      <c r="I35" s="16">
        <f t="shared" si="2"/>
        <v>46226</v>
      </c>
      <c r="J35" s="13" t="s">
        <v>25</v>
      </c>
      <c r="K35" s="8" t="s">
        <v>48</v>
      </c>
      <c r="L35" s="19">
        <f>IF(A35="","",IF(OR(G35="",AND(G35&gt;=Dashboard!$C$18,G35&lt;=Dashboard!$C$19)),1,0))</f>
        <v>1</v>
      </c>
      <c r="M35" s="19">
        <f>IF(AND(L35=1,OR(Dashboard!$C$13="All",A35=Dashboard!$C$13),OR(Dashboard!$C$14="All",B35=Dashboard!$C$14),OR(Dashboard!$C$15="All",C35=Dashboard!$C$15),OR(Dashboard!$C$16="All",K35=Dashboard!$C$16),OR(Dashboard!$C$17="All",J35=Dashboard!$C$17)),1,0)</f>
        <v>1</v>
      </c>
      <c r="N35" s="19">
        <f>IF(AND(L35=1,OR(Dashboard!$C$13="All",A35=Dashboard!$C$13),OR(Dashboard!$C$14="All",B35=Dashboard!$C$14),OR(Dashboard!$C$16="All",K35=Dashboard!$C$16),OR(Dashboard!$C$17="All",J35=Dashboard!$C$17)),1,0)</f>
        <v>1</v>
      </c>
      <c r="O35" s="19">
        <f>IF(AND(L35=1,OR(Dashboard!$C$13="All",A35=Dashboard!$C$13),OR(Dashboard!$C$15="All",C35=Dashboard!$C$15),OR(Dashboard!$C$16="All",K35=Dashboard!$C$16),OR(Dashboard!$C$17="All",J35=Dashboard!$C$17)),1,0)</f>
        <v>1</v>
      </c>
      <c r="P35" s="19">
        <f>IF(AND(L35=1,OR(Dashboard!$C$13="All",A35=Dashboard!$C$13),OR(Dashboard!$C$14="All",B35=Dashboard!$C$14),OR(Dashboard!$C$15="All",C35=Dashboard!$C$15),OR(Dashboard!$C$17="All",J35=Dashboard!$C$17)),1,0)</f>
        <v>1</v>
      </c>
      <c r="Q35" s="19">
        <f>IF(AND(L35=1,OR(Dashboard!$C$14="All",B35=Dashboard!$C$14),OR(Dashboard!$C$15="All",C35=Dashboard!$C$15),OR(Dashboard!$C$16="All",K35=Dashboard!$C$16),OR(Dashboard!$C$17="All",J35=Dashboard!$C$17)),1,0)</f>
        <v>1</v>
      </c>
      <c r="R35" s="19">
        <f>IF(AND(L35=1,OR(Dashboard!$C$13="All",A35=Dashboard!$C$13),OR(Dashboard!$C$14="All",B35=Dashboard!$C$14),OR(Dashboard!$C$15="All",C35=Dashboard!$C$15),OR(Dashboard!$C$16="All",K35=Dashboard!$C$16)),1,0)</f>
        <v>1</v>
      </c>
      <c r="S35" s="19">
        <f t="shared" si="3"/>
        <v>34</v>
      </c>
      <c r="T35" s="9" t="s">
        <v>154</v>
      </c>
      <c r="U35" s="9" t="s">
        <v>155</v>
      </c>
      <c r="V35" s="9" t="s">
        <v>156</v>
      </c>
    </row>
    <row r="36" ht="15.75" customHeight="1">
      <c r="A36" s="3" t="s">
        <v>70</v>
      </c>
      <c r="B36" s="4" t="s">
        <v>62</v>
      </c>
      <c r="C36" s="3" t="s">
        <v>157</v>
      </c>
      <c r="D36" s="4">
        <v>2.0</v>
      </c>
      <c r="E36" s="14">
        <v>7.0</v>
      </c>
      <c r="F36" s="5">
        <f t="shared" si="1"/>
        <v>14</v>
      </c>
      <c r="G36" s="6">
        <v>46178.0</v>
      </c>
      <c r="H36" s="22">
        <v>8.0</v>
      </c>
      <c r="I36" s="7">
        <f t="shared" si="2"/>
        <v>46234</v>
      </c>
      <c r="J36" s="4" t="s">
        <v>25</v>
      </c>
      <c r="K36" s="13" t="s">
        <v>31</v>
      </c>
      <c r="L36" s="19">
        <f>IF(A36="","",IF(OR(G36="",AND(G36&gt;=Dashboard!$C$18,G36&lt;=Dashboard!$C$19)),1,0))</f>
        <v>1</v>
      </c>
      <c r="M36" s="19">
        <f>IF(AND(L36=1,OR(Dashboard!$C$13="All",A36=Dashboard!$C$13),OR(Dashboard!$C$14="All",B36=Dashboard!$C$14),OR(Dashboard!$C$15="All",C36=Dashboard!$C$15),OR(Dashboard!$C$16="All",K36=Dashboard!$C$16),OR(Dashboard!$C$17="All",J36=Dashboard!$C$17)),1,0)</f>
        <v>1</v>
      </c>
      <c r="N36" s="19">
        <f>IF(AND(L36=1,OR(Dashboard!$C$13="All",A36=Dashboard!$C$13),OR(Dashboard!$C$14="All",B36=Dashboard!$C$14),OR(Dashboard!$C$16="All",K36=Dashboard!$C$16),OR(Dashboard!$C$17="All",J36=Dashboard!$C$17)),1,0)</f>
        <v>1</v>
      </c>
      <c r="O36" s="19">
        <f>IF(AND(L36=1,OR(Dashboard!$C$13="All",A36=Dashboard!$C$13),OR(Dashboard!$C$15="All",C36=Dashboard!$C$15),OR(Dashboard!$C$16="All",K36=Dashboard!$C$16),OR(Dashboard!$C$17="All",J36=Dashboard!$C$17)),1,0)</f>
        <v>1</v>
      </c>
      <c r="P36" s="19">
        <f>IF(AND(L36=1,OR(Dashboard!$C$13="All",A36=Dashboard!$C$13),OR(Dashboard!$C$14="All",B36=Dashboard!$C$14),OR(Dashboard!$C$15="All",C36=Dashboard!$C$15),OR(Dashboard!$C$17="All",J36=Dashboard!$C$17)),1,0)</f>
        <v>1</v>
      </c>
      <c r="Q36" s="19">
        <f>IF(AND(L36=1,OR(Dashboard!$C$14="All",B36=Dashboard!$C$14),OR(Dashboard!$C$15="All",C36=Dashboard!$C$15),OR(Dashboard!$C$16="All",K36=Dashboard!$C$16),OR(Dashboard!$C$17="All",J36=Dashboard!$C$17)),1,0)</f>
        <v>1</v>
      </c>
      <c r="R36" s="19">
        <f>IF(AND(L36=1,OR(Dashboard!$C$13="All",A36=Dashboard!$C$13),OR(Dashboard!$C$14="All",B36=Dashboard!$C$14),OR(Dashboard!$C$15="All",C36=Dashboard!$C$15),OR(Dashboard!$C$16="All",K36=Dashboard!$C$16)),1,0)</f>
        <v>1</v>
      </c>
      <c r="S36" s="19">
        <f t="shared" si="3"/>
        <v>35</v>
      </c>
      <c r="T36" s="9" t="s">
        <v>158</v>
      </c>
      <c r="U36" s="9" t="s">
        <v>159</v>
      </c>
      <c r="V36" s="9" t="s">
        <v>160</v>
      </c>
    </row>
    <row r="37" ht="15.75" customHeight="1">
      <c r="A37" s="10" t="s">
        <v>70</v>
      </c>
      <c r="B37" s="13" t="s">
        <v>62</v>
      </c>
      <c r="C37" s="10" t="s">
        <v>161</v>
      </c>
      <c r="D37" s="13">
        <v>2.0</v>
      </c>
      <c r="E37" s="17">
        <v>8.0</v>
      </c>
      <c r="F37" s="15">
        <f t="shared" si="1"/>
        <v>16</v>
      </c>
      <c r="G37" s="6">
        <v>46179.0</v>
      </c>
      <c r="H37" s="22">
        <v>4.0</v>
      </c>
      <c r="I37" s="16">
        <f t="shared" si="2"/>
        <v>46207</v>
      </c>
      <c r="J37" s="13" t="s">
        <v>25</v>
      </c>
      <c r="K37" s="13" t="s">
        <v>31</v>
      </c>
      <c r="L37" s="19">
        <f>IF(A37="","",IF(OR(G37="",AND(G37&gt;=Dashboard!$C$18,G37&lt;=Dashboard!$C$19)),1,0))</f>
        <v>1</v>
      </c>
      <c r="M37" s="19">
        <f>IF(AND(L37=1,OR(Dashboard!$C$13="All",A37=Dashboard!$C$13),OR(Dashboard!$C$14="All",B37=Dashboard!$C$14),OR(Dashboard!$C$15="All",C37=Dashboard!$C$15),OR(Dashboard!$C$16="All",K37=Dashboard!$C$16),OR(Dashboard!$C$17="All",J37=Dashboard!$C$17)),1,0)</f>
        <v>1</v>
      </c>
      <c r="N37" s="19">
        <f>IF(AND(L37=1,OR(Dashboard!$C$13="All",A37=Dashboard!$C$13),OR(Dashboard!$C$14="All",B37=Dashboard!$C$14),OR(Dashboard!$C$16="All",K37=Dashboard!$C$16),OR(Dashboard!$C$17="All",J37=Dashboard!$C$17)),1,0)</f>
        <v>1</v>
      </c>
      <c r="O37" s="19">
        <f>IF(AND(L37=1,OR(Dashboard!$C$13="All",A37=Dashboard!$C$13),OR(Dashboard!$C$15="All",C37=Dashboard!$C$15),OR(Dashboard!$C$16="All",K37=Dashboard!$C$16),OR(Dashboard!$C$17="All",J37=Dashboard!$C$17)),1,0)</f>
        <v>1</v>
      </c>
      <c r="P37" s="19">
        <f>IF(AND(L37=1,OR(Dashboard!$C$13="All",A37=Dashboard!$C$13),OR(Dashboard!$C$14="All",B37=Dashboard!$C$14),OR(Dashboard!$C$15="All",C37=Dashboard!$C$15),OR(Dashboard!$C$17="All",J37=Dashboard!$C$17)),1,0)</f>
        <v>1</v>
      </c>
      <c r="Q37" s="19">
        <f>IF(AND(L37=1,OR(Dashboard!$C$14="All",B37=Dashboard!$C$14),OR(Dashboard!$C$15="All",C37=Dashboard!$C$15),OR(Dashboard!$C$16="All",K37=Dashboard!$C$16),OR(Dashboard!$C$17="All",J37=Dashboard!$C$17)),1,0)</f>
        <v>1</v>
      </c>
      <c r="R37" s="19">
        <f>IF(AND(L37=1,OR(Dashboard!$C$13="All",A37=Dashboard!$C$13),OR(Dashboard!$C$14="All",B37=Dashboard!$C$14),OR(Dashboard!$C$15="All",C37=Dashboard!$C$15),OR(Dashboard!$C$16="All",K37=Dashboard!$C$16)),1,0)</f>
        <v>1</v>
      </c>
      <c r="S37" s="19">
        <f t="shared" si="3"/>
        <v>36</v>
      </c>
      <c r="T37" s="9" t="s">
        <v>162</v>
      </c>
      <c r="U37" s="9" t="s">
        <v>90</v>
      </c>
      <c r="V37" s="9" t="s">
        <v>163</v>
      </c>
    </row>
    <row r="38" ht="15.75" customHeight="1">
      <c r="A38" s="3" t="s">
        <v>74</v>
      </c>
      <c r="B38" s="4" t="s">
        <v>62</v>
      </c>
      <c r="C38" s="3" t="s">
        <v>164</v>
      </c>
      <c r="D38" s="4">
        <v>4.0</v>
      </c>
      <c r="E38" s="14">
        <v>2.0</v>
      </c>
      <c r="F38" s="5">
        <f t="shared" si="1"/>
        <v>8</v>
      </c>
      <c r="G38" s="6">
        <v>46180.0</v>
      </c>
      <c r="H38" s="22">
        <v>7.0</v>
      </c>
      <c r="I38" s="7">
        <f t="shared" si="2"/>
        <v>46229</v>
      </c>
      <c r="J38" s="4" t="s">
        <v>25</v>
      </c>
      <c r="K38" s="8" t="s">
        <v>37</v>
      </c>
      <c r="L38" s="19">
        <f>IF(A38="","",IF(OR(G38="",AND(G38&gt;=Dashboard!$C$18,G38&lt;=Dashboard!$C$19)),1,0))</f>
        <v>1</v>
      </c>
      <c r="M38" s="19">
        <f>IF(AND(L38=1,OR(Dashboard!$C$13="All",A38=Dashboard!$C$13),OR(Dashboard!$C$14="All",B38=Dashboard!$C$14),OR(Dashboard!$C$15="All",C38=Dashboard!$C$15),OR(Dashboard!$C$16="All",K38=Dashboard!$C$16),OR(Dashboard!$C$17="All",J38=Dashboard!$C$17)),1,0)</f>
        <v>1</v>
      </c>
      <c r="N38" s="19">
        <f>IF(AND(L38=1,OR(Dashboard!$C$13="All",A38=Dashboard!$C$13),OR(Dashboard!$C$14="All",B38=Dashboard!$C$14),OR(Dashboard!$C$16="All",K38=Dashboard!$C$16),OR(Dashboard!$C$17="All",J38=Dashboard!$C$17)),1,0)</f>
        <v>1</v>
      </c>
      <c r="O38" s="19">
        <f>IF(AND(L38=1,OR(Dashboard!$C$13="All",A38=Dashboard!$C$13),OR(Dashboard!$C$15="All",C38=Dashboard!$C$15),OR(Dashboard!$C$16="All",K38=Dashboard!$C$16),OR(Dashboard!$C$17="All",J38=Dashboard!$C$17)),1,0)</f>
        <v>1</v>
      </c>
      <c r="P38" s="19">
        <f>IF(AND(L38=1,OR(Dashboard!$C$13="All",A38=Dashboard!$C$13),OR(Dashboard!$C$14="All",B38=Dashboard!$C$14),OR(Dashboard!$C$15="All",C38=Dashboard!$C$15),OR(Dashboard!$C$17="All",J38=Dashboard!$C$17)),1,0)</f>
        <v>1</v>
      </c>
      <c r="Q38" s="19">
        <f>IF(AND(L38=1,OR(Dashboard!$C$14="All",B38=Dashboard!$C$14),OR(Dashboard!$C$15="All",C38=Dashboard!$C$15),OR(Dashboard!$C$16="All",K38=Dashboard!$C$16),OR(Dashboard!$C$17="All",J38=Dashboard!$C$17)),1,0)</f>
        <v>1</v>
      </c>
      <c r="R38" s="19">
        <f>IF(AND(L38=1,OR(Dashboard!$C$13="All",A38=Dashboard!$C$13),OR(Dashboard!$C$14="All",B38=Dashboard!$C$14),OR(Dashboard!$C$15="All",C38=Dashboard!$C$15),OR(Dashboard!$C$16="All",K38=Dashboard!$C$16)),1,0)</f>
        <v>1</v>
      </c>
      <c r="S38" s="19">
        <f t="shared" si="3"/>
        <v>37</v>
      </c>
      <c r="T38" s="9" t="s">
        <v>165</v>
      </c>
      <c r="U38" s="9" t="s">
        <v>23</v>
      </c>
      <c r="V38" s="9" t="s">
        <v>166</v>
      </c>
    </row>
    <row r="39" ht="15.75" customHeight="1">
      <c r="A39" s="10" t="s">
        <v>74</v>
      </c>
      <c r="B39" s="13" t="s">
        <v>62</v>
      </c>
      <c r="C39" s="10" t="s">
        <v>167</v>
      </c>
      <c r="D39" s="13">
        <v>2.0</v>
      </c>
      <c r="E39" s="17">
        <v>15.0</v>
      </c>
      <c r="F39" s="15">
        <f t="shared" si="1"/>
        <v>30</v>
      </c>
      <c r="G39" s="6">
        <v>46181.0</v>
      </c>
      <c r="H39" s="22">
        <v>5.0</v>
      </c>
      <c r="I39" s="16">
        <f t="shared" si="2"/>
        <v>46216</v>
      </c>
      <c r="J39" s="13" t="s">
        <v>25</v>
      </c>
      <c r="K39" s="11" t="s">
        <v>26</v>
      </c>
      <c r="L39" s="19">
        <f>IF(A39="","",IF(OR(G39="",AND(G39&gt;=Dashboard!$C$18,G39&lt;=Dashboard!$C$19)),1,0))</f>
        <v>1</v>
      </c>
      <c r="M39" s="19">
        <f>IF(AND(L39=1,OR(Dashboard!$C$13="All",A39=Dashboard!$C$13),OR(Dashboard!$C$14="All",B39=Dashboard!$C$14),OR(Dashboard!$C$15="All",C39=Dashboard!$C$15),OR(Dashboard!$C$16="All",K39=Dashboard!$C$16),OR(Dashboard!$C$17="All",J39=Dashboard!$C$17)),1,0)</f>
        <v>1</v>
      </c>
      <c r="N39" s="19">
        <f>IF(AND(L39=1,OR(Dashboard!$C$13="All",A39=Dashboard!$C$13),OR(Dashboard!$C$14="All",B39=Dashboard!$C$14),OR(Dashboard!$C$16="All",K39=Dashboard!$C$16),OR(Dashboard!$C$17="All",J39=Dashboard!$C$17)),1,0)</f>
        <v>1</v>
      </c>
      <c r="O39" s="19">
        <f>IF(AND(L39=1,OR(Dashboard!$C$13="All",A39=Dashboard!$C$13),OR(Dashboard!$C$15="All",C39=Dashboard!$C$15),OR(Dashboard!$C$16="All",K39=Dashboard!$C$16),OR(Dashboard!$C$17="All",J39=Dashboard!$C$17)),1,0)</f>
        <v>1</v>
      </c>
      <c r="P39" s="19">
        <f>IF(AND(L39=1,OR(Dashboard!$C$13="All",A39=Dashboard!$C$13),OR(Dashboard!$C$14="All",B39=Dashboard!$C$14),OR(Dashboard!$C$15="All",C39=Dashboard!$C$15),OR(Dashboard!$C$17="All",J39=Dashboard!$C$17)),1,0)</f>
        <v>1</v>
      </c>
      <c r="Q39" s="19">
        <f>IF(AND(L39=1,OR(Dashboard!$C$14="All",B39=Dashboard!$C$14),OR(Dashboard!$C$15="All",C39=Dashboard!$C$15),OR(Dashboard!$C$16="All",K39=Dashboard!$C$16),OR(Dashboard!$C$17="All",J39=Dashboard!$C$17)),1,0)</f>
        <v>1</v>
      </c>
      <c r="R39" s="19">
        <f>IF(AND(L39=1,OR(Dashboard!$C$13="All",A39=Dashboard!$C$13),OR(Dashboard!$C$14="All",B39=Dashboard!$C$14),OR(Dashboard!$C$15="All",C39=Dashboard!$C$15),OR(Dashboard!$C$16="All",K39=Dashboard!$C$16)),1,0)</f>
        <v>1</v>
      </c>
      <c r="S39" s="19">
        <f t="shared" si="3"/>
        <v>38</v>
      </c>
      <c r="T39" s="9" t="s">
        <v>168</v>
      </c>
      <c r="U39" s="9" t="s">
        <v>103</v>
      </c>
      <c r="V39" s="9" t="s">
        <v>169</v>
      </c>
    </row>
    <row r="40" ht="15.75" customHeight="1">
      <c r="A40" s="3" t="s">
        <v>77</v>
      </c>
      <c r="B40" s="4" t="s">
        <v>159</v>
      </c>
      <c r="C40" s="3" t="s">
        <v>170</v>
      </c>
      <c r="D40" s="4">
        <v>2.0</v>
      </c>
      <c r="E40" s="14">
        <v>45.0</v>
      </c>
      <c r="F40" s="5">
        <f t="shared" si="1"/>
        <v>90</v>
      </c>
      <c r="G40" s="6">
        <v>46182.0</v>
      </c>
      <c r="H40" s="22">
        <v>8.0</v>
      </c>
      <c r="I40" s="7">
        <f t="shared" si="2"/>
        <v>46238</v>
      </c>
      <c r="J40" s="4" t="s">
        <v>25</v>
      </c>
      <c r="K40" s="8" t="s">
        <v>48</v>
      </c>
      <c r="L40" s="19">
        <f>IF(A40="","",IF(OR(G40="",AND(G40&gt;=Dashboard!$C$18,G40&lt;=Dashboard!$C$19)),1,0))</f>
        <v>1</v>
      </c>
      <c r="M40" s="19">
        <f>IF(AND(L40=1,OR(Dashboard!$C$13="All",A40=Dashboard!$C$13),OR(Dashboard!$C$14="All",B40=Dashboard!$C$14),OR(Dashboard!$C$15="All",C40=Dashboard!$C$15),OR(Dashboard!$C$16="All",K40=Dashboard!$C$16),OR(Dashboard!$C$17="All",J40=Dashboard!$C$17)),1,0)</f>
        <v>1</v>
      </c>
      <c r="N40" s="19">
        <f>IF(AND(L40=1,OR(Dashboard!$C$13="All",A40=Dashboard!$C$13),OR(Dashboard!$C$14="All",B40=Dashboard!$C$14),OR(Dashboard!$C$16="All",K40=Dashboard!$C$16),OR(Dashboard!$C$17="All",J40=Dashboard!$C$17)),1,0)</f>
        <v>1</v>
      </c>
      <c r="O40" s="19">
        <f>IF(AND(L40=1,OR(Dashboard!$C$13="All",A40=Dashboard!$C$13),OR(Dashboard!$C$15="All",C40=Dashboard!$C$15),OR(Dashboard!$C$16="All",K40=Dashboard!$C$16),OR(Dashboard!$C$17="All",J40=Dashboard!$C$17)),1,0)</f>
        <v>1</v>
      </c>
      <c r="P40" s="19">
        <f>IF(AND(L40=1,OR(Dashboard!$C$13="All",A40=Dashboard!$C$13),OR(Dashboard!$C$14="All",B40=Dashboard!$C$14),OR(Dashboard!$C$15="All",C40=Dashboard!$C$15),OR(Dashboard!$C$17="All",J40=Dashboard!$C$17)),1,0)</f>
        <v>1</v>
      </c>
      <c r="Q40" s="19">
        <f>IF(AND(L40=1,OR(Dashboard!$C$14="All",B40=Dashboard!$C$14),OR(Dashboard!$C$15="All",C40=Dashboard!$C$15),OR(Dashboard!$C$16="All",K40=Dashboard!$C$16),OR(Dashboard!$C$17="All",J40=Dashboard!$C$17)),1,0)</f>
        <v>1</v>
      </c>
      <c r="R40" s="19">
        <f>IF(AND(L40=1,OR(Dashboard!$C$13="All",A40=Dashboard!$C$13),OR(Dashboard!$C$14="All",B40=Dashboard!$C$14),OR(Dashboard!$C$15="All",C40=Dashboard!$C$15),OR(Dashboard!$C$16="All",K40=Dashboard!$C$16)),1,0)</f>
        <v>1</v>
      </c>
      <c r="S40" s="19">
        <f t="shared" si="3"/>
        <v>39</v>
      </c>
      <c r="T40" s="9" t="s">
        <v>171</v>
      </c>
      <c r="V40" s="9" t="s">
        <v>172</v>
      </c>
    </row>
    <row r="41" ht="15.75" customHeight="1">
      <c r="A41" s="10" t="s">
        <v>77</v>
      </c>
      <c r="B41" s="13" t="s">
        <v>159</v>
      </c>
      <c r="C41" s="10" t="s">
        <v>173</v>
      </c>
      <c r="D41" s="13">
        <v>1.0</v>
      </c>
      <c r="E41" s="17">
        <v>24.0</v>
      </c>
      <c r="F41" s="15">
        <f t="shared" si="1"/>
        <v>24</v>
      </c>
      <c r="G41" s="6">
        <v>46183.0</v>
      </c>
      <c r="H41" s="22">
        <v>5.0</v>
      </c>
      <c r="I41" s="16">
        <f t="shared" si="2"/>
        <v>46218</v>
      </c>
      <c r="J41" s="13" t="s">
        <v>25</v>
      </c>
      <c r="K41" s="13" t="s">
        <v>31</v>
      </c>
      <c r="L41" s="19">
        <f>IF(A41="","",IF(OR(G41="",AND(G41&gt;=Dashboard!$C$18,G41&lt;=Dashboard!$C$19)),1,0))</f>
        <v>1</v>
      </c>
      <c r="M41" s="19">
        <f>IF(AND(L41=1,OR(Dashboard!$C$13="All",A41=Dashboard!$C$13),OR(Dashboard!$C$14="All",B41=Dashboard!$C$14),OR(Dashboard!$C$15="All",C41=Dashboard!$C$15),OR(Dashboard!$C$16="All",K41=Dashboard!$C$16),OR(Dashboard!$C$17="All",J41=Dashboard!$C$17)),1,0)</f>
        <v>1</v>
      </c>
      <c r="N41" s="19">
        <f>IF(AND(L41=1,OR(Dashboard!$C$13="All",A41=Dashboard!$C$13),OR(Dashboard!$C$14="All",B41=Dashboard!$C$14),OR(Dashboard!$C$16="All",K41=Dashboard!$C$16),OR(Dashboard!$C$17="All",J41=Dashboard!$C$17)),1,0)</f>
        <v>1</v>
      </c>
      <c r="O41" s="19">
        <f>IF(AND(L41=1,OR(Dashboard!$C$13="All",A41=Dashboard!$C$13),OR(Dashboard!$C$15="All",C41=Dashboard!$C$15),OR(Dashboard!$C$16="All",K41=Dashboard!$C$16),OR(Dashboard!$C$17="All",J41=Dashboard!$C$17)),1,0)</f>
        <v>1</v>
      </c>
      <c r="P41" s="19">
        <f>IF(AND(L41=1,OR(Dashboard!$C$13="All",A41=Dashboard!$C$13),OR(Dashboard!$C$14="All",B41=Dashboard!$C$14),OR(Dashboard!$C$15="All",C41=Dashboard!$C$15),OR(Dashboard!$C$17="All",J41=Dashboard!$C$17)),1,0)</f>
        <v>1</v>
      </c>
      <c r="Q41" s="19">
        <f>IF(AND(L41=1,OR(Dashboard!$C$14="All",B41=Dashboard!$C$14),OR(Dashboard!$C$15="All",C41=Dashboard!$C$15),OR(Dashboard!$C$16="All",K41=Dashboard!$C$16),OR(Dashboard!$C$17="All",J41=Dashboard!$C$17)),1,0)</f>
        <v>1</v>
      </c>
      <c r="R41" s="19">
        <f>IF(AND(L41=1,OR(Dashboard!$C$13="All",A41=Dashboard!$C$13),OR(Dashboard!$C$14="All",B41=Dashboard!$C$14),OR(Dashboard!$C$15="All",C41=Dashboard!$C$15),OR(Dashboard!$C$16="All",K41=Dashboard!$C$16)),1,0)</f>
        <v>1</v>
      </c>
      <c r="S41" s="19">
        <f t="shared" si="3"/>
        <v>40</v>
      </c>
      <c r="T41" s="9" t="s">
        <v>174</v>
      </c>
      <c r="V41" s="9" t="s">
        <v>175</v>
      </c>
    </row>
    <row r="42" ht="15.75" customHeight="1">
      <c r="A42" s="3" t="s">
        <v>80</v>
      </c>
      <c r="B42" s="4"/>
      <c r="C42" s="3" t="s">
        <v>176</v>
      </c>
      <c r="D42" s="4">
        <v>1.0</v>
      </c>
      <c r="E42" s="14">
        <v>25.0</v>
      </c>
      <c r="F42" s="5">
        <f t="shared" si="1"/>
        <v>25</v>
      </c>
      <c r="G42" s="6">
        <v>46184.0</v>
      </c>
      <c r="H42" s="22">
        <v>6.0</v>
      </c>
      <c r="I42" s="7">
        <f t="shared" si="2"/>
        <v>46226</v>
      </c>
      <c r="J42" s="4" t="s">
        <v>25</v>
      </c>
      <c r="K42" s="8" t="s">
        <v>26</v>
      </c>
      <c r="L42" s="19">
        <f>IF(A42="","",IF(OR(G42="",AND(G42&gt;=Dashboard!$C$18,G42&lt;=Dashboard!$C$19)),1,0))</f>
        <v>1</v>
      </c>
      <c r="M42" s="19">
        <f>IF(AND(L42=1,OR(Dashboard!$C$13="All",A42=Dashboard!$C$13),OR(Dashboard!$C$14="All",B42=Dashboard!$C$14),OR(Dashboard!$C$15="All",C42=Dashboard!$C$15),OR(Dashboard!$C$16="All",K42=Dashboard!$C$16),OR(Dashboard!$C$17="All",J42=Dashboard!$C$17)),1,0)</f>
        <v>1</v>
      </c>
      <c r="N42" s="19">
        <f>IF(AND(L42=1,OR(Dashboard!$C$13="All",A42=Dashboard!$C$13),OR(Dashboard!$C$14="All",B42=Dashboard!$C$14),OR(Dashboard!$C$16="All",K42=Dashboard!$C$16),OR(Dashboard!$C$17="All",J42=Dashboard!$C$17)),1,0)</f>
        <v>1</v>
      </c>
      <c r="O42" s="19">
        <f>IF(AND(L42=1,OR(Dashboard!$C$13="All",A42=Dashboard!$C$13),OR(Dashboard!$C$15="All",C42=Dashboard!$C$15),OR(Dashboard!$C$16="All",K42=Dashboard!$C$16),OR(Dashboard!$C$17="All",J42=Dashboard!$C$17)),1,0)</f>
        <v>1</v>
      </c>
      <c r="P42" s="19">
        <f>IF(AND(L42=1,OR(Dashboard!$C$13="All",A42=Dashboard!$C$13),OR(Dashboard!$C$14="All",B42=Dashboard!$C$14),OR(Dashboard!$C$15="All",C42=Dashboard!$C$15),OR(Dashboard!$C$17="All",J42=Dashboard!$C$17)),1,0)</f>
        <v>1</v>
      </c>
      <c r="Q42" s="19">
        <f>IF(AND(L42=1,OR(Dashboard!$C$14="All",B42=Dashboard!$C$14),OR(Dashboard!$C$15="All",C42=Dashboard!$C$15),OR(Dashboard!$C$16="All",K42=Dashboard!$C$16),OR(Dashboard!$C$17="All",J42=Dashboard!$C$17)),1,0)</f>
        <v>1</v>
      </c>
      <c r="R42" s="19">
        <f>IF(AND(L42=1,OR(Dashboard!$C$13="All",A42=Dashboard!$C$13),OR(Dashboard!$C$14="All",B42=Dashboard!$C$14),OR(Dashboard!$C$15="All",C42=Dashboard!$C$15),OR(Dashboard!$C$16="All",K42=Dashboard!$C$16)),1,0)</f>
        <v>1</v>
      </c>
      <c r="S42" s="19">
        <f t="shared" si="3"/>
        <v>41</v>
      </c>
      <c r="T42" s="9" t="s">
        <v>177</v>
      </c>
      <c r="V42" s="9" t="s">
        <v>178</v>
      </c>
    </row>
    <row r="43" ht="15.75" customHeight="1">
      <c r="A43" s="10" t="s">
        <v>80</v>
      </c>
      <c r="B43" s="13" t="s">
        <v>56</v>
      </c>
      <c r="C43" s="10" t="s">
        <v>179</v>
      </c>
      <c r="D43" s="13">
        <v>1.0</v>
      </c>
      <c r="E43" s="17">
        <v>36.0</v>
      </c>
      <c r="F43" s="15">
        <f t="shared" si="1"/>
        <v>36</v>
      </c>
      <c r="G43" s="6">
        <v>46185.0</v>
      </c>
      <c r="H43" s="22">
        <v>9.0</v>
      </c>
      <c r="I43" s="16">
        <f t="shared" si="2"/>
        <v>46248</v>
      </c>
      <c r="J43" s="13" t="s">
        <v>25</v>
      </c>
      <c r="K43" s="13" t="s">
        <v>31</v>
      </c>
      <c r="L43" s="19">
        <f>IF(A43="","",IF(OR(G43="",AND(G43&gt;=Dashboard!$C$18,G43&lt;=Dashboard!$C$19)),1,0))</f>
        <v>1</v>
      </c>
      <c r="M43" s="19">
        <f>IF(AND(L43=1,OR(Dashboard!$C$13="All",A43=Dashboard!$C$13),OR(Dashboard!$C$14="All",B43=Dashboard!$C$14),OR(Dashboard!$C$15="All",C43=Dashboard!$C$15),OR(Dashboard!$C$16="All",K43=Dashboard!$C$16),OR(Dashboard!$C$17="All",J43=Dashboard!$C$17)),1,0)</f>
        <v>1</v>
      </c>
      <c r="N43" s="19">
        <f>IF(AND(L43=1,OR(Dashboard!$C$13="All",A43=Dashboard!$C$13),OR(Dashboard!$C$14="All",B43=Dashboard!$C$14),OR(Dashboard!$C$16="All",K43=Dashboard!$C$16),OR(Dashboard!$C$17="All",J43=Dashboard!$C$17)),1,0)</f>
        <v>1</v>
      </c>
      <c r="O43" s="19">
        <f>IF(AND(L43=1,OR(Dashboard!$C$13="All",A43=Dashboard!$C$13),OR(Dashboard!$C$15="All",C43=Dashboard!$C$15),OR(Dashboard!$C$16="All",K43=Dashboard!$C$16),OR(Dashboard!$C$17="All",J43=Dashboard!$C$17)),1,0)</f>
        <v>1</v>
      </c>
      <c r="P43" s="19">
        <f>IF(AND(L43=1,OR(Dashboard!$C$13="All",A43=Dashboard!$C$13),OR(Dashboard!$C$14="All",B43=Dashboard!$C$14),OR(Dashboard!$C$15="All",C43=Dashboard!$C$15),OR(Dashboard!$C$17="All",J43=Dashboard!$C$17)),1,0)</f>
        <v>1</v>
      </c>
      <c r="Q43" s="19">
        <f>IF(AND(L43=1,OR(Dashboard!$C$14="All",B43=Dashboard!$C$14),OR(Dashboard!$C$15="All",C43=Dashboard!$C$15),OR(Dashboard!$C$16="All",K43=Dashboard!$C$16),OR(Dashboard!$C$17="All",J43=Dashboard!$C$17)),1,0)</f>
        <v>1</v>
      </c>
      <c r="R43" s="19">
        <f>IF(AND(L43=1,OR(Dashboard!$C$13="All",A43=Dashboard!$C$13),OR(Dashboard!$C$14="All",B43=Dashboard!$C$14),OR(Dashboard!$C$15="All",C43=Dashboard!$C$15),OR(Dashboard!$C$16="All",K43=Dashboard!$C$16)),1,0)</f>
        <v>1</v>
      </c>
      <c r="S43" s="19">
        <f t="shared" si="3"/>
        <v>42</v>
      </c>
      <c r="T43" s="9" t="s">
        <v>180</v>
      </c>
      <c r="V43" s="9" t="s">
        <v>181</v>
      </c>
    </row>
    <row r="44" ht="15.75" customHeight="1">
      <c r="A44" s="3" t="s">
        <v>83</v>
      </c>
      <c r="B44" s="4" t="s">
        <v>131</v>
      </c>
      <c r="C44" s="3" t="s">
        <v>182</v>
      </c>
      <c r="D44" s="4">
        <v>3000.0</v>
      </c>
      <c r="E44" s="14">
        <v>95.0</v>
      </c>
      <c r="F44" s="5">
        <f t="shared" si="1"/>
        <v>285000</v>
      </c>
      <c r="G44" s="6">
        <v>46186.0</v>
      </c>
      <c r="H44" s="22">
        <v>9.0</v>
      </c>
      <c r="I44" s="7">
        <f t="shared" si="2"/>
        <v>46249</v>
      </c>
      <c r="J44" s="4" t="s">
        <v>25</v>
      </c>
      <c r="K44" s="8" t="s">
        <v>37</v>
      </c>
      <c r="L44" s="19">
        <f>IF(A44="","",IF(OR(G44="",AND(G44&gt;=Dashboard!$C$18,G44&lt;=Dashboard!$C$19)),1,0))</f>
        <v>1</v>
      </c>
      <c r="M44" s="19">
        <f>IF(AND(L44=1,OR(Dashboard!$C$13="All",A44=Dashboard!$C$13),OR(Dashboard!$C$14="All",B44=Dashboard!$C$14),OR(Dashboard!$C$15="All",C44=Dashboard!$C$15),OR(Dashboard!$C$16="All",K44=Dashboard!$C$16),OR(Dashboard!$C$17="All",J44=Dashboard!$C$17)),1,0)</f>
        <v>1</v>
      </c>
      <c r="N44" s="19">
        <f>IF(AND(L44=1,OR(Dashboard!$C$13="All",A44=Dashboard!$C$13),OR(Dashboard!$C$14="All",B44=Dashboard!$C$14),OR(Dashboard!$C$16="All",K44=Dashboard!$C$16),OR(Dashboard!$C$17="All",J44=Dashboard!$C$17)),1,0)</f>
        <v>1</v>
      </c>
      <c r="O44" s="19">
        <f>IF(AND(L44=1,OR(Dashboard!$C$13="All",A44=Dashboard!$C$13),OR(Dashboard!$C$15="All",C44=Dashboard!$C$15),OR(Dashboard!$C$16="All",K44=Dashboard!$C$16),OR(Dashboard!$C$17="All",J44=Dashboard!$C$17)),1,0)</f>
        <v>1</v>
      </c>
      <c r="P44" s="19">
        <f>IF(AND(L44=1,OR(Dashboard!$C$13="All",A44=Dashboard!$C$13),OR(Dashboard!$C$14="All",B44=Dashboard!$C$14),OR(Dashboard!$C$15="All",C44=Dashboard!$C$15),OR(Dashboard!$C$17="All",J44=Dashboard!$C$17)),1,0)</f>
        <v>1</v>
      </c>
      <c r="Q44" s="19">
        <f>IF(AND(L44=1,OR(Dashboard!$C$14="All",B44=Dashboard!$C$14),OR(Dashboard!$C$15="All",C44=Dashboard!$C$15),OR(Dashboard!$C$16="All",K44=Dashboard!$C$16),OR(Dashboard!$C$17="All",J44=Dashboard!$C$17)),1,0)</f>
        <v>1</v>
      </c>
      <c r="R44" s="19">
        <f>IF(AND(L44=1,OR(Dashboard!$C$13="All",A44=Dashboard!$C$13),OR(Dashboard!$C$14="All",B44=Dashboard!$C$14),OR(Dashboard!$C$15="All",C44=Dashboard!$C$15),OR(Dashboard!$C$16="All",K44=Dashboard!$C$16)),1,0)</f>
        <v>1</v>
      </c>
      <c r="S44" s="19">
        <f t="shared" si="3"/>
        <v>43</v>
      </c>
      <c r="T44" s="9" t="s">
        <v>183</v>
      </c>
      <c r="V44" s="9" t="s">
        <v>184</v>
      </c>
    </row>
    <row r="45" ht="15.75" customHeight="1">
      <c r="A45" s="10" t="s">
        <v>87</v>
      </c>
      <c r="B45" s="13" t="s">
        <v>34</v>
      </c>
      <c r="C45" s="10" t="s">
        <v>108</v>
      </c>
      <c r="D45" s="13">
        <v>300.0</v>
      </c>
      <c r="E45" s="17">
        <v>574.0</v>
      </c>
      <c r="F45" s="15">
        <f t="shared" si="1"/>
        <v>172200</v>
      </c>
      <c r="G45" s="6">
        <v>46187.0</v>
      </c>
      <c r="H45" s="22">
        <v>9.0</v>
      </c>
      <c r="I45" s="16">
        <f t="shared" si="2"/>
        <v>46250</v>
      </c>
      <c r="J45" s="13" t="s">
        <v>25</v>
      </c>
      <c r="K45" s="11" t="s">
        <v>26</v>
      </c>
      <c r="L45" s="19">
        <f>IF(A45="","",IF(OR(G45="",AND(G45&gt;=Dashboard!$C$18,G45&lt;=Dashboard!$C$19)),1,0))</f>
        <v>1</v>
      </c>
      <c r="M45" s="19">
        <f>IF(AND(L45=1,OR(Dashboard!$C$13="All",A45=Dashboard!$C$13),OR(Dashboard!$C$14="All",B45=Dashboard!$C$14),OR(Dashboard!$C$15="All",C45=Dashboard!$C$15),OR(Dashboard!$C$16="All",K45=Dashboard!$C$16),OR(Dashboard!$C$17="All",J45=Dashboard!$C$17)),1,0)</f>
        <v>1</v>
      </c>
      <c r="N45" s="19">
        <f>IF(AND(L45=1,OR(Dashboard!$C$13="All",A45=Dashboard!$C$13),OR(Dashboard!$C$14="All",B45=Dashboard!$C$14),OR(Dashboard!$C$16="All",K45=Dashboard!$C$16),OR(Dashboard!$C$17="All",J45=Dashboard!$C$17)),1,0)</f>
        <v>1</v>
      </c>
      <c r="O45" s="19">
        <f>IF(AND(L45=1,OR(Dashboard!$C$13="All",A45=Dashboard!$C$13),OR(Dashboard!$C$15="All",C45=Dashboard!$C$15),OR(Dashboard!$C$16="All",K45=Dashboard!$C$16),OR(Dashboard!$C$17="All",J45=Dashboard!$C$17)),1,0)</f>
        <v>1</v>
      </c>
      <c r="P45" s="19">
        <f>IF(AND(L45=1,OR(Dashboard!$C$13="All",A45=Dashboard!$C$13),OR(Dashboard!$C$14="All",B45=Dashboard!$C$14),OR(Dashboard!$C$15="All",C45=Dashboard!$C$15),OR(Dashboard!$C$17="All",J45=Dashboard!$C$17)),1,0)</f>
        <v>1</v>
      </c>
      <c r="Q45" s="19">
        <f>IF(AND(L45=1,OR(Dashboard!$C$14="All",B45=Dashboard!$C$14),OR(Dashboard!$C$15="All",C45=Dashboard!$C$15),OR(Dashboard!$C$16="All",K45=Dashboard!$C$16),OR(Dashboard!$C$17="All",J45=Dashboard!$C$17)),1,0)</f>
        <v>1</v>
      </c>
      <c r="R45" s="19">
        <f>IF(AND(L45=1,OR(Dashboard!$C$13="All",A45=Dashboard!$C$13),OR(Dashboard!$C$14="All",B45=Dashboard!$C$14),OR(Dashboard!$C$15="All",C45=Dashboard!$C$15),OR(Dashboard!$C$16="All",K45=Dashboard!$C$16)),1,0)</f>
        <v>1</v>
      </c>
      <c r="S45" s="19">
        <f t="shared" si="3"/>
        <v>44</v>
      </c>
      <c r="T45" s="9" t="s">
        <v>185</v>
      </c>
      <c r="V45" s="9" t="s">
        <v>186</v>
      </c>
    </row>
    <row r="46" ht="15.75" customHeight="1">
      <c r="A46" s="3" t="s">
        <v>92</v>
      </c>
      <c r="B46" s="4"/>
      <c r="C46" s="3" t="s">
        <v>187</v>
      </c>
      <c r="D46" s="4">
        <v>1.0</v>
      </c>
      <c r="E46" s="14">
        <v>558.0</v>
      </c>
      <c r="F46" s="5">
        <f t="shared" si="1"/>
        <v>558</v>
      </c>
      <c r="G46" s="6">
        <v>46188.0</v>
      </c>
      <c r="H46" s="22">
        <v>9.0</v>
      </c>
      <c r="I46" s="7">
        <f t="shared" si="2"/>
        <v>46251</v>
      </c>
      <c r="J46" s="4" t="s">
        <v>25</v>
      </c>
      <c r="K46" s="8" t="s">
        <v>26</v>
      </c>
      <c r="L46" s="19">
        <f>IF(A46="","",IF(OR(G46="",AND(G46&gt;=Dashboard!$C$18,G46&lt;=Dashboard!$C$19)),1,0))</f>
        <v>1</v>
      </c>
      <c r="M46" s="19">
        <f>IF(AND(L46=1,OR(Dashboard!$C$13="All",A46=Dashboard!$C$13),OR(Dashboard!$C$14="All",B46=Dashboard!$C$14),OR(Dashboard!$C$15="All",C46=Dashboard!$C$15),OR(Dashboard!$C$16="All",K46=Dashboard!$C$16),OR(Dashboard!$C$17="All",J46=Dashboard!$C$17)),1,0)</f>
        <v>1</v>
      </c>
      <c r="N46" s="19">
        <f>IF(AND(L46=1,OR(Dashboard!$C$13="All",A46=Dashboard!$C$13),OR(Dashboard!$C$14="All",B46=Dashboard!$C$14),OR(Dashboard!$C$16="All",K46=Dashboard!$C$16),OR(Dashboard!$C$17="All",J46=Dashboard!$C$17)),1,0)</f>
        <v>1</v>
      </c>
      <c r="O46" s="19">
        <f>IF(AND(L46=1,OR(Dashboard!$C$13="All",A46=Dashboard!$C$13),OR(Dashboard!$C$15="All",C46=Dashboard!$C$15),OR(Dashboard!$C$16="All",K46=Dashboard!$C$16),OR(Dashboard!$C$17="All",J46=Dashboard!$C$17)),1,0)</f>
        <v>1</v>
      </c>
      <c r="P46" s="19">
        <f>IF(AND(L46=1,OR(Dashboard!$C$13="All",A46=Dashboard!$C$13),OR(Dashboard!$C$14="All",B46=Dashboard!$C$14),OR(Dashboard!$C$15="All",C46=Dashboard!$C$15),OR(Dashboard!$C$17="All",J46=Dashboard!$C$17)),1,0)</f>
        <v>1</v>
      </c>
      <c r="Q46" s="19">
        <f>IF(AND(L46=1,OR(Dashboard!$C$14="All",B46=Dashboard!$C$14),OR(Dashboard!$C$15="All",C46=Dashboard!$C$15),OR(Dashboard!$C$16="All",K46=Dashboard!$C$16),OR(Dashboard!$C$17="All",J46=Dashboard!$C$17)),1,0)</f>
        <v>1</v>
      </c>
      <c r="R46" s="19">
        <f>IF(AND(L46=1,OR(Dashboard!$C$13="All",A46=Dashboard!$C$13),OR(Dashboard!$C$14="All",B46=Dashboard!$C$14),OR(Dashboard!$C$15="All",C46=Dashboard!$C$15),OR(Dashboard!$C$16="All",K46=Dashboard!$C$16)),1,0)</f>
        <v>1</v>
      </c>
      <c r="S46" s="19">
        <f t="shared" si="3"/>
        <v>45</v>
      </c>
      <c r="T46" s="9" t="s">
        <v>188</v>
      </c>
      <c r="V46" s="9" t="s">
        <v>189</v>
      </c>
    </row>
    <row r="47" ht="15.75" customHeight="1">
      <c r="A47" s="10" t="s">
        <v>92</v>
      </c>
      <c r="B47" s="13"/>
      <c r="C47" s="10" t="s">
        <v>190</v>
      </c>
      <c r="D47" s="13">
        <v>1.0</v>
      </c>
      <c r="E47" s="17">
        <v>2265.0</v>
      </c>
      <c r="F47" s="15">
        <f t="shared" si="1"/>
        <v>2265</v>
      </c>
      <c r="G47" s="6">
        <v>46189.0</v>
      </c>
      <c r="H47" s="22">
        <v>9.0</v>
      </c>
      <c r="I47" s="16">
        <f t="shared" si="2"/>
        <v>46252</v>
      </c>
      <c r="J47" s="13" t="s">
        <v>25</v>
      </c>
      <c r="K47" s="13" t="s">
        <v>31</v>
      </c>
      <c r="L47" s="19">
        <f>IF(A47="","",IF(OR(G47="",AND(G47&gt;=Dashboard!$C$18,G47&lt;=Dashboard!$C$19)),1,0))</f>
        <v>1</v>
      </c>
      <c r="M47" s="19">
        <f>IF(AND(L47=1,OR(Dashboard!$C$13="All",A47=Dashboard!$C$13),OR(Dashboard!$C$14="All",B47=Dashboard!$C$14),OR(Dashboard!$C$15="All",C47=Dashboard!$C$15),OR(Dashboard!$C$16="All",K47=Dashboard!$C$16),OR(Dashboard!$C$17="All",J47=Dashboard!$C$17)),1,0)</f>
        <v>1</v>
      </c>
      <c r="N47" s="19">
        <f>IF(AND(L47=1,OR(Dashboard!$C$13="All",A47=Dashboard!$C$13),OR(Dashboard!$C$14="All",B47=Dashboard!$C$14),OR(Dashboard!$C$16="All",K47=Dashboard!$C$16),OR(Dashboard!$C$17="All",J47=Dashboard!$C$17)),1,0)</f>
        <v>1</v>
      </c>
      <c r="O47" s="19">
        <f>IF(AND(L47=1,OR(Dashboard!$C$13="All",A47=Dashboard!$C$13),OR(Dashboard!$C$15="All",C47=Dashboard!$C$15),OR(Dashboard!$C$16="All",K47=Dashboard!$C$16),OR(Dashboard!$C$17="All",J47=Dashboard!$C$17)),1,0)</f>
        <v>1</v>
      </c>
      <c r="P47" s="19">
        <f>IF(AND(L47=1,OR(Dashboard!$C$13="All",A47=Dashboard!$C$13),OR(Dashboard!$C$14="All",B47=Dashboard!$C$14),OR(Dashboard!$C$15="All",C47=Dashboard!$C$15),OR(Dashboard!$C$17="All",J47=Dashboard!$C$17)),1,0)</f>
        <v>1</v>
      </c>
      <c r="Q47" s="19">
        <f>IF(AND(L47=1,OR(Dashboard!$C$14="All",B47=Dashboard!$C$14),OR(Dashboard!$C$15="All",C47=Dashboard!$C$15),OR(Dashboard!$C$16="All",K47=Dashboard!$C$16),OR(Dashboard!$C$17="All",J47=Dashboard!$C$17)),1,0)</f>
        <v>1</v>
      </c>
      <c r="R47" s="19">
        <f>IF(AND(L47=1,OR(Dashboard!$C$13="All",A47=Dashboard!$C$13),OR(Dashboard!$C$14="All",B47=Dashboard!$C$14),OR(Dashboard!$C$15="All",C47=Dashboard!$C$15),OR(Dashboard!$C$16="All",K47=Dashboard!$C$16)),1,0)</f>
        <v>1</v>
      </c>
      <c r="S47" s="19">
        <f t="shared" si="3"/>
        <v>46</v>
      </c>
      <c r="T47" s="9" t="s">
        <v>191</v>
      </c>
      <c r="V47" s="9" t="s">
        <v>192</v>
      </c>
    </row>
    <row r="48" ht="15.75" customHeight="1">
      <c r="A48" s="3" t="s">
        <v>92</v>
      </c>
      <c r="B48" s="4"/>
      <c r="C48" s="3" t="s">
        <v>193</v>
      </c>
      <c r="D48" s="4">
        <v>1.0</v>
      </c>
      <c r="E48" s="14">
        <v>45.0</v>
      </c>
      <c r="F48" s="5">
        <f t="shared" si="1"/>
        <v>45</v>
      </c>
      <c r="G48" s="6">
        <v>46190.0</v>
      </c>
      <c r="H48" s="22">
        <v>7.0</v>
      </c>
      <c r="I48" s="7">
        <f t="shared" si="2"/>
        <v>46239</v>
      </c>
      <c r="J48" s="4" t="s">
        <v>25</v>
      </c>
      <c r="K48" s="8" t="s">
        <v>37</v>
      </c>
      <c r="L48" s="19">
        <f>IF(A48="","",IF(OR(G48="",AND(G48&gt;=Dashboard!$C$18,G48&lt;=Dashboard!$C$19)),1,0))</f>
        <v>1</v>
      </c>
      <c r="M48" s="19">
        <f>IF(AND(L48=1,OR(Dashboard!$C$13="All",A48=Dashboard!$C$13),OR(Dashboard!$C$14="All",B48=Dashboard!$C$14),OR(Dashboard!$C$15="All",C48=Dashboard!$C$15),OR(Dashboard!$C$16="All",K48=Dashboard!$C$16),OR(Dashboard!$C$17="All",J48=Dashboard!$C$17)),1,0)</f>
        <v>1</v>
      </c>
      <c r="N48" s="19">
        <f>IF(AND(L48=1,OR(Dashboard!$C$13="All",A48=Dashboard!$C$13),OR(Dashboard!$C$14="All",B48=Dashboard!$C$14),OR(Dashboard!$C$16="All",K48=Dashboard!$C$16),OR(Dashboard!$C$17="All",J48=Dashboard!$C$17)),1,0)</f>
        <v>1</v>
      </c>
      <c r="O48" s="19">
        <f>IF(AND(L48=1,OR(Dashboard!$C$13="All",A48=Dashboard!$C$13),OR(Dashboard!$C$15="All",C48=Dashboard!$C$15),OR(Dashboard!$C$16="All",K48=Dashboard!$C$16),OR(Dashboard!$C$17="All",J48=Dashboard!$C$17)),1,0)</f>
        <v>1</v>
      </c>
      <c r="P48" s="19">
        <f>IF(AND(L48=1,OR(Dashboard!$C$13="All",A48=Dashboard!$C$13),OR(Dashboard!$C$14="All",B48=Dashboard!$C$14),OR(Dashboard!$C$15="All",C48=Dashboard!$C$15),OR(Dashboard!$C$17="All",J48=Dashboard!$C$17)),1,0)</f>
        <v>1</v>
      </c>
      <c r="Q48" s="19">
        <f>IF(AND(L48=1,OR(Dashboard!$C$14="All",B48=Dashboard!$C$14),OR(Dashboard!$C$15="All",C48=Dashboard!$C$15),OR(Dashboard!$C$16="All",K48=Dashboard!$C$16),OR(Dashboard!$C$17="All",J48=Dashboard!$C$17)),1,0)</f>
        <v>1</v>
      </c>
      <c r="R48" s="19">
        <f>IF(AND(L48=1,OR(Dashboard!$C$13="All",A48=Dashboard!$C$13),OR(Dashboard!$C$14="All",B48=Dashboard!$C$14),OR(Dashboard!$C$15="All",C48=Dashboard!$C$15),OR(Dashboard!$C$16="All",K48=Dashboard!$C$16)),1,0)</f>
        <v>1</v>
      </c>
      <c r="S48" s="19">
        <f t="shared" si="3"/>
        <v>47</v>
      </c>
      <c r="T48" s="9" t="s">
        <v>194</v>
      </c>
      <c r="V48" s="9" t="s">
        <v>195</v>
      </c>
    </row>
    <row r="49" ht="15.75" customHeight="1">
      <c r="A49" s="10" t="s">
        <v>92</v>
      </c>
      <c r="B49" s="13"/>
      <c r="C49" s="10" t="s">
        <v>196</v>
      </c>
      <c r="D49" s="13">
        <v>1.0</v>
      </c>
      <c r="E49" s="17">
        <v>5554.0</v>
      </c>
      <c r="F49" s="15">
        <f t="shared" si="1"/>
        <v>5554</v>
      </c>
      <c r="G49" s="6">
        <v>46191.0</v>
      </c>
      <c r="H49" s="22">
        <v>10.0</v>
      </c>
      <c r="I49" s="16">
        <f t="shared" si="2"/>
        <v>46261</v>
      </c>
      <c r="J49" s="13" t="s">
        <v>25</v>
      </c>
      <c r="K49" s="11" t="s">
        <v>26</v>
      </c>
      <c r="L49" s="19">
        <f>IF(A49="","",IF(OR(G49="",AND(G49&gt;=Dashboard!$C$18,G49&lt;=Dashboard!$C$19)),1,0))</f>
        <v>1</v>
      </c>
      <c r="M49" s="19">
        <f>IF(AND(L49=1,OR(Dashboard!$C$13="All",A49=Dashboard!$C$13),OR(Dashboard!$C$14="All",B49=Dashboard!$C$14),OR(Dashboard!$C$15="All",C49=Dashboard!$C$15),OR(Dashboard!$C$16="All",K49=Dashboard!$C$16),OR(Dashboard!$C$17="All",J49=Dashboard!$C$17)),1,0)</f>
        <v>1</v>
      </c>
      <c r="N49" s="19">
        <f>IF(AND(L49=1,OR(Dashboard!$C$13="All",A49=Dashboard!$C$13),OR(Dashboard!$C$14="All",B49=Dashboard!$C$14),OR(Dashboard!$C$16="All",K49=Dashboard!$C$16),OR(Dashboard!$C$17="All",J49=Dashboard!$C$17)),1,0)</f>
        <v>1</v>
      </c>
      <c r="O49" s="19">
        <f>IF(AND(L49=1,OR(Dashboard!$C$13="All",A49=Dashboard!$C$13),OR(Dashboard!$C$15="All",C49=Dashboard!$C$15),OR(Dashboard!$C$16="All",K49=Dashboard!$C$16),OR(Dashboard!$C$17="All",J49=Dashboard!$C$17)),1,0)</f>
        <v>1</v>
      </c>
      <c r="P49" s="19">
        <f>IF(AND(L49=1,OR(Dashboard!$C$13="All",A49=Dashboard!$C$13),OR(Dashboard!$C$14="All",B49=Dashboard!$C$14),OR(Dashboard!$C$15="All",C49=Dashboard!$C$15),OR(Dashboard!$C$17="All",J49=Dashboard!$C$17)),1,0)</f>
        <v>1</v>
      </c>
      <c r="Q49" s="19">
        <f>IF(AND(L49=1,OR(Dashboard!$C$14="All",B49=Dashboard!$C$14),OR(Dashboard!$C$15="All",C49=Dashboard!$C$15),OR(Dashboard!$C$16="All",K49=Dashboard!$C$16),OR(Dashboard!$C$17="All",J49=Dashboard!$C$17)),1,0)</f>
        <v>1</v>
      </c>
      <c r="R49" s="19">
        <f>IF(AND(L49=1,OR(Dashboard!$C$13="All",A49=Dashboard!$C$13),OR(Dashboard!$C$14="All",B49=Dashboard!$C$14),OR(Dashboard!$C$15="All",C49=Dashboard!$C$15),OR(Dashboard!$C$16="All",K49=Dashboard!$C$16)),1,0)</f>
        <v>1</v>
      </c>
      <c r="S49" s="19">
        <f t="shared" si="3"/>
        <v>48</v>
      </c>
      <c r="T49" s="9" t="s">
        <v>197</v>
      </c>
      <c r="V49" s="9" t="s">
        <v>52</v>
      </c>
    </row>
    <row r="50" ht="15.75" customHeight="1">
      <c r="A50" s="3" t="s">
        <v>92</v>
      </c>
      <c r="B50" s="4"/>
      <c r="C50" s="3" t="s">
        <v>198</v>
      </c>
      <c r="D50" s="4">
        <v>50.0</v>
      </c>
      <c r="E50" s="14">
        <v>41.0</v>
      </c>
      <c r="F50" s="5">
        <f t="shared" si="1"/>
        <v>2050</v>
      </c>
      <c r="G50" s="6">
        <v>46192.0</v>
      </c>
      <c r="H50" s="22">
        <v>9.0</v>
      </c>
      <c r="I50" s="7">
        <f t="shared" si="2"/>
        <v>46255</v>
      </c>
      <c r="J50" s="4" t="s">
        <v>25</v>
      </c>
      <c r="K50" s="8" t="s">
        <v>48</v>
      </c>
      <c r="L50" s="19">
        <f>IF(A50="","",IF(OR(G50="",AND(G50&gt;=Dashboard!$C$18,G50&lt;=Dashboard!$C$19)),1,0))</f>
        <v>1</v>
      </c>
      <c r="M50" s="19">
        <f>IF(AND(L50=1,OR(Dashboard!$C$13="All",A50=Dashboard!$C$13),OR(Dashboard!$C$14="All",B50=Dashboard!$C$14),OR(Dashboard!$C$15="All",C50=Dashboard!$C$15),OR(Dashboard!$C$16="All",K50=Dashboard!$C$16),OR(Dashboard!$C$17="All",J50=Dashboard!$C$17)),1,0)</f>
        <v>1</v>
      </c>
      <c r="N50" s="19">
        <f>IF(AND(L50=1,OR(Dashboard!$C$13="All",A50=Dashboard!$C$13),OR(Dashboard!$C$14="All",B50=Dashboard!$C$14),OR(Dashboard!$C$16="All",K50=Dashboard!$C$16),OR(Dashboard!$C$17="All",J50=Dashboard!$C$17)),1,0)</f>
        <v>1</v>
      </c>
      <c r="O50" s="19">
        <f>IF(AND(L50=1,OR(Dashboard!$C$13="All",A50=Dashboard!$C$13),OR(Dashboard!$C$15="All",C50=Dashboard!$C$15),OR(Dashboard!$C$16="All",K50=Dashboard!$C$16),OR(Dashboard!$C$17="All",J50=Dashboard!$C$17)),1,0)</f>
        <v>1</v>
      </c>
      <c r="P50" s="19">
        <f>IF(AND(L50=1,OR(Dashboard!$C$13="All",A50=Dashboard!$C$13),OR(Dashboard!$C$14="All",B50=Dashboard!$C$14),OR(Dashboard!$C$15="All",C50=Dashboard!$C$15),OR(Dashboard!$C$17="All",J50=Dashboard!$C$17)),1,0)</f>
        <v>1</v>
      </c>
      <c r="Q50" s="19">
        <f>IF(AND(L50=1,OR(Dashboard!$C$14="All",B50=Dashboard!$C$14),OR(Dashboard!$C$15="All",C50=Dashboard!$C$15),OR(Dashboard!$C$16="All",K50=Dashboard!$C$16),OR(Dashboard!$C$17="All",J50=Dashboard!$C$17)),1,0)</f>
        <v>1</v>
      </c>
      <c r="R50" s="19">
        <f>IF(AND(L50=1,OR(Dashboard!$C$13="All",A50=Dashboard!$C$13),OR(Dashboard!$C$14="All",B50=Dashboard!$C$14),OR(Dashboard!$C$15="All",C50=Dashboard!$C$15),OR(Dashboard!$C$16="All",K50=Dashboard!$C$16)),1,0)</f>
        <v>1</v>
      </c>
      <c r="S50" s="19">
        <f t="shared" si="3"/>
        <v>49</v>
      </c>
      <c r="T50" s="9" t="s">
        <v>199</v>
      </c>
      <c r="V50" s="9" t="s">
        <v>200</v>
      </c>
    </row>
    <row r="51" ht="15.75" customHeight="1">
      <c r="A51" s="10" t="s">
        <v>94</v>
      </c>
      <c r="B51" s="13" t="s">
        <v>71</v>
      </c>
      <c r="C51" s="10" t="s">
        <v>201</v>
      </c>
      <c r="D51" s="13">
        <v>2.0</v>
      </c>
      <c r="E51" s="17">
        <v>231.0</v>
      </c>
      <c r="F51" s="15">
        <f t="shared" si="1"/>
        <v>462</v>
      </c>
      <c r="G51" s="6">
        <v>46193.0</v>
      </c>
      <c r="H51" s="22">
        <v>9.0</v>
      </c>
      <c r="I51" s="16">
        <f t="shared" si="2"/>
        <v>46256</v>
      </c>
      <c r="J51" s="13" t="s">
        <v>25</v>
      </c>
      <c r="K51" s="13" t="s">
        <v>31</v>
      </c>
      <c r="L51" s="19">
        <f>IF(A51="","",IF(OR(G51="",AND(G51&gt;=Dashboard!$C$18,G51&lt;=Dashboard!$C$19)),1,0))</f>
        <v>1</v>
      </c>
      <c r="M51" s="19">
        <f>IF(AND(L51=1,OR(Dashboard!$C$13="All",A51=Dashboard!$C$13),OR(Dashboard!$C$14="All",B51=Dashboard!$C$14),OR(Dashboard!$C$15="All",C51=Dashboard!$C$15),OR(Dashboard!$C$16="All",K51=Dashboard!$C$16),OR(Dashboard!$C$17="All",J51=Dashboard!$C$17)),1,0)</f>
        <v>1</v>
      </c>
      <c r="N51" s="19">
        <f>IF(AND(L51=1,OR(Dashboard!$C$13="All",A51=Dashboard!$C$13),OR(Dashboard!$C$14="All",B51=Dashboard!$C$14),OR(Dashboard!$C$16="All",K51=Dashboard!$C$16),OR(Dashboard!$C$17="All",J51=Dashboard!$C$17)),1,0)</f>
        <v>1</v>
      </c>
      <c r="O51" s="19">
        <f>IF(AND(L51=1,OR(Dashboard!$C$13="All",A51=Dashboard!$C$13),OR(Dashboard!$C$15="All",C51=Dashboard!$C$15),OR(Dashboard!$C$16="All",K51=Dashboard!$C$16),OR(Dashboard!$C$17="All",J51=Dashboard!$C$17)),1,0)</f>
        <v>1</v>
      </c>
      <c r="P51" s="19">
        <f>IF(AND(L51=1,OR(Dashboard!$C$13="All",A51=Dashboard!$C$13),OR(Dashboard!$C$14="All",B51=Dashboard!$C$14),OR(Dashboard!$C$15="All",C51=Dashboard!$C$15),OR(Dashboard!$C$17="All",J51=Dashboard!$C$17)),1,0)</f>
        <v>1</v>
      </c>
      <c r="Q51" s="19">
        <f>IF(AND(L51=1,OR(Dashboard!$C$14="All",B51=Dashboard!$C$14),OR(Dashboard!$C$15="All",C51=Dashboard!$C$15),OR(Dashboard!$C$16="All",K51=Dashboard!$C$16),OR(Dashboard!$C$17="All",J51=Dashboard!$C$17)),1,0)</f>
        <v>1</v>
      </c>
      <c r="R51" s="19">
        <f>IF(AND(L51=1,OR(Dashboard!$C$13="All",A51=Dashboard!$C$13),OR(Dashboard!$C$14="All",B51=Dashboard!$C$14),OR(Dashboard!$C$15="All",C51=Dashboard!$C$15),OR(Dashboard!$C$16="All",K51=Dashboard!$C$16)),1,0)</f>
        <v>1</v>
      </c>
      <c r="S51" s="19">
        <f t="shared" si="3"/>
        <v>50</v>
      </c>
      <c r="T51" s="9" t="s">
        <v>202</v>
      </c>
      <c r="V51" s="9" t="s">
        <v>203</v>
      </c>
    </row>
    <row r="52" ht="15.75" customHeight="1">
      <c r="A52" s="3" t="s">
        <v>98</v>
      </c>
      <c r="B52" s="4" t="s">
        <v>125</v>
      </c>
      <c r="C52" s="3" t="s">
        <v>204</v>
      </c>
      <c r="D52" s="4">
        <v>1.0</v>
      </c>
      <c r="E52" s="14">
        <v>25.0</v>
      </c>
      <c r="F52" s="5">
        <f t="shared" si="1"/>
        <v>25</v>
      </c>
      <c r="G52" s="6">
        <v>46194.0</v>
      </c>
      <c r="H52" s="22">
        <v>9.0</v>
      </c>
      <c r="I52" s="7">
        <f t="shared" si="2"/>
        <v>46257</v>
      </c>
      <c r="J52" s="4" t="s">
        <v>25</v>
      </c>
      <c r="K52" s="4" t="s">
        <v>31</v>
      </c>
      <c r="L52" s="19">
        <f>IF(A52="","",IF(OR(G52="",AND(G52&gt;=Dashboard!$C$18,G52&lt;=Dashboard!$C$19)),1,0))</f>
        <v>1</v>
      </c>
      <c r="M52" s="19">
        <f>IF(AND(L52=1,OR(Dashboard!$C$13="All",A52=Dashboard!$C$13),OR(Dashboard!$C$14="All",B52=Dashboard!$C$14),OR(Dashboard!$C$15="All",C52=Dashboard!$C$15),OR(Dashboard!$C$16="All",K52=Dashboard!$C$16),OR(Dashboard!$C$17="All",J52=Dashboard!$C$17)),1,0)</f>
        <v>1</v>
      </c>
      <c r="N52" s="19">
        <f>IF(AND(L52=1,OR(Dashboard!$C$13="All",A52=Dashboard!$C$13),OR(Dashboard!$C$14="All",B52=Dashboard!$C$14),OR(Dashboard!$C$16="All",K52=Dashboard!$C$16),OR(Dashboard!$C$17="All",J52=Dashboard!$C$17)),1,0)</f>
        <v>1</v>
      </c>
      <c r="O52" s="19">
        <f>IF(AND(L52=1,OR(Dashboard!$C$13="All",A52=Dashboard!$C$13),OR(Dashboard!$C$15="All",C52=Dashboard!$C$15),OR(Dashboard!$C$16="All",K52=Dashboard!$C$16),OR(Dashboard!$C$17="All",J52=Dashboard!$C$17)),1,0)</f>
        <v>1</v>
      </c>
      <c r="P52" s="19">
        <f>IF(AND(L52=1,OR(Dashboard!$C$13="All",A52=Dashboard!$C$13),OR(Dashboard!$C$14="All",B52=Dashboard!$C$14),OR(Dashboard!$C$15="All",C52=Dashboard!$C$15),OR(Dashboard!$C$17="All",J52=Dashboard!$C$17)),1,0)</f>
        <v>1</v>
      </c>
      <c r="Q52" s="19">
        <f>IF(AND(L52=1,OR(Dashboard!$C$14="All",B52=Dashboard!$C$14),OR(Dashboard!$C$15="All",C52=Dashboard!$C$15),OR(Dashboard!$C$16="All",K52=Dashboard!$C$16),OR(Dashboard!$C$17="All",J52=Dashboard!$C$17)),1,0)</f>
        <v>1</v>
      </c>
      <c r="R52" s="19">
        <f>IF(AND(L52=1,OR(Dashboard!$C$13="All",A52=Dashboard!$C$13),OR(Dashboard!$C$14="All",B52=Dashboard!$C$14),OR(Dashboard!$C$15="All",C52=Dashboard!$C$15),OR(Dashboard!$C$16="All",K52=Dashboard!$C$16)),1,0)</f>
        <v>1</v>
      </c>
      <c r="S52" s="19">
        <f t="shared" si="3"/>
        <v>51</v>
      </c>
      <c r="T52" s="9" t="s">
        <v>205</v>
      </c>
      <c r="V52" s="9" t="s">
        <v>79</v>
      </c>
    </row>
    <row r="53" ht="15.75" customHeight="1">
      <c r="A53" s="10" t="s">
        <v>98</v>
      </c>
      <c r="B53" s="13" t="s">
        <v>125</v>
      </c>
      <c r="C53" s="10" t="s">
        <v>206</v>
      </c>
      <c r="D53" s="13">
        <v>1.0</v>
      </c>
      <c r="E53" s="17">
        <v>245.0</v>
      </c>
      <c r="F53" s="15">
        <f t="shared" si="1"/>
        <v>245</v>
      </c>
      <c r="G53" s="6">
        <v>46195.0</v>
      </c>
      <c r="H53" s="22">
        <v>7.0</v>
      </c>
      <c r="I53" s="16">
        <f t="shared" si="2"/>
        <v>46244</v>
      </c>
      <c r="J53" s="13" t="s">
        <v>25</v>
      </c>
      <c r="K53" s="8" t="s">
        <v>26</v>
      </c>
      <c r="L53" s="19">
        <f>IF(A53="","",IF(OR(G53="",AND(G53&gt;=Dashboard!$C$18,G53&lt;=Dashboard!$C$19)),1,0))</f>
        <v>1</v>
      </c>
      <c r="M53" s="19">
        <f>IF(AND(L53=1,OR(Dashboard!$C$13="All",A53=Dashboard!$C$13),OR(Dashboard!$C$14="All",B53=Dashboard!$C$14),OR(Dashboard!$C$15="All",C53=Dashboard!$C$15),OR(Dashboard!$C$16="All",K53=Dashboard!$C$16),OR(Dashboard!$C$17="All",J53=Dashboard!$C$17)),1,0)</f>
        <v>1</v>
      </c>
      <c r="N53" s="19">
        <f>IF(AND(L53=1,OR(Dashboard!$C$13="All",A53=Dashboard!$C$13),OR(Dashboard!$C$14="All",B53=Dashboard!$C$14),OR(Dashboard!$C$16="All",K53=Dashboard!$C$16),OR(Dashboard!$C$17="All",J53=Dashboard!$C$17)),1,0)</f>
        <v>1</v>
      </c>
      <c r="O53" s="19">
        <f>IF(AND(L53=1,OR(Dashboard!$C$13="All",A53=Dashboard!$C$13),OR(Dashboard!$C$15="All",C53=Dashboard!$C$15),OR(Dashboard!$C$16="All",K53=Dashboard!$C$16),OR(Dashboard!$C$17="All",J53=Dashboard!$C$17)),1,0)</f>
        <v>1</v>
      </c>
      <c r="P53" s="19">
        <f>IF(AND(L53=1,OR(Dashboard!$C$13="All",A53=Dashboard!$C$13),OR(Dashboard!$C$14="All",B53=Dashboard!$C$14),OR(Dashboard!$C$15="All",C53=Dashboard!$C$15),OR(Dashboard!$C$17="All",J53=Dashboard!$C$17)),1,0)</f>
        <v>1</v>
      </c>
      <c r="Q53" s="19">
        <f>IF(AND(L53=1,OR(Dashboard!$C$14="All",B53=Dashboard!$C$14),OR(Dashboard!$C$15="All",C53=Dashboard!$C$15),OR(Dashboard!$C$16="All",K53=Dashboard!$C$16),OR(Dashboard!$C$17="All",J53=Dashboard!$C$17)),1,0)</f>
        <v>1</v>
      </c>
      <c r="R53" s="19">
        <f>IF(AND(L53=1,OR(Dashboard!$C$13="All",A53=Dashboard!$C$13),OR(Dashboard!$C$14="All",B53=Dashboard!$C$14),OR(Dashboard!$C$15="All",C53=Dashboard!$C$15),OR(Dashboard!$C$16="All",K53=Dashboard!$C$16)),1,0)</f>
        <v>1</v>
      </c>
      <c r="S53" s="19">
        <f t="shared" si="3"/>
        <v>52</v>
      </c>
      <c r="T53" s="9" t="s">
        <v>207</v>
      </c>
      <c r="V53" s="9" t="s">
        <v>123</v>
      </c>
    </row>
    <row r="54" ht="15.75" customHeight="1">
      <c r="A54" s="3" t="s">
        <v>98</v>
      </c>
      <c r="B54" s="4"/>
      <c r="C54" s="3" t="s">
        <v>208</v>
      </c>
      <c r="D54" s="4">
        <v>1.0</v>
      </c>
      <c r="E54" s="14">
        <v>2555.0</v>
      </c>
      <c r="F54" s="5">
        <f t="shared" si="1"/>
        <v>2555</v>
      </c>
      <c r="G54" s="6">
        <v>46196.0</v>
      </c>
      <c r="H54" s="22">
        <v>10.0</v>
      </c>
      <c r="I54" s="7">
        <f t="shared" si="2"/>
        <v>46266</v>
      </c>
      <c r="J54" s="4" t="s">
        <v>25</v>
      </c>
      <c r="K54" s="13" t="s">
        <v>31</v>
      </c>
      <c r="L54" s="19">
        <f>IF(A54="","",IF(OR(G54="",AND(G54&gt;=Dashboard!$C$18,G54&lt;=Dashboard!$C$19)),1,0))</f>
        <v>1</v>
      </c>
      <c r="M54" s="19">
        <f>IF(AND(L54=1,OR(Dashboard!$C$13="All",A54=Dashboard!$C$13),OR(Dashboard!$C$14="All",B54=Dashboard!$C$14),OR(Dashboard!$C$15="All",C54=Dashboard!$C$15),OR(Dashboard!$C$16="All",K54=Dashboard!$C$16),OR(Dashboard!$C$17="All",J54=Dashboard!$C$17)),1,0)</f>
        <v>1</v>
      </c>
      <c r="N54" s="19">
        <f>IF(AND(L54=1,OR(Dashboard!$C$13="All",A54=Dashboard!$C$13),OR(Dashboard!$C$14="All",B54=Dashboard!$C$14),OR(Dashboard!$C$16="All",K54=Dashboard!$C$16),OR(Dashboard!$C$17="All",J54=Dashboard!$C$17)),1,0)</f>
        <v>1</v>
      </c>
      <c r="O54" s="19">
        <f>IF(AND(L54=1,OR(Dashboard!$C$13="All",A54=Dashboard!$C$13),OR(Dashboard!$C$15="All",C54=Dashboard!$C$15),OR(Dashboard!$C$16="All",K54=Dashboard!$C$16),OR(Dashboard!$C$17="All",J54=Dashboard!$C$17)),1,0)</f>
        <v>1</v>
      </c>
      <c r="P54" s="19">
        <f>IF(AND(L54=1,OR(Dashboard!$C$13="All",A54=Dashboard!$C$13),OR(Dashboard!$C$14="All",B54=Dashboard!$C$14),OR(Dashboard!$C$15="All",C54=Dashboard!$C$15),OR(Dashboard!$C$17="All",J54=Dashboard!$C$17)),1,0)</f>
        <v>1</v>
      </c>
      <c r="Q54" s="19">
        <f>IF(AND(L54=1,OR(Dashboard!$C$14="All",B54=Dashboard!$C$14),OR(Dashboard!$C$15="All",C54=Dashboard!$C$15),OR(Dashboard!$C$16="All",K54=Dashboard!$C$16),OR(Dashboard!$C$17="All",J54=Dashboard!$C$17)),1,0)</f>
        <v>1</v>
      </c>
      <c r="R54" s="19">
        <f>IF(AND(L54=1,OR(Dashboard!$C$13="All",A54=Dashboard!$C$13),OR(Dashboard!$C$14="All",B54=Dashboard!$C$14),OR(Dashboard!$C$15="All",C54=Dashboard!$C$15),OR(Dashboard!$C$16="All",K54=Dashboard!$C$16)),1,0)</f>
        <v>1</v>
      </c>
      <c r="S54" s="19">
        <f t="shared" si="3"/>
        <v>53</v>
      </c>
      <c r="T54" s="9" t="s">
        <v>209</v>
      </c>
      <c r="V54" s="9" t="s">
        <v>60</v>
      </c>
    </row>
    <row r="55" ht="15.75" customHeight="1">
      <c r="A55" s="10" t="s">
        <v>101</v>
      </c>
      <c r="B55" s="13"/>
      <c r="C55" s="10" t="s">
        <v>210</v>
      </c>
      <c r="D55" s="13">
        <v>1.0</v>
      </c>
      <c r="E55" s="17">
        <v>255.0</v>
      </c>
      <c r="F55" s="15">
        <f t="shared" si="1"/>
        <v>255</v>
      </c>
      <c r="G55" s="6">
        <v>46197.0</v>
      </c>
      <c r="H55" s="22">
        <v>6.0</v>
      </c>
      <c r="I55" s="16">
        <f t="shared" si="2"/>
        <v>46239</v>
      </c>
      <c r="J55" s="13" t="s">
        <v>25</v>
      </c>
      <c r="K55" s="8" t="s">
        <v>37</v>
      </c>
      <c r="L55" s="19">
        <f>IF(A55="","",IF(OR(G55="",AND(G55&gt;=Dashboard!$C$18,G55&lt;=Dashboard!$C$19)),1,0))</f>
        <v>1</v>
      </c>
      <c r="M55" s="19">
        <f>IF(AND(L55=1,OR(Dashboard!$C$13="All",A55=Dashboard!$C$13),OR(Dashboard!$C$14="All",B55=Dashboard!$C$14),OR(Dashboard!$C$15="All",C55=Dashboard!$C$15),OR(Dashboard!$C$16="All",K55=Dashboard!$C$16),OR(Dashboard!$C$17="All",J55=Dashboard!$C$17)),1,0)</f>
        <v>1</v>
      </c>
      <c r="N55" s="19">
        <f>IF(AND(L55=1,OR(Dashboard!$C$13="All",A55=Dashboard!$C$13),OR(Dashboard!$C$14="All",B55=Dashboard!$C$14),OR(Dashboard!$C$16="All",K55=Dashboard!$C$16),OR(Dashboard!$C$17="All",J55=Dashboard!$C$17)),1,0)</f>
        <v>1</v>
      </c>
      <c r="O55" s="19">
        <f>IF(AND(L55=1,OR(Dashboard!$C$13="All",A55=Dashboard!$C$13),OR(Dashboard!$C$15="All",C55=Dashboard!$C$15),OR(Dashboard!$C$16="All",K55=Dashboard!$C$16),OR(Dashboard!$C$17="All",J55=Dashboard!$C$17)),1,0)</f>
        <v>1</v>
      </c>
      <c r="P55" s="19">
        <f>IF(AND(L55=1,OR(Dashboard!$C$13="All",A55=Dashboard!$C$13),OR(Dashboard!$C$14="All",B55=Dashboard!$C$14),OR(Dashboard!$C$15="All",C55=Dashboard!$C$15),OR(Dashboard!$C$17="All",J55=Dashboard!$C$17)),1,0)</f>
        <v>1</v>
      </c>
      <c r="Q55" s="19">
        <f>IF(AND(L55=1,OR(Dashboard!$C$14="All",B55=Dashboard!$C$14),OR(Dashboard!$C$15="All",C55=Dashboard!$C$15),OR(Dashboard!$C$16="All",K55=Dashboard!$C$16),OR(Dashboard!$C$17="All",J55=Dashboard!$C$17)),1,0)</f>
        <v>1</v>
      </c>
      <c r="R55" s="19">
        <f>IF(AND(L55=1,OR(Dashboard!$C$13="All",A55=Dashboard!$C$13),OR(Dashboard!$C$14="All",B55=Dashboard!$C$14),OR(Dashboard!$C$15="All",C55=Dashboard!$C$15),OR(Dashboard!$C$16="All",K55=Dashboard!$C$16)),1,0)</f>
        <v>1</v>
      </c>
      <c r="S55" s="19">
        <f t="shared" si="3"/>
        <v>54</v>
      </c>
      <c r="T55" s="9" t="s">
        <v>114</v>
      </c>
      <c r="V55" s="9" t="s">
        <v>211</v>
      </c>
    </row>
    <row r="56" ht="15.75" customHeight="1">
      <c r="A56" s="3" t="s">
        <v>101</v>
      </c>
      <c r="B56" s="4"/>
      <c r="C56" s="3" t="s">
        <v>212</v>
      </c>
      <c r="D56" s="4">
        <v>1.0</v>
      </c>
      <c r="E56" s="14">
        <v>45.0</v>
      </c>
      <c r="F56" s="5">
        <f t="shared" si="1"/>
        <v>45</v>
      </c>
      <c r="G56" s="6">
        <v>46198.0</v>
      </c>
      <c r="H56" s="22">
        <v>9.0</v>
      </c>
      <c r="I56" s="7">
        <f t="shared" si="2"/>
        <v>46261</v>
      </c>
      <c r="J56" s="4" t="s">
        <v>25</v>
      </c>
      <c r="K56" s="11" t="s">
        <v>26</v>
      </c>
      <c r="L56" s="19">
        <f>IF(A56="","",IF(OR(G56="",AND(G56&gt;=Dashboard!$C$18,G56&lt;=Dashboard!$C$19)),1,0))</f>
        <v>1</v>
      </c>
      <c r="M56" s="19">
        <f>IF(AND(L56=1,OR(Dashboard!$C$13="All",A56=Dashboard!$C$13),OR(Dashboard!$C$14="All",B56=Dashboard!$C$14),OR(Dashboard!$C$15="All",C56=Dashboard!$C$15),OR(Dashboard!$C$16="All",K56=Dashboard!$C$16),OR(Dashboard!$C$17="All",J56=Dashboard!$C$17)),1,0)</f>
        <v>1</v>
      </c>
      <c r="N56" s="19">
        <f>IF(AND(L56=1,OR(Dashboard!$C$13="All",A56=Dashboard!$C$13),OR(Dashboard!$C$14="All",B56=Dashboard!$C$14),OR(Dashboard!$C$16="All",K56=Dashboard!$C$16),OR(Dashboard!$C$17="All",J56=Dashboard!$C$17)),1,0)</f>
        <v>1</v>
      </c>
      <c r="O56" s="19">
        <f>IF(AND(L56=1,OR(Dashboard!$C$13="All",A56=Dashboard!$C$13),OR(Dashboard!$C$15="All",C56=Dashboard!$C$15),OR(Dashboard!$C$16="All",K56=Dashboard!$C$16),OR(Dashboard!$C$17="All",J56=Dashboard!$C$17)),1,0)</f>
        <v>1</v>
      </c>
      <c r="P56" s="19">
        <f>IF(AND(L56=1,OR(Dashboard!$C$13="All",A56=Dashboard!$C$13),OR(Dashboard!$C$14="All",B56=Dashboard!$C$14),OR(Dashboard!$C$15="All",C56=Dashboard!$C$15),OR(Dashboard!$C$17="All",J56=Dashboard!$C$17)),1,0)</f>
        <v>1</v>
      </c>
      <c r="Q56" s="19">
        <f>IF(AND(L56=1,OR(Dashboard!$C$14="All",B56=Dashboard!$C$14),OR(Dashboard!$C$15="All",C56=Dashboard!$C$15),OR(Dashboard!$C$16="All",K56=Dashboard!$C$16),OR(Dashboard!$C$17="All",J56=Dashboard!$C$17)),1,0)</f>
        <v>1</v>
      </c>
      <c r="R56" s="19">
        <f>IF(AND(L56=1,OR(Dashboard!$C$13="All",A56=Dashboard!$C$13),OR(Dashboard!$C$14="All",B56=Dashboard!$C$14),OR(Dashboard!$C$15="All",C56=Dashboard!$C$15),OR(Dashboard!$C$16="All",K56=Dashboard!$C$16)),1,0)</f>
        <v>1</v>
      </c>
      <c r="S56" s="19">
        <f t="shared" si="3"/>
        <v>55</v>
      </c>
      <c r="T56" s="9" t="s">
        <v>213</v>
      </c>
      <c r="V56" s="9" t="s">
        <v>214</v>
      </c>
    </row>
    <row r="57" ht="15.75" customHeight="1">
      <c r="A57" s="10" t="s">
        <v>101</v>
      </c>
      <c r="B57" s="13"/>
      <c r="C57" s="10" t="s">
        <v>215</v>
      </c>
      <c r="D57" s="13">
        <v>2.0</v>
      </c>
      <c r="E57" s="17">
        <v>36.0</v>
      </c>
      <c r="F57" s="15">
        <f t="shared" si="1"/>
        <v>72</v>
      </c>
      <c r="G57" s="6">
        <v>46199.0</v>
      </c>
      <c r="H57" s="22">
        <v>7.0</v>
      </c>
      <c r="I57" s="16">
        <f t="shared" si="2"/>
        <v>46248</v>
      </c>
      <c r="J57" s="13" t="s">
        <v>25</v>
      </c>
      <c r="K57" s="8" t="s">
        <v>48</v>
      </c>
      <c r="L57" s="19">
        <f>IF(A57="","",IF(OR(G57="",AND(G57&gt;=Dashboard!$C$18,G57&lt;=Dashboard!$C$19)),1,0))</f>
        <v>1</v>
      </c>
      <c r="M57" s="19">
        <f>IF(AND(L57=1,OR(Dashboard!$C$13="All",A57=Dashboard!$C$13),OR(Dashboard!$C$14="All",B57=Dashboard!$C$14),OR(Dashboard!$C$15="All",C57=Dashboard!$C$15),OR(Dashboard!$C$16="All",K57=Dashboard!$C$16),OR(Dashboard!$C$17="All",J57=Dashboard!$C$17)),1,0)</f>
        <v>1</v>
      </c>
      <c r="N57" s="19">
        <f>IF(AND(L57=1,OR(Dashboard!$C$13="All",A57=Dashboard!$C$13),OR(Dashboard!$C$14="All",B57=Dashboard!$C$14),OR(Dashboard!$C$16="All",K57=Dashboard!$C$16),OR(Dashboard!$C$17="All",J57=Dashboard!$C$17)),1,0)</f>
        <v>1</v>
      </c>
      <c r="O57" s="19">
        <f>IF(AND(L57=1,OR(Dashboard!$C$13="All",A57=Dashboard!$C$13),OR(Dashboard!$C$15="All",C57=Dashboard!$C$15),OR(Dashboard!$C$16="All",K57=Dashboard!$C$16),OR(Dashboard!$C$17="All",J57=Dashboard!$C$17)),1,0)</f>
        <v>1</v>
      </c>
      <c r="P57" s="19">
        <f>IF(AND(L57=1,OR(Dashboard!$C$13="All",A57=Dashboard!$C$13),OR(Dashboard!$C$14="All",B57=Dashboard!$C$14),OR(Dashboard!$C$15="All",C57=Dashboard!$C$15),OR(Dashboard!$C$17="All",J57=Dashboard!$C$17)),1,0)</f>
        <v>1</v>
      </c>
      <c r="Q57" s="19">
        <f>IF(AND(L57=1,OR(Dashboard!$C$14="All",B57=Dashboard!$C$14),OR(Dashboard!$C$15="All",C57=Dashboard!$C$15),OR(Dashboard!$C$16="All",K57=Dashboard!$C$16),OR(Dashboard!$C$17="All",J57=Dashboard!$C$17)),1,0)</f>
        <v>1</v>
      </c>
      <c r="R57" s="19">
        <f>IF(AND(L57=1,OR(Dashboard!$C$13="All",A57=Dashboard!$C$13),OR(Dashboard!$C$14="All",B57=Dashboard!$C$14),OR(Dashboard!$C$15="All",C57=Dashboard!$C$15),OR(Dashboard!$C$16="All",K57=Dashboard!$C$16)),1,0)</f>
        <v>1</v>
      </c>
      <c r="S57" s="19">
        <f t="shared" si="3"/>
        <v>56</v>
      </c>
      <c r="T57" s="9" t="s">
        <v>216</v>
      </c>
      <c r="V57" s="9" t="s">
        <v>217</v>
      </c>
    </row>
    <row r="58" ht="15.75" customHeight="1">
      <c r="A58" s="3" t="s">
        <v>101</v>
      </c>
      <c r="B58" s="4"/>
      <c r="C58" s="3" t="s">
        <v>218</v>
      </c>
      <c r="D58" s="4">
        <v>1.0</v>
      </c>
      <c r="E58" s="14">
        <v>96.0</v>
      </c>
      <c r="F58" s="5">
        <f t="shared" si="1"/>
        <v>96</v>
      </c>
      <c r="G58" s="6">
        <v>46200.0</v>
      </c>
      <c r="H58" s="22">
        <v>10.0</v>
      </c>
      <c r="I58" s="7">
        <f t="shared" si="2"/>
        <v>46270</v>
      </c>
      <c r="J58" s="4" t="s">
        <v>25</v>
      </c>
      <c r="K58" s="8" t="s">
        <v>26</v>
      </c>
      <c r="L58" s="19">
        <f>IF(A58="","",IF(OR(G58="",AND(G58&gt;=Dashboard!$C$18,G58&lt;=Dashboard!$C$19)),1,0))</f>
        <v>1</v>
      </c>
      <c r="M58" s="19">
        <f>IF(AND(L58=1,OR(Dashboard!$C$13="All",A58=Dashboard!$C$13),OR(Dashboard!$C$14="All",B58=Dashboard!$C$14),OR(Dashboard!$C$15="All",C58=Dashboard!$C$15),OR(Dashboard!$C$16="All",K58=Dashboard!$C$16),OR(Dashboard!$C$17="All",J58=Dashboard!$C$17)),1,0)</f>
        <v>1</v>
      </c>
      <c r="N58" s="19">
        <f>IF(AND(L58=1,OR(Dashboard!$C$13="All",A58=Dashboard!$C$13),OR(Dashboard!$C$14="All",B58=Dashboard!$C$14),OR(Dashboard!$C$16="All",K58=Dashboard!$C$16),OR(Dashboard!$C$17="All",J58=Dashboard!$C$17)),1,0)</f>
        <v>1</v>
      </c>
      <c r="O58" s="19">
        <f>IF(AND(L58=1,OR(Dashboard!$C$13="All",A58=Dashboard!$C$13),OR(Dashboard!$C$15="All",C58=Dashboard!$C$15),OR(Dashboard!$C$16="All",K58=Dashboard!$C$16),OR(Dashboard!$C$17="All",J58=Dashboard!$C$17)),1,0)</f>
        <v>1</v>
      </c>
      <c r="P58" s="19">
        <f>IF(AND(L58=1,OR(Dashboard!$C$13="All",A58=Dashboard!$C$13),OR(Dashboard!$C$14="All",B58=Dashboard!$C$14),OR(Dashboard!$C$15="All",C58=Dashboard!$C$15),OR(Dashboard!$C$17="All",J58=Dashboard!$C$17)),1,0)</f>
        <v>1</v>
      </c>
      <c r="Q58" s="19">
        <f>IF(AND(L58=1,OR(Dashboard!$C$14="All",B58=Dashboard!$C$14),OR(Dashboard!$C$15="All",C58=Dashboard!$C$15),OR(Dashboard!$C$16="All",K58=Dashboard!$C$16),OR(Dashboard!$C$17="All",J58=Dashboard!$C$17)),1,0)</f>
        <v>1</v>
      </c>
      <c r="R58" s="19">
        <f>IF(AND(L58=1,OR(Dashboard!$C$13="All",A58=Dashboard!$C$13),OR(Dashboard!$C$14="All",B58=Dashboard!$C$14),OR(Dashboard!$C$15="All",C58=Dashboard!$C$15),OR(Dashboard!$C$16="All",K58=Dashboard!$C$16)),1,0)</f>
        <v>1</v>
      </c>
      <c r="S58" s="19">
        <f t="shared" si="3"/>
        <v>57</v>
      </c>
      <c r="T58" s="9" t="s">
        <v>219</v>
      </c>
      <c r="V58" s="9" t="s">
        <v>220</v>
      </c>
    </row>
    <row r="59" ht="15.75" customHeight="1">
      <c r="A59" s="10" t="s">
        <v>70</v>
      </c>
      <c r="B59" s="13"/>
      <c r="C59" s="10" t="s">
        <v>221</v>
      </c>
      <c r="D59" s="13">
        <v>1.0</v>
      </c>
      <c r="E59" s="17">
        <v>8.0</v>
      </c>
      <c r="F59" s="15">
        <f t="shared" si="1"/>
        <v>8</v>
      </c>
      <c r="G59" s="6">
        <v>46201.0</v>
      </c>
      <c r="H59" s="22">
        <v>6.0</v>
      </c>
      <c r="I59" s="16">
        <f t="shared" si="2"/>
        <v>46243</v>
      </c>
      <c r="J59" s="13" t="s">
        <v>25</v>
      </c>
      <c r="K59" s="13" t="s">
        <v>31</v>
      </c>
      <c r="L59" s="19">
        <f>IF(A59="","",IF(OR(G59="",AND(G59&gt;=Dashboard!$C$18,G59&lt;=Dashboard!$C$19)),1,0))</f>
        <v>1</v>
      </c>
      <c r="M59" s="19">
        <f>IF(AND(L59=1,OR(Dashboard!$C$13="All",A59=Dashboard!$C$13),OR(Dashboard!$C$14="All",B59=Dashboard!$C$14),OR(Dashboard!$C$15="All",C59=Dashboard!$C$15),OR(Dashboard!$C$16="All",K59=Dashboard!$C$16),OR(Dashboard!$C$17="All",J59=Dashboard!$C$17)),1,0)</f>
        <v>1</v>
      </c>
      <c r="N59" s="19">
        <f>IF(AND(L59=1,OR(Dashboard!$C$13="All",A59=Dashboard!$C$13),OR(Dashboard!$C$14="All",B59=Dashboard!$C$14),OR(Dashboard!$C$16="All",K59=Dashboard!$C$16),OR(Dashboard!$C$17="All",J59=Dashboard!$C$17)),1,0)</f>
        <v>1</v>
      </c>
      <c r="O59" s="19">
        <f>IF(AND(L59=1,OR(Dashboard!$C$13="All",A59=Dashboard!$C$13),OR(Dashboard!$C$15="All",C59=Dashboard!$C$15),OR(Dashboard!$C$16="All",K59=Dashboard!$C$16),OR(Dashboard!$C$17="All",J59=Dashboard!$C$17)),1,0)</f>
        <v>1</v>
      </c>
      <c r="P59" s="19">
        <f>IF(AND(L59=1,OR(Dashboard!$C$13="All",A59=Dashboard!$C$13),OR(Dashboard!$C$14="All",B59=Dashboard!$C$14),OR(Dashboard!$C$15="All",C59=Dashboard!$C$15),OR(Dashboard!$C$17="All",J59=Dashboard!$C$17)),1,0)</f>
        <v>1</v>
      </c>
      <c r="Q59" s="19">
        <f>IF(AND(L59=1,OR(Dashboard!$C$14="All",B59=Dashboard!$C$14),OR(Dashboard!$C$15="All",C59=Dashboard!$C$15),OR(Dashboard!$C$16="All",K59=Dashboard!$C$16),OR(Dashboard!$C$17="All",J59=Dashboard!$C$17)),1,0)</f>
        <v>1</v>
      </c>
      <c r="R59" s="19">
        <f>IF(AND(L59=1,OR(Dashboard!$C$13="All",A59=Dashboard!$C$13),OR(Dashboard!$C$14="All",B59=Dashboard!$C$14),OR(Dashboard!$C$15="All",C59=Dashboard!$C$15),OR(Dashboard!$C$16="All",K59=Dashboard!$C$16)),1,0)</f>
        <v>1</v>
      </c>
      <c r="S59" s="19">
        <f t="shared" si="3"/>
        <v>58</v>
      </c>
      <c r="T59" s="9" t="s">
        <v>222</v>
      </c>
      <c r="V59" s="9" t="s">
        <v>223</v>
      </c>
    </row>
    <row r="60" ht="15.75" customHeight="1">
      <c r="A60" s="3" t="s">
        <v>70</v>
      </c>
      <c r="B60" s="4"/>
      <c r="C60" s="3" t="s">
        <v>189</v>
      </c>
      <c r="D60" s="4">
        <v>2.0</v>
      </c>
      <c r="E60" s="14">
        <v>5.0</v>
      </c>
      <c r="F60" s="5">
        <f t="shared" si="1"/>
        <v>10</v>
      </c>
      <c r="G60" s="6">
        <v>46202.0</v>
      </c>
      <c r="H60" s="22">
        <v>6.0</v>
      </c>
      <c r="I60" s="7">
        <f t="shared" si="2"/>
        <v>46244</v>
      </c>
      <c r="J60" s="4" t="s">
        <v>25</v>
      </c>
      <c r="K60" s="8" t="s">
        <v>37</v>
      </c>
      <c r="L60" s="19">
        <f>IF(A60="","",IF(OR(G60="",AND(G60&gt;=Dashboard!$C$18,G60&lt;=Dashboard!$C$19)),1,0))</f>
        <v>1</v>
      </c>
      <c r="M60" s="19">
        <f>IF(AND(L60=1,OR(Dashboard!$C$13="All",A60=Dashboard!$C$13),OR(Dashboard!$C$14="All",B60=Dashboard!$C$14),OR(Dashboard!$C$15="All",C60=Dashboard!$C$15),OR(Dashboard!$C$16="All",K60=Dashboard!$C$16),OR(Dashboard!$C$17="All",J60=Dashboard!$C$17)),1,0)</f>
        <v>1</v>
      </c>
      <c r="N60" s="19">
        <f>IF(AND(L60=1,OR(Dashboard!$C$13="All",A60=Dashboard!$C$13),OR(Dashboard!$C$14="All",B60=Dashboard!$C$14),OR(Dashboard!$C$16="All",K60=Dashboard!$C$16),OR(Dashboard!$C$17="All",J60=Dashboard!$C$17)),1,0)</f>
        <v>1</v>
      </c>
      <c r="O60" s="19">
        <f>IF(AND(L60=1,OR(Dashboard!$C$13="All",A60=Dashboard!$C$13),OR(Dashboard!$C$15="All",C60=Dashboard!$C$15),OR(Dashboard!$C$16="All",K60=Dashboard!$C$16),OR(Dashboard!$C$17="All",J60=Dashboard!$C$17)),1,0)</f>
        <v>1</v>
      </c>
      <c r="P60" s="19">
        <f>IF(AND(L60=1,OR(Dashboard!$C$13="All",A60=Dashboard!$C$13),OR(Dashboard!$C$14="All",B60=Dashboard!$C$14),OR(Dashboard!$C$15="All",C60=Dashboard!$C$15),OR(Dashboard!$C$17="All",J60=Dashboard!$C$17)),1,0)</f>
        <v>1</v>
      </c>
      <c r="Q60" s="19">
        <f>IF(AND(L60=1,OR(Dashboard!$C$14="All",B60=Dashboard!$C$14),OR(Dashboard!$C$15="All",C60=Dashboard!$C$15),OR(Dashboard!$C$16="All",K60=Dashboard!$C$16),OR(Dashboard!$C$17="All",J60=Dashboard!$C$17)),1,0)</f>
        <v>1</v>
      </c>
      <c r="R60" s="19">
        <f>IF(AND(L60=1,OR(Dashboard!$C$13="All",A60=Dashboard!$C$13),OR(Dashboard!$C$14="All",B60=Dashboard!$C$14),OR(Dashboard!$C$15="All",C60=Dashboard!$C$15),OR(Dashboard!$C$16="All",K60=Dashboard!$C$16)),1,0)</f>
        <v>1</v>
      </c>
      <c r="S60" s="19">
        <f t="shared" si="3"/>
        <v>59</v>
      </c>
      <c r="T60" s="9" t="s">
        <v>224</v>
      </c>
      <c r="V60" s="9" t="s">
        <v>225</v>
      </c>
    </row>
    <row r="61" ht="15.75" customHeight="1">
      <c r="A61" s="10" t="s">
        <v>105</v>
      </c>
      <c r="B61" s="13" t="s">
        <v>34</v>
      </c>
      <c r="C61" s="10" t="s">
        <v>108</v>
      </c>
      <c r="D61" s="13">
        <v>3000.0</v>
      </c>
      <c r="E61" s="17">
        <v>4.0</v>
      </c>
      <c r="F61" s="15">
        <f t="shared" si="1"/>
        <v>12000</v>
      </c>
      <c r="G61" s="6">
        <v>46203.0</v>
      </c>
      <c r="H61" s="22">
        <v>7.0</v>
      </c>
      <c r="I61" s="16">
        <f t="shared" si="2"/>
        <v>46252</v>
      </c>
      <c r="J61" s="13" t="s">
        <v>25</v>
      </c>
      <c r="K61" s="11" t="s">
        <v>26</v>
      </c>
      <c r="L61" s="19">
        <f>IF(A61="","",IF(OR(G61="",AND(G61&gt;=Dashboard!$C$18,G61&lt;=Dashboard!$C$19)),1,0))</f>
        <v>1</v>
      </c>
      <c r="M61" s="19">
        <f>IF(AND(L61=1,OR(Dashboard!$C$13="All",A61=Dashboard!$C$13),OR(Dashboard!$C$14="All",B61=Dashboard!$C$14),OR(Dashboard!$C$15="All",C61=Dashboard!$C$15),OR(Dashboard!$C$16="All",K61=Dashboard!$C$16),OR(Dashboard!$C$17="All",J61=Dashboard!$C$17)),1,0)</f>
        <v>1</v>
      </c>
      <c r="N61" s="19">
        <f>IF(AND(L61=1,OR(Dashboard!$C$13="All",A61=Dashboard!$C$13),OR(Dashboard!$C$14="All",B61=Dashboard!$C$14),OR(Dashboard!$C$16="All",K61=Dashboard!$C$16),OR(Dashboard!$C$17="All",J61=Dashboard!$C$17)),1,0)</f>
        <v>1</v>
      </c>
      <c r="O61" s="19">
        <f>IF(AND(L61=1,OR(Dashboard!$C$13="All",A61=Dashboard!$C$13),OR(Dashboard!$C$15="All",C61=Dashboard!$C$15),OR(Dashboard!$C$16="All",K61=Dashboard!$C$16),OR(Dashboard!$C$17="All",J61=Dashboard!$C$17)),1,0)</f>
        <v>1</v>
      </c>
      <c r="P61" s="19">
        <f>IF(AND(L61=1,OR(Dashboard!$C$13="All",A61=Dashboard!$C$13),OR(Dashboard!$C$14="All",B61=Dashboard!$C$14),OR(Dashboard!$C$15="All",C61=Dashboard!$C$15),OR(Dashboard!$C$17="All",J61=Dashboard!$C$17)),1,0)</f>
        <v>1</v>
      </c>
      <c r="Q61" s="19">
        <f>IF(AND(L61=1,OR(Dashboard!$C$14="All",B61=Dashboard!$C$14),OR(Dashboard!$C$15="All",C61=Dashboard!$C$15),OR(Dashboard!$C$16="All",K61=Dashboard!$C$16),OR(Dashboard!$C$17="All",J61=Dashboard!$C$17)),1,0)</f>
        <v>1</v>
      </c>
      <c r="R61" s="19">
        <f>IF(AND(L61=1,OR(Dashboard!$C$13="All",A61=Dashboard!$C$13),OR(Dashboard!$C$14="All",B61=Dashboard!$C$14),OR(Dashboard!$C$15="All",C61=Dashboard!$C$15),OR(Dashboard!$C$16="All",K61=Dashboard!$C$16)),1,0)</f>
        <v>1</v>
      </c>
      <c r="S61" s="19">
        <f t="shared" si="3"/>
        <v>60</v>
      </c>
      <c r="T61" s="9" t="s">
        <v>226</v>
      </c>
      <c r="V61" s="9" t="s">
        <v>227</v>
      </c>
    </row>
    <row r="62" ht="15.75" customHeight="1">
      <c r="A62" s="3" t="s">
        <v>109</v>
      </c>
      <c r="B62" s="4"/>
      <c r="C62" s="23" t="s">
        <v>228</v>
      </c>
      <c r="D62" s="4">
        <v>14.0</v>
      </c>
      <c r="E62" s="14">
        <v>2.0</v>
      </c>
      <c r="F62" s="5">
        <f t="shared" si="1"/>
        <v>28</v>
      </c>
      <c r="G62" s="6">
        <v>46204.0</v>
      </c>
      <c r="H62" s="22">
        <v>8.0</v>
      </c>
      <c r="I62" s="7">
        <f t="shared" si="2"/>
        <v>46260</v>
      </c>
      <c r="J62" s="4" t="s">
        <v>25</v>
      </c>
      <c r="K62" s="8" t="s">
        <v>48</v>
      </c>
      <c r="L62" s="19">
        <f>IF(A62="","",IF(OR(G62="",AND(G62&gt;=Dashboard!$C$18,G62&lt;=Dashboard!$C$19)),1,0))</f>
        <v>1</v>
      </c>
      <c r="M62" s="19">
        <f>IF(AND(L62=1,OR(Dashboard!$C$13="All",A62=Dashboard!$C$13),OR(Dashboard!$C$14="All",B62=Dashboard!$C$14),OR(Dashboard!$C$15="All",C62=Dashboard!$C$15),OR(Dashboard!$C$16="All",K62=Dashboard!$C$16),OR(Dashboard!$C$17="All",J62=Dashboard!$C$17)),1,0)</f>
        <v>1</v>
      </c>
      <c r="N62" s="19">
        <f>IF(AND(L62=1,OR(Dashboard!$C$13="All",A62=Dashboard!$C$13),OR(Dashboard!$C$14="All",B62=Dashboard!$C$14),OR(Dashboard!$C$16="All",K62=Dashboard!$C$16),OR(Dashboard!$C$17="All",J62=Dashboard!$C$17)),1,0)</f>
        <v>1</v>
      </c>
      <c r="O62" s="19">
        <f>IF(AND(L62=1,OR(Dashboard!$C$13="All",A62=Dashboard!$C$13),OR(Dashboard!$C$15="All",C62=Dashboard!$C$15),OR(Dashboard!$C$16="All",K62=Dashboard!$C$16),OR(Dashboard!$C$17="All",J62=Dashboard!$C$17)),1,0)</f>
        <v>1</v>
      </c>
      <c r="P62" s="19">
        <f>IF(AND(L62=1,OR(Dashboard!$C$13="All",A62=Dashboard!$C$13),OR(Dashboard!$C$14="All",B62=Dashboard!$C$14),OR(Dashboard!$C$15="All",C62=Dashboard!$C$15),OR(Dashboard!$C$17="All",J62=Dashboard!$C$17)),1,0)</f>
        <v>1</v>
      </c>
      <c r="Q62" s="19">
        <f>IF(AND(L62=1,OR(Dashboard!$C$14="All",B62=Dashboard!$C$14),OR(Dashboard!$C$15="All",C62=Dashboard!$C$15),OR(Dashboard!$C$16="All",K62=Dashboard!$C$16),OR(Dashboard!$C$17="All",J62=Dashboard!$C$17)),1,0)</f>
        <v>1</v>
      </c>
      <c r="R62" s="19">
        <f>IF(AND(L62=1,OR(Dashboard!$C$13="All",A62=Dashboard!$C$13),OR(Dashboard!$C$14="All",B62=Dashboard!$C$14),OR(Dashboard!$C$15="All",C62=Dashboard!$C$15),OR(Dashboard!$C$16="All",K62=Dashboard!$C$16)),1,0)</f>
        <v>1</v>
      </c>
      <c r="S62" s="19">
        <f t="shared" si="3"/>
        <v>61</v>
      </c>
      <c r="T62" s="9" t="s">
        <v>229</v>
      </c>
      <c r="V62" s="9" t="s">
        <v>230</v>
      </c>
    </row>
    <row r="63" ht="15.75" customHeight="1">
      <c r="A63" s="10" t="s">
        <v>109</v>
      </c>
      <c r="B63" s="13" t="s">
        <v>39</v>
      </c>
      <c r="C63" s="10" t="s">
        <v>82</v>
      </c>
      <c r="D63" s="13">
        <v>1.0</v>
      </c>
      <c r="E63" s="17">
        <v>36.0</v>
      </c>
      <c r="F63" s="15">
        <f t="shared" si="1"/>
        <v>36</v>
      </c>
      <c r="G63" s="6">
        <v>46205.0</v>
      </c>
      <c r="H63" s="22">
        <v>14.0</v>
      </c>
      <c r="I63" s="16">
        <f t="shared" si="2"/>
        <v>46303</v>
      </c>
      <c r="J63" s="13" t="s">
        <v>25</v>
      </c>
      <c r="K63" s="13" t="s">
        <v>31</v>
      </c>
      <c r="L63" s="19">
        <f>IF(A63="","",IF(OR(G63="",AND(G63&gt;=Dashboard!$C$18,G63&lt;=Dashboard!$C$19)),1,0))</f>
        <v>1</v>
      </c>
      <c r="M63" s="19">
        <f>IF(AND(L63=1,OR(Dashboard!$C$13="All",A63=Dashboard!$C$13),OR(Dashboard!$C$14="All",B63=Dashboard!$C$14),OR(Dashboard!$C$15="All",C63=Dashboard!$C$15),OR(Dashboard!$C$16="All",K63=Dashboard!$C$16),OR(Dashboard!$C$17="All",J63=Dashboard!$C$17)),1,0)</f>
        <v>1</v>
      </c>
      <c r="N63" s="19">
        <f>IF(AND(L63=1,OR(Dashboard!$C$13="All",A63=Dashboard!$C$13),OR(Dashboard!$C$14="All",B63=Dashboard!$C$14),OR(Dashboard!$C$16="All",K63=Dashboard!$C$16),OR(Dashboard!$C$17="All",J63=Dashboard!$C$17)),1,0)</f>
        <v>1</v>
      </c>
      <c r="O63" s="19">
        <f>IF(AND(L63=1,OR(Dashboard!$C$13="All",A63=Dashboard!$C$13),OR(Dashboard!$C$15="All",C63=Dashboard!$C$15),OR(Dashboard!$C$16="All",K63=Dashboard!$C$16),OR(Dashboard!$C$17="All",J63=Dashboard!$C$17)),1,0)</f>
        <v>1</v>
      </c>
      <c r="P63" s="19">
        <f>IF(AND(L63=1,OR(Dashboard!$C$13="All",A63=Dashboard!$C$13),OR(Dashboard!$C$14="All",B63=Dashboard!$C$14),OR(Dashboard!$C$15="All",C63=Dashboard!$C$15),OR(Dashboard!$C$17="All",J63=Dashboard!$C$17)),1,0)</f>
        <v>1</v>
      </c>
      <c r="Q63" s="19">
        <f>IF(AND(L63=1,OR(Dashboard!$C$14="All",B63=Dashboard!$C$14),OR(Dashboard!$C$15="All",C63=Dashboard!$C$15),OR(Dashboard!$C$16="All",K63=Dashboard!$C$16),OR(Dashboard!$C$17="All",J63=Dashboard!$C$17)),1,0)</f>
        <v>1</v>
      </c>
      <c r="R63" s="19">
        <f>IF(AND(L63=1,OR(Dashboard!$C$13="All",A63=Dashboard!$C$13),OR(Dashboard!$C$14="All",B63=Dashboard!$C$14),OR(Dashboard!$C$15="All",C63=Dashboard!$C$15),OR(Dashboard!$C$16="All",K63=Dashboard!$C$16)),1,0)</f>
        <v>1</v>
      </c>
      <c r="S63" s="19">
        <f t="shared" si="3"/>
        <v>62</v>
      </c>
      <c r="T63" s="9" t="s">
        <v>231</v>
      </c>
      <c r="V63" s="9" t="s">
        <v>82</v>
      </c>
    </row>
    <row r="64" ht="15.75" customHeight="1">
      <c r="A64" s="3" t="s">
        <v>109</v>
      </c>
      <c r="B64" s="4" t="s">
        <v>137</v>
      </c>
      <c r="C64" s="3" t="s">
        <v>232</v>
      </c>
      <c r="D64" s="4">
        <v>1.0</v>
      </c>
      <c r="E64" s="5">
        <v>2.0</v>
      </c>
      <c r="F64" s="5">
        <f t="shared" si="1"/>
        <v>2</v>
      </c>
      <c r="G64" s="6">
        <v>46206.0</v>
      </c>
      <c r="H64" s="22">
        <v>16.0</v>
      </c>
      <c r="I64" s="7">
        <f t="shared" si="2"/>
        <v>46318</v>
      </c>
      <c r="J64" s="4" t="s">
        <v>25</v>
      </c>
      <c r="K64" s="13" t="s">
        <v>31</v>
      </c>
      <c r="L64" s="19">
        <f>IF(A64="","",IF(OR(G64="",AND(G64&gt;=Dashboard!$C$18,G64&lt;=Dashboard!$C$19)),1,0))</f>
        <v>1</v>
      </c>
      <c r="M64" s="19">
        <f>IF(AND(L64=1,OR(Dashboard!$C$13="All",A64=Dashboard!$C$13),OR(Dashboard!$C$14="All",B64=Dashboard!$C$14),OR(Dashboard!$C$15="All",C64=Dashboard!$C$15),OR(Dashboard!$C$16="All",K64=Dashboard!$C$16),OR(Dashboard!$C$17="All",J64=Dashboard!$C$17)),1,0)</f>
        <v>1</v>
      </c>
      <c r="N64" s="19">
        <f>IF(AND(L64=1,OR(Dashboard!$C$13="All",A64=Dashboard!$C$13),OR(Dashboard!$C$14="All",B64=Dashboard!$C$14),OR(Dashboard!$C$16="All",K64=Dashboard!$C$16),OR(Dashboard!$C$17="All",J64=Dashboard!$C$17)),1,0)</f>
        <v>1</v>
      </c>
      <c r="O64" s="19">
        <f>IF(AND(L64=1,OR(Dashboard!$C$13="All",A64=Dashboard!$C$13),OR(Dashboard!$C$15="All",C64=Dashboard!$C$15),OR(Dashboard!$C$16="All",K64=Dashboard!$C$16),OR(Dashboard!$C$17="All",J64=Dashboard!$C$17)),1,0)</f>
        <v>1</v>
      </c>
      <c r="P64" s="19">
        <f>IF(AND(L64=1,OR(Dashboard!$C$13="All",A64=Dashboard!$C$13),OR(Dashboard!$C$14="All",B64=Dashboard!$C$14),OR(Dashboard!$C$15="All",C64=Dashboard!$C$15),OR(Dashboard!$C$17="All",J64=Dashboard!$C$17)),1,0)</f>
        <v>1</v>
      </c>
      <c r="Q64" s="19">
        <f>IF(AND(L64=1,OR(Dashboard!$C$14="All",B64=Dashboard!$C$14),OR(Dashboard!$C$15="All",C64=Dashboard!$C$15),OR(Dashboard!$C$16="All",K64=Dashboard!$C$16),OR(Dashboard!$C$17="All",J64=Dashboard!$C$17)),1,0)</f>
        <v>1</v>
      </c>
      <c r="R64" s="19">
        <f>IF(AND(L64=1,OR(Dashboard!$C$13="All",A64=Dashboard!$C$13),OR(Dashboard!$C$14="All",B64=Dashboard!$C$14),OR(Dashboard!$C$15="All",C64=Dashboard!$C$15),OR(Dashboard!$C$16="All",K64=Dashboard!$C$16)),1,0)</f>
        <v>1</v>
      </c>
      <c r="S64" s="19">
        <f t="shared" si="3"/>
        <v>63</v>
      </c>
      <c r="T64" s="9" t="s">
        <v>233</v>
      </c>
      <c r="V64" s="9" t="s">
        <v>234</v>
      </c>
    </row>
    <row r="65" ht="15.75" customHeight="1">
      <c r="A65" s="10" t="s">
        <v>109</v>
      </c>
      <c r="B65" s="13" t="s">
        <v>137</v>
      </c>
      <c r="C65" s="10" t="s">
        <v>73</v>
      </c>
      <c r="D65" s="13" t="s">
        <v>235</v>
      </c>
      <c r="E65" s="14">
        <v>5.0</v>
      </c>
      <c r="F65" s="15" t="str">
        <f t="shared" si="1"/>
        <v>#VALUE!</v>
      </c>
      <c r="G65" s="6">
        <v>46207.0</v>
      </c>
      <c r="H65" s="22">
        <v>15.0</v>
      </c>
      <c r="I65" s="16">
        <f t="shared" si="2"/>
        <v>46312</v>
      </c>
      <c r="J65" s="13" t="s">
        <v>25</v>
      </c>
      <c r="K65" s="8" t="s">
        <v>37</v>
      </c>
      <c r="L65" s="19">
        <f>IF(A65="","",IF(OR(G65="",AND(G65&gt;=Dashboard!$C$18,G65&lt;=Dashboard!$C$19)),1,0))</f>
        <v>1</v>
      </c>
      <c r="M65" s="19">
        <f>IF(AND(L65=1,OR(Dashboard!$C$13="All",A65=Dashboard!$C$13),OR(Dashboard!$C$14="All",B65=Dashboard!$C$14),OR(Dashboard!$C$15="All",C65=Dashboard!$C$15),OR(Dashboard!$C$16="All",K65=Dashboard!$C$16),OR(Dashboard!$C$17="All",J65=Dashboard!$C$17)),1,0)</f>
        <v>1</v>
      </c>
      <c r="N65" s="19">
        <f>IF(AND(L65=1,OR(Dashboard!$C$13="All",A65=Dashboard!$C$13),OR(Dashboard!$C$14="All",B65=Dashboard!$C$14),OR(Dashboard!$C$16="All",K65=Dashboard!$C$16),OR(Dashboard!$C$17="All",J65=Dashboard!$C$17)),1,0)</f>
        <v>1</v>
      </c>
      <c r="O65" s="19">
        <f>IF(AND(L65=1,OR(Dashboard!$C$13="All",A65=Dashboard!$C$13),OR(Dashboard!$C$15="All",C65=Dashboard!$C$15),OR(Dashboard!$C$16="All",K65=Dashboard!$C$16),OR(Dashboard!$C$17="All",J65=Dashboard!$C$17)),1,0)</f>
        <v>1</v>
      </c>
      <c r="P65" s="19">
        <f>IF(AND(L65=1,OR(Dashboard!$C$13="All",A65=Dashboard!$C$13),OR(Dashboard!$C$14="All",B65=Dashboard!$C$14),OR(Dashboard!$C$15="All",C65=Dashboard!$C$15),OR(Dashboard!$C$17="All",J65=Dashboard!$C$17)),1,0)</f>
        <v>1</v>
      </c>
      <c r="Q65" s="19">
        <f>IF(AND(L65=1,OR(Dashboard!$C$14="All",B65=Dashboard!$C$14),OR(Dashboard!$C$15="All",C65=Dashboard!$C$15),OR(Dashboard!$C$16="All",K65=Dashboard!$C$16),OR(Dashboard!$C$17="All",J65=Dashboard!$C$17)),1,0)</f>
        <v>1</v>
      </c>
      <c r="R65" s="19">
        <f>IF(AND(L65=1,OR(Dashboard!$C$13="All",A65=Dashboard!$C$13),OR(Dashboard!$C$14="All",B65=Dashboard!$C$14),OR(Dashboard!$C$15="All",C65=Dashboard!$C$15),OR(Dashboard!$C$16="All",K65=Dashboard!$C$16)),1,0)</f>
        <v>1</v>
      </c>
      <c r="S65" s="19">
        <f t="shared" si="3"/>
        <v>64</v>
      </c>
      <c r="T65" s="9" t="s">
        <v>236</v>
      </c>
      <c r="V65" s="9" t="s">
        <v>237</v>
      </c>
    </row>
    <row r="66" ht="15.75" customHeight="1">
      <c r="A66" s="3" t="s">
        <v>113</v>
      </c>
      <c r="B66" s="4"/>
      <c r="C66" s="3" t="s">
        <v>232</v>
      </c>
      <c r="D66" s="4">
        <v>17.0</v>
      </c>
      <c r="E66" s="17">
        <v>6.0</v>
      </c>
      <c r="F66" s="5">
        <f t="shared" si="1"/>
        <v>102</v>
      </c>
      <c r="G66" s="6">
        <v>46208.0</v>
      </c>
      <c r="H66" s="22">
        <v>15.0</v>
      </c>
      <c r="I66" s="7">
        <f t="shared" si="2"/>
        <v>46313</v>
      </c>
      <c r="J66" s="4" t="s">
        <v>25</v>
      </c>
      <c r="K66" s="11" t="s">
        <v>26</v>
      </c>
      <c r="L66" s="19">
        <f>IF(A66="","",IF(OR(G66="",AND(G66&gt;=Dashboard!$C$18,G66&lt;=Dashboard!$C$19)),1,0))</f>
        <v>1</v>
      </c>
      <c r="M66" s="19">
        <f>IF(AND(L66=1,OR(Dashboard!$C$13="All",A66=Dashboard!$C$13),OR(Dashboard!$C$14="All",B66=Dashboard!$C$14),OR(Dashboard!$C$15="All",C66=Dashboard!$C$15),OR(Dashboard!$C$16="All",K66=Dashboard!$C$16),OR(Dashboard!$C$17="All",J66=Dashboard!$C$17)),1,0)</f>
        <v>1</v>
      </c>
      <c r="N66" s="19">
        <f>IF(AND(L66=1,OR(Dashboard!$C$13="All",A66=Dashboard!$C$13),OR(Dashboard!$C$14="All",B66=Dashboard!$C$14),OR(Dashboard!$C$16="All",K66=Dashboard!$C$16),OR(Dashboard!$C$17="All",J66=Dashboard!$C$17)),1,0)</f>
        <v>1</v>
      </c>
      <c r="O66" s="19">
        <f>IF(AND(L66=1,OR(Dashboard!$C$13="All",A66=Dashboard!$C$13),OR(Dashboard!$C$15="All",C66=Dashboard!$C$15),OR(Dashboard!$C$16="All",K66=Dashboard!$C$16),OR(Dashboard!$C$17="All",J66=Dashboard!$C$17)),1,0)</f>
        <v>1</v>
      </c>
      <c r="P66" s="19">
        <f>IF(AND(L66=1,OR(Dashboard!$C$13="All",A66=Dashboard!$C$13),OR(Dashboard!$C$14="All",B66=Dashboard!$C$14),OR(Dashboard!$C$15="All",C66=Dashboard!$C$15),OR(Dashboard!$C$17="All",J66=Dashboard!$C$17)),1,0)</f>
        <v>1</v>
      </c>
      <c r="Q66" s="19">
        <f>IF(AND(L66=1,OR(Dashboard!$C$14="All",B66=Dashboard!$C$14),OR(Dashboard!$C$15="All",C66=Dashboard!$C$15),OR(Dashboard!$C$16="All",K66=Dashboard!$C$16),OR(Dashboard!$C$17="All",J66=Dashboard!$C$17)),1,0)</f>
        <v>1</v>
      </c>
      <c r="R66" s="19">
        <f>IF(AND(L66=1,OR(Dashboard!$C$13="All",A66=Dashboard!$C$13),OR(Dashboard!$C$14="All",B66=Dashboard!$C$14),OR(Dashboard!$C$15="All",C66=Dashboard!$C$15),OR(Dashboard!$C$16="All",K66=Dashboard!$C$16)),1,0)</f>
        <v>1</v>
      </c>
      <c r="S66" s="19">
        <f t="shared" si="3"/>
        <v>65</v>
      </c>
      <c r="T66" s="9" t="s">
        <v>238</v>
      </c>
      <c r="V66" s="9" t="s">
        <v>239</v>
      </c>
    </row>
    <row r="67" ht="15.75" customHeight="1">
      <c r="A67" s="10" t="s">
        <v>116</v>
      </c>
      <c r="B67" s="13"/>
      <c r="C67" s="10" t="s">
        <v>198</v>
      </c>
      <c r="D67" s="13">
        <v>5.0</v>
      </c>
      <c r="E67" s="14">
        <v>7.0</v>
      </c>
      <c r="F67" s="15">
        <f t="shared" si="1"/>
        <v>35</v>
      </c>
      <c r="G67" s="6">
        <v>46209.0</v>
      </c>
      <c r="H67" s="22">
        <v>14.0</v>
      </c>
      <c r="I67" s="16">
        <f t="shared" si="2"/>
        <v>46307</v>
      </c>
      <c r="J67" s="13" t="s">
        <v>25</v>
      </c>
      <c r="K67" s="8" t="s">
        <v>48</v>
      </c>
      <c r="L67" s="19">
        <f>IF(A67="","",IF(OR(G67="",AND(G67&gt;=Dashboard!$C$18,G67&lt;=Dashboard!$C$19)),1,0))</f>
        <v>1</v>
      </c>
      <c r="M67" s="19">
        <f>IF(AND(L67=1,OR(Dashboard!$C$13="All",A67=Dashboard!$C$13),OR(Dashboard!$C$14="All",B67=Dashboard!$C$14),OR(Dashboard!$C$15="All",C67=Dashboard!$C$15),OR(Dashboard!$C$16="All",K67=Dashboard!$C$16),OR(Dashboard!$C$17="All",J67=Dashboard!$C$17)),1,0)</f>
        <v>1</v>
      </c>
      <c r="N67" s="19">
        <f>IF(AND(L67=1,OR(Dashboard!$C$13="All",A67=Dashboard!$C$13),OR(Dashboard!$C$14="All",B67=Dashboard!$C$14),OR(Dashboard!$C$16="All",K67=Dashboard!$C$16),OR(Dashboard!$C$17="All",J67=Dashboard!$C$17)),1,0)</f>
        <v>1</v>
      </c>
      <c r="O67" s="19">
        <f>IF(AND(L67=1,OR(Dashboard!$C$13="All",A67=Dashboard!$C$13),OR(Dashboard!$C$15="All",C67=Dashboard!$C$15),OR(Dashboard!$C$16="All",K67=Dashboard!$C$16),OR(Dashboard!$C$17="All",J67=Dashboard!$C$17)),1,0)</f>
        <v>1</v>
      </c>
      <c r="P67" s="19">
        <f>IF(AND(L67=1,OR(Dashboard!$C$13="All",A67=Dashboard!$C$13),OR(Dashboard!$C$14="All",B67=Dashboard!$C$14),OR(Dashboard!$C$15="All",C67=Dashboard!$C$15),OR(Dashboard!$C$17="All",J67=Dashboard!$C$17)),1,0)</f>
        <v>1</v>
      </c>
      <c r="Q67" s="19">
        <f>IF(AND(L67=1,OR(Dashboard!$C$14="All",B67=Dashboard!$C$14),OR(Dashboard!$C$15="All",C67=Dashboard!$C$15),OR(Dashboard!$C$16="All",K67=Dashboard!$C$16),OR(Dashboard!$C$17="All",J67=Dashboard!$C$17)),1,0)</f>
        <v>1</v>
      </c>
      <c r="R67" s="19">
        <f>IF(AND(L67=1,OR(Dashboard!$C$13="All",A67=Dashboard!$C$13),OR(Dashboard!$C$14="All",B67=Dashboard!$C$14),OR(Dashboard!$C$15="All",C67=Dashboard!$C$15),OR(Dashboard!$C$16="All",K67=Dashboard!$C$16)),1,0)</f>
        <v>1</v>
      </c>
      <c r="S67" s="19">
        <f t="shared" si="3"/>
        <v>66</v>
      </c>
      <c r="T67" s="9" t="s">
        <v>240</v>
      </c>
      <c r="V67" s="9" t="s">
        <v>241</v>
      </c>
    </row>
    <row r="68" ht="15.75" customHeight="1">
      <c r="A68" s="3" t="s">
        <v>120</v>
      </c>
      <c r="B68" s="4" t="s">
        <v>71</v>
      </c>
      <c r="C68" s="3" t="s">
        <v>242</v>
      </c>
      <c r="D68" s="4">
        <v>36.0</v>
      </c>
      <c r="E68" s="17">
        <v>8.0</v>
      </c>
      <c r="F68" s="5">
        <f t="shared" si="1"/>
        <v>288</v>
      </c>
      <c r="G68" s="6">
        <v>46210.0</v>
      </c>
      <c r="H68" s="22">
        <v>15.0</v>
      </c>
      <c r="I68" s="7">
        <f t="shared" si="2"/>
        <v>46315</v>
      </c>
      <c r="J68" s="4" t="s">
        <v>25</v>
      </c>
      <c r="K68" s="13" t="s">
        <v>31</v>
      </c>
      <c r="L68" s="19">
        <f>IF(A68="","",IF(OR(G68="",AND(G68&gt;=Dashboard!$C$18,G68&lt;=Dashboard!$C$19)),1,0))</f>
        <v>1</v>
      </c>
      <c r="M68" s="19">
        <f>IF(AND(L68=1,OR(Dashboard!$C$13="All",A68=Dashboard!$C$13),OR(Dashboard!$C$14="All",B68=Dashboard!$C$14),OR(Dashboard!$C$15="All",C68=Dashboard!$C$15),OR(Dashboard!$C$16="All",K68=Dashboard!$C$16),OR(Dashboard!$C$17="All",J68=Dashboard!$C$17)),1,0)</f>
        <v>1</v>
      </c>
      <c r="N68" s="19">
        <f>IF(AND(L68=1,OR(Dashboard!$C$13="All",A68=Dashboard!$C$13),OR(Dashboard!$C$14="All",B68=Dashboard!$C$14),OR(Dashboard!$C$16="All",K68=Dashboard!$C$16),OR(Dashboard!$C$17="All",J68=Dashboard!$C$17)),1,0)</f>
        <v>1</v>
      </c>
      <c r="O68" s="19">
        <f>IF(AND(L68=1,OR(Dashboard!$C$13="All",A68=Dashboard!$C$13),OR(Dashboard!$C$15="All",C68=Dashboard!$C$15),OR(Dashboard!$C$16="All",K68=Dashboard!$C$16),OR(Dashboard!$C$17="All",J68=Dashboard!$C$17)),1,0)</f>
        <v>1</v>
      </c>
      <c r="P68" s="19">
        <f>IF(AND(L68=1,OR(Dashboard!$C$13="All",A68=Dashboard!$C$13),OR(Dashboard!$C$14="All",B68=Dashboard!$C$14),OR(Dashboard!$C$15="All",C68=Dashboard!$C$15),OR(Dashboard!$C$17="All",J68=Dashboard!$C$17)),1,0)</f>
        <v>1</v>
      </c>
      <c r="Q68" s="19">
        <f>IF(AND(L68=1,OR(Dashboard!$C$14="All",B68=Dashboard!$C$14),OR(Dashboard!$C$15="All",C68=Dashboard!$C$15),OR(Dashboard!$C$16="All",K68=Dashboard!$C$16),OR(Dashboard!$C$17="All",J68=Dashboard!$C$17)),1,0)</f>
        <v>1</v>
      </c>
      <c r="R68" s="19">
        <f>IF(AND(L68=1,OR(Dashboard!$C$13="All",A68=Dashboard!$C$13),OR(Dashboard!$C$14="All",B68=Dashboard!$C$14),OR(Dashboard!$C$15="All",C68=Dashboard!$C$15),OR(Dashboard!$C$16="All",K68=Dashboard!$C$16)),1,0)</f>
        <v>1</v>
      </c>
      <c r="S68" s="19">
        <f t="shared" si="3"/>
        <v>67</v>
      </c>
      <c r="T68" s="9" t="s">
        <v>243</v>
      </c>
      <c r="V68" s="9" t="s">
        <v>179</v>
      </c>
    </row>
    <row r="69" ht="15.75" customHeight="1">
      <c r="A69" s="10" t="s">
        <v>120</v>
      </c>
      <c r="B69" s="13" t="s">
        <v>71</v>
      </c>
      <c r="C69" s="10" t="s">
        <v>203</v>
      </c>
      <c r="D69" s="13">
        <v>29.0</v>
      </c>
      <c r="E69" s="14">
        <v>2.0</v>
      </c>
      <c r="F69" s="15">
        <f t="shared" si="1"/>
        <v>58</v>
      </c>
      <c r="G69" s="6">
        <v>46211.0</v>
      </c>
      <c r="H69" s="22">
        <v>14.0</v>
      </c>
      <c r="I69" s="16">
        <f t="shared" si="2"/>
        <v>46309</v>
      </c>
      <c r="J69" s="13" t="s">
        <v>25</v>
      </c>
      <c r="K69" s="13" t="s">
        <v>31</v>
      </c>
      <c r="L69" s="19">
        <f>IF(A69="","",IF(OR(G69="",AND(G69&gt;=Dashboard!$C$18,G69&lt;=Dashboard!$C$19)),1,0))</f>
        <v>1</v>
      </c>
      <c r="M69" s="19">
        <f>IF(AND(L69=1,OR(Dashboard!$C$13="All",A69=Dashboard!$C$13),OR(Dashboard!$C$14="All",B69=Dashboard!$C$14),OR(Dashboard!$C$15="All",C69=Dashboard!$C$15),OR(Dashboard!$C$16="All",K69=Dashboard!$C$16),OR(Dashboard!$C$17="All",J69=Dashboard!$C$17)),1,0)</f>
        <v>1</v>
      </c>
      <c r="N69" s="19">
        <f>IF(AND(L69=1,OR(Dashboard!$C$13="All",A69=Dashboard!$C$13),OR(Dashboard!$C$14="All",B69=Dashboard!$C$14),OR(Dashboard!$C$16="All",K69=Dashboard!$C$16),OR(Dashboard!$C$17="All",J69=Dashboard!$C$17)),1,0)</f>
        <v>1</v>
      </c>
      <c r="O69" s="19">
        <f>IF(AND(L69=1,OR(Dashboard!$C$13="All",A69=Dashboard!$C$13),OR(Dashboard!$C$15="All",C69=Dashboard!$C$15),OR(Dashboard!$C$16="All",K69=Dashboard!$C$16),OR(Dashboard!$C$17="All",J69=Dashboard!$C$17)),1,0)</f>
        <v>1</v>
      </c>
      <c r="P69" s="19">
        <f>IF(AND(L69=1,OR(Dashboard!$C$13="All",A69=Dashboard!$C$13),OR(Dashboard!$C$14="All",B69=Dashboard!$C$14),OR(Dashboard!$C$15="All",C69=Dashboard!$C$15),OR(Dashboard!$C$17="All",J69=Dashboard!$C$17)),1,0)</f>
        <v>1</v>
      </c>
      <c r="Q69" s="19">
        <f>IF(AND(L69=1,OR(Dashboard!$C$14="All",B69=Dashboard!$C$14),OR(Dashboard!$C$15="All",C69=Dashboard!$C$15),OR(Dashboard!$C$16="All",K69=Dashboard!$C$16),OR(Dashboard!$C$17="All",J69=Dashboard!$C$17)),1,0)</f>
        <v>1</v>
      </c>
      <c r="R69" s="19">
        <f>IF(AND(L69=1,OR(Dashboard!$C$13="All",A69=Dashboard!$C$13),OR(Dashboard!$C$14="All",B69=Dashboard!$C$14),OR(Dashboard!$C$15="All",C69=Dashboard!$C$15),OR(Dashboard!$C$16="All",K69=Dashboard!$C$16)),1,0)</f>
        <v>1</v>
      </c>
      <c r="S69" s="19">
        <f t="shared" si="3"/>
        <v>68</v>
      </c>
      <c r="T69" s="9" t="s">
        <v>244</v>
      </c>
      <c r="V69" s="9" t="s">
        <v>245</v>
      </c>
    </row>
    <row r="70" ht="15.75" customHeight="1">
      <c r="A70" s="3" t="s">
        <v>124</v>
      </c>
      <c r="B70" s="4" t="s">
        <v>71</v>
      </c>
      <c r="C70" s="3" t="s">
        <v>246</v>
      </c>
      <c r="D70" s="4">
        <v>16.0</v>
      </c>
      <c r="E70" s="17">
        <v>15.0</v>
      </c>
      <c r="F70" s="5">
        <f t="shared" si="1"/>
        <v>240</v>
      </c>
      <c r="G70" s="6">
        <v>46212.0</v>
      </c>
      <c r="H70" s="22">
        <v>12.0</v>
      </c>
      <c r="I70" s="7">
        <f t="shared" si="2"/>
        <v>46296</v>
      </c>
      <c r="J70" s="4" t="s">
        <v>25</v>
      </c>
      <c r="K70" s="8" t="s">
        <v>26</v>
      </c>
      <c r="L70" s="19">
        <f>IF(A70="","",IF(OR(G70="",AND(G70&gt;=Dashboard!$C$18,G70&lt;=Dashboard!$C$19)),1,0))</f>
        <v>1</v>
      </c>
      <c r="M70" s="19">
        <f>IF(AND(L70=1,OR(Dashboard!$C$13="All",A70=Dashboard!$C$13),OR(Dashboard!$C$14="All",B70=Dashboard!$C$14),OR(Dashboard!$C$15="All",C70=Dashboard!$C$15),OR(Dashboard!$C$16="All",K70=Dashboard!$C$16),OR(Dashboard!$C$17="All",J70=Dashboard!$C$17)),1,0)</f>
        <v>1</v>
      </c>
      <c r="N70" s="19">
        <f>IF(AND(L70=1,OR(Dashboard!$C$13="All",A70=Dashboard!$C$13),OR(Dashboard!$C$14="All",B70=Dashboard!$C$14),OR(Dashboard!$C$16="All",K70=Dashboard!$C$16),OR(Dashboard!$C$17="All",J70=Dashboard!$C$17)),1,0)</f>
        <v>1</v>
      </c>
      <c r="O70" s="19">
        <f>IF(AND(L70=1,OR(Dashboard!$C$13="All",A70=Dashboard!$C$13),OR(Dashboard!$C$15="All",C70=Dashboard!$C$15),OR(Dashboard!$C$16="All",K70=Dashboard!$C$16),OR(Dashboard!$C$17="All",J70=Dashboard!$C$17)),1,0)</f>
        <v>1</v>
      </c>
      <c r="P70" s="19">
        <f>IF(AND(L70=1,OR(Dashboard!$C$13="All",A70=Dashboard!$C$13),OR(Dashboard!$C$14="All",B70=Dashboard!$C$14),OR(Dashboard!$C$15="All",C70=Dashboard!$C$15),OR(Dashboard!$C$17="All",J70=Dashboard!$C$17)),1,0)</f>
        <v>1</v>
      </c>
      <c r="Q70" s="19">
        <f>IF(AND(L70=1,OR(Dashboard!$C$14="All",B70=Dashboard!$C$14),OR(Dashboard!$C$15="All",C70=Dashboard!$C$15),OR(Dashboard!$C$16="All",K70=Dashboard!$C$16),OR(Dashboard!$C$17="All",J70=Dashboard!$C$17)),1,0)</f>
        <v>1</v>
      </c>
      <c r="R70" s="19">
        <f>IF(AND(L70=1,OR(Dashboard!$C$13="All",A70=Dashboard!$C$13),OR(Dashboard!$C$14="All",B70=Dashboard!$C$14),OR(Dashboard!$C$15="All",C70=Dashboard!$C$15),OR(Dashboard!$C$16="All",K70=Dashboard!$C$16)),1,0)</f>
        <v>1</v>
      </c>
      <c r="S70" s="19">
        <f t="shared" si="3"/>
        <v>69</v>
      </c>
      <c r="T70" s="9" t="s">
        <v>247</v>
      </c>
      <c r="V70" s="9" t="s">
        <v>248</v>
      </c>
    </row>
    <row r="71" ht="15.75" customHeight="1">
      <c r="A71" s="10" t="s">
        <v>128</v>
      </c>
      <c r="B71" s="13" t="s">
        <v>41</v>
      </c>
      <c r="C71" s="10" t="s">
        <v>249</v>
      </c>
      <c r="D71" s="13">
        <v>100000.0</v>
      </c>
      <c r="E71" s="14">
        <v>45.0</v>
      </c>
      <c r="F71" s="15">
        <f t="shared" si="1"/>
        <v>4500000</v>
      </c>
      <c r="G71" s="6">
        <v>46213.0</v>
      </c>
      <c r="H71" s="22">
        <v>14.0</v>
      </c>
      <c r="I71" s="16">
        <f t="shared" si="2"/>
        <v>46311</v>
      </c>
      <c r="J71" s="13" t="s">
        <v>25</v>
      </c>
      <c r="K71" s="13" t="s">
        <v>31</v>
      </c>
      <c r="L71" s="19">
        <f>IF(A71="","",IF(OR(G71="",AND(G71&gt;=Dashboard!$C$18,G71&lt;=Dashboard!$C$19)),1,0))</f>
        <v>1</v>
      </c>
      <c r="M71" s="19">
        <f>IF(AND(L71=1,OR(Dashboard!$C$13="All",A71=Dashboard!$C$13),OR(Dashboard!$C$14="All",B71=Dashboard!$C$14),OR(Dashboard!$C$15="All",C71=Dashboard!$C$15),OR(Dashboard!$C$16="All",K71=Dashboard!$C$16),OR(Dashboard!$C$17="All",J71=Dashboard!$C$17)),1,0)</f>
        <v>1</v>
      </c>
      <c r="N71" s="19">
        <f>IF(AND(L71=1,OR(Dashboard!$C$13="All",A71=Dashboard!$C$13),OR(Dashboard!$C$14="All",B71=Dashboard!$C$14),OR(Dashboard!$C$16="All",K71=Dashboard!$C$16),OR(Dashboard!$C$17="All",J71=Dashboard!$C$17)),1,0)</f>
        <v>1</v>
      </c>
      <c r="O71" s="19">
        <f>IF(AND(L71=1,OR(Dashboard!$C$13="All",A71=Dashboard!$C$13),OR(Dashboard!$C$15="All",C71=Dashboard!$C$15),OR(Dashboard!$C$16="All",K71=Dashboard!$C$16),OR(Dashboard!$C$17="All",J71=Dashboard!$C$17)),1,0)</f>
        <v>1</v>
      </c>
      <c r="P71" s="19">
        <f>IF(AND(L71=1,OR(Dashboard!$C$13="All",A71=Dashboard!$C$13),OR(Dashboard!$C$14="All",B71=Dashboard!$C$14),OR(Dashboard!$C$15="All",C71=Dashboard!$C$15),OR(Dashboard!$C$17="All",J71=Dashboard!$C$17)),1,0)</f>
        <v>1</v>
      </c>
      <c r="Q71" s="19">
        <f>IF(AND(L71=1,OR(Dashboard!$C$14="All",B71=Dashboard!$C$14),OR(Dashboard!$C$15="All",C71=Dashboard!$C$15),OR(Dashboard!$C$16="All",K71=Dashboard!$C$16),OR(Dashboard!$C$17="All",J71=Dashboard!$C$17)),1,0)</f>
        <v>1</v>
      </c>
      <c r="R71" s="19">
        <f>IF(AND(L71=1,OR(Dashboard!$C$13="All",A71=Dashboard!$C$13),OR(Dashboard!$C$14="All",B71=Dashboard!$C$14),OR(Dashboard!$C$15="All",C71=Dashboard!$C$15),OR(Dashboard!$C$16="All",K71=Dashboard!$C$16)),1,0)</f>
        <v>1</v>
      </c>
      <c r="S71" s="19">
        <f t="shared" si="3"/>
        <v>70</v>
      </c>
      <c r="T71" s="9" t="s">
        <v>250</v>
      </c>
      <c r="V71" s="9" t="s">
        <v>251</v>
      </c>
    </row>
    <row r="72" ht="15.75" customHeight="1">
      <c r="A72" s="3" t="s">
        <v>128</v>
      </c>
      <c r="B72" s="4" t="s">
        <v>131</v>
      </c>
      <c r="C72" s="3" t="s">
        <v>252</v>
      </c>
      <c r="D72" s="4">
        <v>40000.0</v>
      </c>
      <c r="E72" s="17">
        <v>24.0</v>
      </c>
      <c r="F72" s="5">
        <f t="shared" si="1"/>
        <v>960000</v>
      </c>
      <c r="G72" s="6">
        <v>46214.0</v>
      </c>
      <c r="H72" s="22">
        <v>13.0</v>
      </c>
      <c r="I72" s="7">
        <f t="shared" si="2"/>
        <v>46305</v>
      </c>
      <c r="J72" s="4" t="s">
        <v>25</v>
      </c>
      <c r="K72" s="8" t="s">
        <v>37</v>
      </c>
      <c r="L72" s="19">
        <f>IF(A72="","",IF(OR(G72="",AND(G72&gt;=Dashboard!$C$18,G72&lt;=Dashboard!$C$19)),1,0))</f>
        <v>1</v>
      </c>
      <c r="M72" s="19">
        <f>IF(AND(L72=1,OR(Dashboard!$C$13="All",A72=Dashboard!$C$13),OR(Dashboard!$C$14="All",B72=Dashboard!$C$14),OR(Dashboard!$C$15="All",C72=Dashboard!$C$15),OR(Dashboard!$C$16="All",K72=Dashboard!$C$16),OR(Dashboard!$C$17="All",J72=Dashboard!$C$17)),1,0)</f>
        <v>1</v>
      </c>
      <c r="N72" s="19">
        <f>IF(AND(L72=1,OR(Dashboard!$C$13="All",A72=Dashboard!$C$13),OR(Dashboard!$C$14="All",B72=Dashboard!$C$14),OR(Dashboard!$C$16="All",K72=Dashboard!$C$16),OR(Dashboard!$C$17="All",J72=Dashboard!$C$17)),1,0)</f>
        <v>1</v>
      </c>
      <c r="O72" s="19">
        <f>IF(AND(L72=1,OR(Dashboard!$C$13="All",A72=Dashboard!$C$13),OR(Dashboard!$C$15="All",C72=Dashboard!$C$15),OR(Dashboard!$C$16="All",K72=Dashboard!$C$16),OR(Dashboard!$C$17="All",J72=Dashboard!$C$17)),1,0)</f>
        <v>1</v>
      </c>
      <c r="P72" s="19">
        <f>IF(AND(L72=1,OR(Dashboard!$C$13="All",A72=Dashboard!$C$13),OR(Dashboard!$C$14="All",B72=Dashboard!$C$14),OR(Dashboard!$C$15="All",C72=Dashboard!$C$15),OR(Dashboard!$C$17="All",J72=Dashboard!$C$17)),1,0)</f>
        <v>1</v>
      </c>
      <c r="Q72" s="19">
        <f>IF(AND(L72=1,OR(Dashboard!$C$14="All",B72=Dashboard!$C$14),OR(Dashboard!$C$15="All",C72=Dashboard!$C$15),OR(Dashboard!$C$16="All",K72=Dashboard!$C$16),OR(Dashboard!$C$17="All",J72=Dashboard!$C$17)),1,0)</f>
        <v>1</v>
      </c>
      <c r="R72" s="19">
        <f>IF(AND(L72=1,OR(Dashboard!$C$13="All",A72=Dashboard!$C$13),OR(Dashboard!$C$14="All",B72=Dashboard!$C$14),OR(Dashboard!$C$15="All",C72=Dashboard!$C$15),OR(Dashboard!$C$16="All",K72=Dashboard!$C$16)),1,0)</f>
        <v>1</v>
      </c>
      <c r="S72" s="19">
        <f t="shared" si="3"/>
        <v>71</v>
      </c>
      <c r="T72" s="9" t="s">
        <v>253</v>
      </c>
      <c r="V72" s="9" t="s">
        <v>254</v>
      </c>
    </row>
    <row r="73" ht="15.75" customHeight="1">
      <c r="A73" s="10" t="s">
        <v>128</v>
      </c>
      <c r="B73" s="13" t="s">
        <v>90</v>
      </c>
      <c r="C73" s="10" t="s">
        <v>255</v>
      </c>
      <c r="D73" s="13">
        <v>2000.0</v>
      </c>
      <c r="E73" s="14">
        <v>25.0</v>
      </c>
      <c r="F73" s="15">
        <f t="shared" si="1"/>
        <v>50000</v>
      </c>
      <c r="G73" s="6">
        <v>46215.0</v>
      </c>
      <c r="H73" s="22">
        <v>19.0</v>
      </c>
      <c r="I73" s="16">
        <f t="shared" si="2"/>
        <v>46348</v>
      </c>
      <c r="J73" s="13" t="s">
        <v>25</v>
      </c>
      <c r="K73" s="11" t="s">
        <v>26</v>
      </c>
      <c r="L73" s="19">
        <f>IF(A73="","",IF(OR(G73="",AND(G73&gt;=Dashboard!$C$18,G73&lt;=Dashboard!$C$19)),1,0))</f>
        <v>1</v>
      </c>
      <c r="M73" s="19">
        <f>IF(AND(L73=1,OR(Dashboard!$C$13="All",A73=Dashboard!$C$13),OR(Dashboard!$C$14="All",B73=Dashboard!$C$14),OR(Dashboard!$C$15="All",C73=Dashboard!$C$15),OR(Dashboard!$C$16="All",K73=Dashboard!$C$16),OR(Dashboard!$C$17="All",J73=Dashboard!$C$17)),1,0)</f>
        <v>1</v>
      </c>
      <c r="N73" s="19">
        <f>IF(AND(L73=1,OR(Dashboard!$C$13="All",A73=Dashboard!$C$13),OR(Dashboard!$C$14="All",B73=Dashboard!$C$14),OR(Dashboard!$C$16="All",K73=Dashboard!$C$16),OR(Dashboard!$C$17="All",J73=Dashboard!$C$17)),1,0)</f>
        <v>1</v>
      </c>
      <c r="O73" s="19">
        <f>IF(AND(L73=1,OR(Dashboard!$C$13="All",A73=Dashboard!$C$13),OR(Dashboard!$C$15="All",C73=Dashboard!$C$15),OR(Dashboard!$C$16="All",K73=Dashboard!$C$16),OR(Dashboard!$C$17="All",J73=Dashboard!$C$17)),1,0)</f>
        <v>1</v>
      </c>
      <c r="P73" s="19">
        <f>IF(AND(L73=1,OR(Dashboard!$C$13="All",A73=Dashboard!$C$13),OR(Dashboard!$C$14="All",B73=Dashboard!$C$14),OR(Dashboard!$C$15="All",C73=Dashboard!$C$15),OR(Dashboard!$C$17="All",J73=Dashboard!$C$17)),1,0)</f>
        <v>1</v>
      </c>
      <c r="Q73" s="19">
        <f>IF(AND(L73=1,OR(Dashboard!$C$14="All",B73=Dashboard!$C$14),OR(Dashboard!$C$15="All",C73=Dashboard!$C$15),OR(Dashboard!$C$16="All",K73=Dashboard!$C$16),OR(Dashboard!$C$17="All",J73=Dashboard!$C$17)),1,0)</f>
        <v>1</v>
      </c>
      <c r="R73" s="19">
        <f>IF(AND(L73=1,OR(Dashboard!$C$13="All",A73=Dashboard!$C$13),OR(Dashboard!$C$14="All",B73=Dashboard!$C$14),OR(Dashboard!$C$15="All",C73=Dashboard!$C$15),OR(Dashboard!$C$16="All",K73=Dashboard!$C$16)),1,0)</f>
        <v>1</v>
      </c>
      <c r="S73" s="19">
        <f t="shared" si="3"/>
        <v>72</v>
      </c>
      <c r="T73" s="9" t="s">
        <v>256</v>
      </c>
      <c r="V73" s="24" t="s">
        <v>257</v>
      </c>
    </row>
    <row r="74" ht="15.75" customHeight="1">
      <c r="A74" s="3" t="s">
        <v>128</v>
      </c>
      <c r="B74" s="4" t="s">
        <v>137</v>
      </c>
      <c r="C74" s="3" t="s">
        <v>258</v>
      </c>
      <c r="D74" s="4">
        <v>1.0</v>
      </c>
      <c r="E74" s="17">
        <v>36.0</v>
      </c>
      <c r="F74" s="5">
        <f t="shared" si="1"/>
        <v>36</v>
      </c>
      <c r="G74" s="6">
        <v>46216.0</v>
      </c>
      <c r="H74" s="22">
        <v>17.0</v>
      </c>
      <c r="I74" s="7">
        <f t="shared" si="2"/>
        <v>46335</v>
      </c>
      <c r="J74" s="4" t="s">
        <v>25</v>
      </c>
      <c r="K74" s="8" t="s">
        <v>48</v>
      </c>
      <c r="L74" s="24">
        <f>IF(A74="","",IF(OR(G74="",AND(G74&gt;=Dashboard!$C$18,G74&lt;=Dashboard!$C$19)),1,0))</f>
        <v>1</v>
      </c>
      <c r="M74" s="24">
        <f>IF(AND(L74=1,OR(Dashboard!$C$13="All",A74=Dashboard!$C$13),OR(Dashboard!$C$14="All",B74=Dashboard!$C$14),OR(Dashboard!$C$15="All",C74=Dashboard!$C$15),OR(Dashboard!$C$16="All",K74=Dashboard!$C$16),OR(Dashboard!$C$17="All",J74=Dashboard!$C$17)),1,0)</f>
        <v>1</v>
      </c>
      <c r="N74" s="24">
        <f>IF(AND(L74=1,OR(Dashboard!$C$13="All",A74=Dashboard!$C$13),OR(Dashboard!$C$14="All",B74=Dashboard!$C$14),OR(Dashboard!$C$16="All",K74=Dashboard!$C$16),OR(Dashboard!$C$17="All",J74=Dashboard!$C$17)),1,0)</f>
        <v>1</v>
      </c>
      <c r="O74" s="24">
        <f>IF(AND(L74=1,OR(Dashboard!$C$13="All",A74=Dashboard!$C$13),OR(Dashboard!$C$15="All",C74=Dashboard!$C$15),OR(Dashboard!$C$16="All",K74=Dashboard!$C$16),OR(Dashboard!$C$17="All",J74=Dashboard!$C$17)),1,0)</f>
        <v>1</v>
      </c>
      <c r="P74" s="24">
        <f>IF(AND(L74=1,OR(Dashboard!$C$13="All",A74=Dashboard!$C$13),OR(Dashboard!$C$14="All",B74=Dashboard!$C$14),OR(Dashboard!$C$15="All",C74=Dashboard!$C$15),OR(Dashboard!$C$17="All",J74=Dashboard!$C$17)),1,0)</f>
        <v>1</v>
      </c>
      <c r="Q74" s="24">
        <f>IF(AND(L74=1,OR(Dashboard!$C$14="All",B74=Dashboard!$C$14),OR(Dashboard!$C$15="All",C74=Dashboard!$C$15),OR(Dashboard!$C$16="All",K74=Dashboard!$C$16),OR(Dashboard!$C$17="All",J74=Dashboard!$C$17)),1,0)</f>
        <v>1</v>
      </c>
      <c r="R74" s="24">
        <f>IF(AND(L74=1,OR(Dashboard!$C$13="All",A74=Dashboard!$C$13),OR(Dashboard!$C$14="All",B74=Dashboard!$C$14),OR(Dashboard!$C$15="All",C74=Dashboard!$C$15),OR(Dashboard!$C$16="All",K74=Dashboard!$C$16)),1,0)</f>
        <v>1</v>
      </c>
      <c r="S74" s="24">
        <f t="shared" si="3"/>
        <v>73</v>
      </c>
      <c r="T74" s="24" t="s">
        <v>259</v>
      </c>
      <c r="V74" s="24" t="s">
        <v>221</v>
      </c>
    </row>
    <row r="75" ht="15.75" customHeight="1">
      <c r="A75" s="10" t="s">
        <v>128</v>
      </c>
      <c r="B75" s="13" t="s">
        <v>137</v>
      </c>
      <c r="C75" s="10" t="s">
        <v>260</v>
      </c>
      <c r="D75" s="13">
        <v>6.0</v>
      </c>
      <c r="E75" s="14">
        <v>95.0</v>
      </c>
      <c r="F75" s="15">
        <f t="shared" si="1"/>
        <v>570</v>
      </c>
      <c r="G75" s="6">
        <v>46217.0</v>
      </c>
      <c r="H75" s="22">
        <v>19.0</v>
      </c>
      <c r="I75" s="16">
        <f t="shared" si="2"/>
        <v>46350</v>
      </c>
      <c r="J75" s="13" t="s">
        <v>25</v>
      </c>
      <c r="K75" s="13" t="s">
        <v>31</v>
      </c>
      <c r="L75" s="24">
        <f>IF(A75="","",IF(OR(G75="",AND(G75&gt;=Dashboard!$C$18,G75&lt;=Dashboard!$C$19)),1,0))</f>
        <v>1</v>
      </c>
      <c r="M75" s="24">
        <f>IF(AND(L75=1,OR(Dashboard!$C$13="All",A75=Dashboard!$C$13),OR(Dashboard!$C$14="All",B75=Dashboard!$C$14),OR(Dashboard!$C$15="All",C75=Dashboard!$C$15),OR(Dashboard!$C$16="All",K75=Dashboard!$C$16),OR(Dashboard!$C$17="All",J75=Dashboard!$C$17)),1,0)</f>
        <v>1</v>
      </c>
      <c r="N75" s="24">
        <f>IF(AND(L75=1,OR(Dashboard!$C$13="All",A75=Dashboard!$C$13),OR(Dashboard!$C$14="All",B75=Dashboard!$C$14),OR(Dashboard!$C$16="All",K75=Dashboard!$C$16),OR(Dashboard!$C$17="All",J75=Dashboard!$C$17)),1,0)</f>
        <v>1</v>
      </c>
      <c r="O75" s="24">
        <f>IF(AND(L75=1,OR(Dashboard!$C$13="All",A75=Dashboard!$C$13),OR(Dashboard!$C$15="All",C75=Dashboard!$C$15),OR(Dashboard!$C$16="All",K75=Dashboard!$C$16),OR(Dashboard!$C$17="All",J75=Dashboard!$C$17)),1,0)</f>
        <v>1</v>
      </c>
      <c r="P75" s="24">
        <f>IF(AND(L75=1,OR(Dashboard!$C$13="All",A75=Dashboard!$C$13),OR(Dashboard!$C$14="All",B75=Dashboard!$C$14),OR(Dashboard!$C$15="All",C75=Dashboard!$C$15),OR(Dashboard!$C$17="All",J75=Dashboard!$C$17)),1,0)</f>
        <v>1</v>
      </c>
      <c r="Q75" s="24">
        <f>IF(AND(L75=1,OR(Dashboard!$C$14="All",B75=Dashboard!$C$14),OR(Dashboard!$C$15="All",C75=Dashboard!$C$15),OR(Dashboard!$C$16="All",K75=Dashboard!$C$16),OR(Dashboard!$C$17="All",J75=Dashboard!$C$17)),1,0)</f>
        <v>1</v>
      </c>
      <c r="R75" s="24">
        <f>IF(AND(L75=1,OR(Dashboard!$C$13="All",A75=Dashboard!$C$13),OR(Dashboard!$C$14="All",B75=Dashboard!$C$14),OR(Dashboard!$C$15="All",C75=Dashboard!$C$15),OR(Dashboard!$C$16="All",K75=Dashboard!$C$16)),1,0)</f>
        <v>1</v>
      </c>
      <c r="S75" s="24">
        <f t="shared" si="3"/>
        <v>74</v>
      </c>
      <c r="T75" s="24" t="s">
        <v>261</v>
      </c>
      <c r="V75" s="24" t="s">
        <v>262</v>
      </c>
    </row>
    <row r="76" ht="15.75" customHeight="1">
      <c r="A76" s="3" t="s">
        <v>128</v>
      </c>
      <c r="B76" s="4" t="s">
        <v>39</v>
      </c>
      <c r="C76" s="3" t="s">
        <v>263</v>
      </c>
      <c r="D76" s="4">
        <v>2.0</v>
      </c>
      <c r="E76" s="17">
        <v>574.0</v>
      </c>
      <c r="F76" s="5">
        <f t="shared" si="1"/>
        <v>1148</v>
      </c>
      <c r="G76" s="6">
        <v>46218.0</v>
      </c>
      <c r="H76" s="22">
        <v>21.0</v>
      </c>
      <c r="I76" s="7">
        <f t="shared" si="2"/>
        <v>46365</v>
      </c>
      <c r="J76" s="4" t="s">
        <v>25</v>
      </c>
      <c r="K76" s="4" t="s">
        <v>31</v>
      </c>
      <c r="L76" s="24">
        <f>IF(A76="","",IF(OR(G76="",AND(G76&gt;=Dashboard!$C$18,G76&lt;=Dashboard!$C$19)),1,0))</f>
        <v>1</v>
      </c>
      <c r="M76" s="24">
        <f>IF(AND(L76=1,OR(Dashboard!$C$13="All",A76=Dashboard!$C$13),OR(Dashboard!$C$14="All",B76=Dashboard!$C$14),OR(Dashboard!$C$15="All",C76=Dashboard!$C$15),OR(Dashboard!$C$16="All",K76=Dashboard!$C$16),OR(Dashboard!$C$17="All",J76=Dashboard!$C$17)),1,0)</f>
        <v>1</v>
      </c>
      <c r="N76" s="24">
        <f>IF(AND(L76=1,OR(Dashboard!$C$13="All",A76=Dashboard!$C$13),OR(Dashboard!$C$14="All",B76=Dashboard!$C$14),OR(Dashboard!$C$16="All",K76=Dashboard!$C$16),OR(Dashboard!$C$17="All",J76=Dashboard!$C$17)),1,0)</f>
        <v>1</v>
      </c>
      <c r="O76" s="24">
        <f>IF(AND(L76=1,OR(Dashboard!$C$13="All",A76=Dashboard!$C$13),OR(Dashboard!$C$15="All",C76=Dashboard!$C$15),OR(Dashboard!$C$16="All",K76=Dashboard!$C$16),OR(Dashboard!$C$17="All",J76=Dashboard!$C$17)),1,0)</f>
        <v>1</v>
      </c>
      <c r="P76" s="24">
        <f>IF(AND(L76=1,OR(Dashboard!$C$13="All",A76=Dashboard!$C$13),OR(Dashboard!$C$14="All",B76=Dashboard!$C$14),OR(Dashboard!$C$15="All",C76=Dashboard!$C$15),OR(Dashboard!$C$17="All",J76=Dashboard!$C$17)),1,0)</f>
        <v>1</v>
      </c>
      <c r="Q76" s="24">
        <f>IF(AND(L76=1,OR(Dashboard!$C$14="All",B76=Dashboard!$C$14),OR(Dashboard!$C$15="All",C76=Dashboard!$C$15),OR(Dashboard!$C$16="All",K76=Dashboard!$C$16),OR(Dashboard!$C$17="All",J76=Dashboard!$C$17)),1,0)</f>
        <v>1</v>
      </c>
      <c r="R76" s="24">
        <f>IF(AND(L76=1,OR(Dashboard!$C$13="All",A76=Dashboard!$C$13),OR(Dashboard!$C$14="All",B76=Dashboard!$C$14),OR(Dashboard!$C$15="All",C76=Dashboard!$C$15),OR(Dashboard!$C$16="All",K76=Dashboard!$C$16)),1,0)</f>
        <v>1</v>
      </c>
      <c r="S76" s="24">
        <f t="shared" si="3"/>
        <v>75</v>
      </c>
      <c r="T76" s="24" t="s">
        <v>264</v>
      </c>
      <c r="V76" s="24" t="s">
        <v>265</v>
      </c>
    </row>
    <row r="77" ht="15.75" customHeight="1">
      <c r="A77" s="10" t="s">
        <v>130</v>
      </c>
      <c r="B77" s="13" t="s">
        <v>34</v>
      </c>
      <c r="C77" s="10" t="s">
        <v>100</v>
      </c>
      <c r="D77" s="13" t="s">
        <v>266</v>
      </c>
      <c r="E77" s="14">
        <v>558.0</v>
      </c>
      <c r="F77" s="15" t="str">
        <f t="shared" si="1"/>
        <v>#VALUE!</v>
      </c>
      <c r="G77" s="6">
        <v>46219.0</v>
      </c>
      <c r="H77" s="22">
        <v>20.0</v>
      </c>
      <c r="I77" s="16">
        <f t="shared" si="2"/>
        <v>46359</v>
      </c>
      <c r="J77" s="13" t="s">
        <v>25</v>
      </c>
      <c r="K77" s="13" t="s">
        <v>31</v>
      </c>
      <c r="L77" s="24">
        <f>IF(A77="","",IF(OR(G77="",AND(G77&gt;=Dashboard!$C$18,G77&lt;=Dashboard!$C$19)),1,0))</f>
        <v>1</v>
      </c>
      <c r="M77" s="24">
        <f>IF(AND(L77=1,OR(Dashboard!$C$13="All",A77=Dashboard!$C$13),OR(Dashboard!$C$14="All",B77=Dashboard!$C$14),OR(Dashboard!$C$15="All",C77=Dashboard!$C$15),OR(Dashboard!$C$16="All",K77=Dashboard!$C$16),OR(Dashboard!$C$17="All",J77=Dashboard!$C$17)),1,0)</f>
        <v>1</v>
      </c>
      <c r="N77" s="24">
        <f>IF(AND(L77=1,OR(Dashboard!$C$13="All",A77=Dashboard!$C$13),OR(Dashboard!$C$14="All",B77=Dashboard!$C$14),OR(Dashboard!$C$16="All",K77=Dashboard!$C$16),OR(Dashboard!$C$17="All",J77=Dashboard!$C$17)),1,0)</f>
        <v>1</v>
      </c>
      <c r="O77" s="24">
        <f>IF(AND(L77=1,OR(Dashboard!$C$13="All",A77=Dashboard!$C$13),OR(Dashboard!$C$15="All",C77=Dashboard!$C$15),OR(Dashboard!$C$16="All",K77=Dashboard!$C$16),OR(Dashboard!$C$17="All",J77=Dashboard!$C$17)),1,0)</f>
        <v>1</v>
      </c>
      <c r="P77" s="24">
        <f>IF(AND(L77=1,OR(Dashboard!$C$13="All",A77=Dashboard!$C$13),OR(Dashboard!$C$14="All",B77=Dashboard!$C$14),OR(Dashboard!$C$15="All",C77=Dashboard!$C$15),OR(Dashboard!$C$17="All",J77=Dashboard!$C$17)),1,0)</f>
        <v>1</v>
      </c>
      <c r="Q77" s="24">
        <f>IF(AND(L77=1,OR(Dashboard!$C$14="All",B77=Dashboard!$C$14),OR(Dashboard!$C$15="All",C77=Dashboard!$C$15),OR(Dashboard!$C$16="All",K77=Dashboard!$C$16),OR(Dashboard!$C$17="All",J77=Dashboard!$C$17)),1,0)</f>
        <v>1</v>
      </c>
      <c r="R77" s="24">
        <f>IF(AND(L77=1,OR(Dashboard!$C$13="All",A77=Dashboard!$C$13),OR(Dashboard!$C$14="All",B77=Dashboard!$C$14),OR(Dashboard!$C$15="All",C77=Dashboard!$C$15),OR(Dashboard!$C$16="All",K77=Dashboard!$C$16)),1,0)</f>
        <v>1</v>
      </c>
      <c r="S77" s="24">
        <f t="shared" si="3"/>
        <v>76</v>
      </c>
      <c r="T77" s="24" t="s">
        <v>267</v>
      </c>
      <c r="V77" s="24" t="s">
        <v>268</v>
      </c>
    </row>
    <row r="78" ht="15.75" customHeight="1">
      <c r="A78" s="3" t="s">
        <v>133</v>
      </c>
      <c r="B78" s="4" t="s">
        <v>71</v>
      </c>
      <c r="C78" s="3" t="s">
        <v>269</v>
      </c>
      <c r="D78" s="4" t="s">
        <v>270</v>
      </c>
      <c r="E78" s="17">
        <v>2265.0</v>
      </c>
      <c r="F78" s="5" t="str">
        <f t="shared" si="1"/>
        <v>#VALUE!</v>
      </c>
      <c r="G78" s="6">
        <v>46220.0</v>
      </c>
      <c r="H78" s="22">
        <v>21.0</v>
      </c>
      <c r="I78" s="7">
        <f t="shared" si="2"/>
        <v>46367</v>
      </c>
      <c r="J78" s="4" t="s">
        <v>25</v>
      </c>
      <c r="K78" s="4" t="s">
        <v>31</v>
      </c>
      <c r="L78" s="24">
        <f>IF(A78="","",IF(OR(G78="",AND(G78&gt;=Dashboard!$C$18,G78&lt;=Dashboard!$C$19)),1,0))</f>
        <v>1</v>
      </c>
      <c r="M78" s="24">
        <f>IF(AND(L78=1,OR(Dashboard!$C$13="All",A78=Dashboard!$C$13),OR(Dashboard!$C$14="All",B78=Dashboard!$C$14),OR(Dashboard!$C$15="All",C78=Dashboard!$C$15),OR(Dashboard!$C$16="All",K78=Dashboard!$C$16),OR(Dashboard!$C$17="All",J78=Dashboard!$C$17)),1,0)</f>
        <v>1</v>
      </c>
      <c r="N78" s="24">
        <f>IF(AND(L78=1,OR(Dashboard!$C$13="All",A78=Dashboard!$C$13),OR(Dashboard!$C$14="All",B78=Dashboard!$C$14),OR(Dashboard!$C$16="All",K78=Dashboard!$C$16),OR(Dashboard!$C$17="All",J78=Dashboard!$C$17)),1,0)</f>
        <v>1</v>
      </c>
      <c r="O78" s="24">
        <f>IF(AND(L78=1,OR(Dashboard!$C$13="All",A78=Dashboard!$C$13),OR(Dashboard!$C$15="All",C78=Dashboard!$C$15),OR(Dashboard!$C$16="All",K78=Dashboard!$C$16),OR(Dashboard!$C$17="All",J78=Dashboard!$C$17)),1,0)</f>
        <v>1</v>
      </c>
      <c r="P78" s="24">
        <f>IF(AND(L78=1,OR(Dashboard!$C$13="All",A78=Dashboard!$C$13),OR(Dashboard!$C$14="All",B78=Dashboard!$C$14),OR(Dashboard!$C$15="All",C78=Dashboard!$C$15),OR(Dashboard!$C$17="All",J78=Dashboard!$C$17)),1,0)</f>
        <v>1</v>
      </c>
      <c r="Q78" s="24">
        <f>IF(AND(L78=1,OR(Dashboard!$C$14="All",B78=Dashboard!$C$14),OR(Dashboard!$C$15="All",C78=Dashboard!$C$15),OR(Dashboard!$C$16="All",K78=Dashboard!$C$16),OR(Dashboard!$C$17="All",J78=Dashboard!$C$17)),1,0)</f>
        <v>1</v>
      </c>
      <c r="R78" s="24">
        <f>IF(AND(L78=1,OR(Dashboard!$C$13="All",A78=Dashboard!$C$13),OR(Dashboard!$C$14="All",B78=Dashboard!$C$14),OR(Dashboard!$C$15="All",C78=Dashboard!$C$15),OR(Dashboard!$C$16="All",K78=Dashboard!$C$16)),1,0)</f>
        <v>1</v>
      </c>
      <c r="S78" s="24">
        <f t="shared" si="3"/>
        <v>77</v>
      </c>
      <c r="T78" s="24" t="s">
        <v>271</v>
      </c>
      <c r="V78" s="24" t="s">
        <v>272</v>
      </c>
    </row>
    <row r="79" ht="15.75" customHeight="1">
      <c r="A79" s="10" t="s">
        <v>136</v>
      </c>
      <c r="B79" s="13" t="s">
        <v>41</v>
      </c>
      <c r="C79" s="10" t="s">
        <v>273</v>
      </c>
      <c r="D79" s="13">
        <v>9405.0</v>
      </c>
      <c r="E79" s="14">
        <v>45.0</v>
      </c>
      <c r="F79" s="15">
        <f t="shared" si="1"/>
        <v>423225</v>
      </c>
      <c r="G79" s="6">
        <v>46221.0</v>
      </c>
      <c r="H79" s="22">
        <v>18.0</v>
      </c>
      <c r="I79" s="16">
        <f t="shared" si="2"/>
        <v>46347</v>
      </c>
      <c r="J79" s="13" t="s">
        <v>25</v>
      </c>
      <c r="K79" s="13" t="s">
        <v>31</v>
      </c>
      <c r="L79" s="24">
        <f>IF(A79="","",IF(OR(G79="",AND(G79&gt;=Dashboard!$C$18,G79&lt;=Dashboard!$C$19)),1,0))</f>
        <v>1</v>
      </c>
      <c r="M79" s="24">
        <f>IF(AND(L79=1,OR(Dashboard!$C$13="All",A79=Dashboard!$C$13),OR(Dashboard!$C$14="All",B79=Dashboard!$C$14),OR(Dashboard!$C$15="All",C79=Dashboard!$C$15),OR(Dashboard!$C$16="All",K79=Dashboard!$C$16),OR(Dashboard!$C$17="All",J79=Dashboard!$C$17)),1,0)</f>
        <v>1</v>
      </c>
      <c r="N79" s="24">
        <f>IF(AND(L79=1,OR(Dashboard!$C$13="All",A79=Dashboard!$C$13),OR(Dashboard!$C$14="All",B79=Dashboard!$C$14),OR(Dashboard!$C$16="All",K79=Dashboard!$C$16),OR(Dashboard!$C$17="All",J79=Dashboard!$C$17)),1,0)</f>
        <v>1</v>
      </c>
      <c r="O79" s="24">
        <f>IF(AND(L79=1,OR(Dashboard!$C$13="All",A79=Dashboard!$C$13),OR(Dashboard!$C$15="All",C79=Dashboard!$C$15),OR(Dashboard!$C$16="All",K79=Dashboard!$C$16),OR(Dashboard!$C$17="All",J79=Dashboard!$C$17)),1,0)</f>
        <v>1</v>
      </c>
      <c r="P79" s="24">
        <f>IF(AND(L79=1,OR(Dashboard!$C$13="All",A79=Dashboard!$C$13),OR(Dashboard!$C$14="All",B79=Dashboard!$C$14),OR(Dashboard!$C$15="All",C79=Dashboard!$C$15),OR(Dashboard!$C$17="All",J79=Dashboard!$C$17)),1,0)</f>
        <v>1</v>
      </c>
      <c r="Q79" s="24">
        <f>IF(AND(L79=1,OR(Dashboard!$C$14="All",B79=Dashboard!$C$14),OR(Dashboard!$C$15="All",C79=Dashboard!$C$15),OR(Dashboard!$C$16="All",K79=Dashboard!$C$16),OR(Dashboard!$C$17="All",J79=Dashboard!$C$17)),1,0)</f>
        <v>1</v>
      </c>
      <c r="R79" s="24">
        <f>IF(AND(L79=1,OR(Dashboard!$C$13="All",A79=Dashboard!$C$13),OR(Dashboard!$C$14="All",B79=Dashboard!$C$14),OR(Dashboard!$C$15="All",C79=Dashboard!$C$15),OR(Dashboard!$C$16="All",K79=Dashboard!$C$16)),1,0)</f>
        <v>1</v>
      </c>
      <c r="S79" s="24">
        <f t="shared" si="3"/>
        <v>78</v>
      </c>
      <c r="T79" s="24" t="s">
        <v>274</v>
      </c>
      <c r="V79" s="24" t="s">
        <v>164</v>
      </c>
    </row>
    <row r="80" ht="15.75" customHeight="1">
      <c r="A80" s="3" t="s">
        <v>136</v>
      </c>
      <c r="B80" s="4" t="s">
        <v>34</v>
      </c>
      <c r="C80" s="3" t="s">
        <v>275</v>
      </c>
      <c r="D80" s="4">
        <v>6820.0</v>
      </c>
      <c r="E80" s="17">
        <v>5554.0</v>
      </c>
      <c r="F80" s="5">
        <f t="shared" si="1"/>
        <v>37878280</v>
      </c>
      <c r="G80" s="6">
        <v>46222.0</v>
      </c>
      <c r="H80" s="22">
        <v>17.0</v>
      </c>
      <c r="I80" s="7">
        <f t="shared" si="2"/>
        <v>46341</v>
      </c>
      <c r="J80" s="4" t="s">
        <v>25</v>
      </c>
      <c r="K80" s="8" t="s">
        <v>26</v>
      </c>
      <c r="L80" s="24">
        <f>IF(A80="","",IF(OR(G80="",AND(G80&gt;=Dashboard!$C$18,G80&lt;=Dashboard!$C$19)),1,0))</f>
        <v>1</v>
      </c>
      <c r="M80" s="24">
        <f>IF(AND(L80=1,OR(Dashboard!$C$13="All",A80=Dashboard!$C$13),OR(Dashboard!$C$14="All",B80=Dashboard!$C$14),OR(Dashboard!$C$15="All",C80=Dashboard!$C$15),OR(Dashboard!$C$16="All",K80=Dashboard!$C$16),OR(Dashboard!$C$17="All",J80=Dashboard!$C$17)),1,0)</f>
        <v>1</v>
      </c>
      <c r="N80" s="24">
        <f>IF(AND(L80=1,OR(Dashboard!$C$13="All",A80=Dashboard!$C$13),OR(Dashboard!$C$14="All",B80=Dashboard!$C$14),OR(Dashboard!$C$16="All",K80=Dashboard!$C$16),OR(Dashboard!$C$17="All",J80=Dashboard!$C$17)),1,0)</f>
        <v>1</v>
      </c>
      <c r="O80" s="24">
        <f>IF(AND(L80=1,OR(Dashboard!$C$13="All",A80=Dashboard!$C$13),OR(Dashboard!$C$15="All",C80=Dashboard!$C$15),OR(Dashboard!$C$16="All",K80=Dashboard!$C$16),OR(Dashboard!$C$17="All",J80=Dashboard!$C$17)),1,0)</f>
        <v>1</v>
      </c>
      <c r="P80" s="24">
        <f>IF(AND(L80=1,OR(Dashboard!$C$13="All",A80=Dashboard!$C$13),OR(Dashboard!$C$14="All",B80=Dashboard!$C$14),OR(Dashboard!$C$15="All",C80=Dashboard!$C$15),OR(Dashboard!$C$17="All",J80=Dashboard!$C$17)),1,0)</f>
        <v>1</v>
      </c>
      <c r="Q80" s="24">
        <f>IF(AND(L80=1,OR(Dashboard!$C$14="All",B80=Dashboard!$C$14),OR(Dashboard!$C$15="All",C80=Dashboard!$C$15),OR(Dashboard!$C$16="All",K80=Dashboard!$C$16),OR(Dashboard!$C$17="All",J80=Dashboard!$C$17)),1,0)</f>
        <v>1</v>
      </c>
      <c r="R80" s="24">
        <f>IF(AND(L80=1,OR(Dashboard!$C$13="All",A80=Dashboard!$C$13),OR(Dashboard!$C$14="All",B80=Dashboard!$C$14),OR(Dashboard!$C$15="All",C80=Dashboard!$C$15),OR(Dashboard!$C$16="All",K80=Dashboard!$C$16)),1,0)</f>
        <v>1</v>
      </c>
      <c r="S80" s="24">
        <f t="shared" si="3"/>
        <v>79</v>
      </c>
      <c r="T80" s="24" t="s">
        <v>276</v>
      </c>
      <c r="V80" s="24" t="s">
        <v>167</v>
      </c>
    </row>
    <row r="81" ht="15.75" customHeight="1">
      <c r="A81" s="10" t="s">
        <v>136</v>
      </c>
      <c r="B81" s="13" t="s">
        <v>34</v>
      </c>
      <c r="C81" s="10" t="s">
        <v>277</v>
      </c>
      <c r="D81" s="13">
        <v>110.0</v>
      </c>
      <c r="E81" s="14">
        <v>41.0</v>
      </c>
      <c r="F81" s="15">
        <f t="shared" si="1"/>
        <v>4510</v>
      </c>
      <c r="G81" s="6">
        <v>46223.0</v>
      </c>
      <c r="H81" s="22">
        <v>20.0</v>
      </c>
      <c r="I81" s="16">
        <f t="shared" si="2"/>
        <v>46363</v>
      </c>
      <c r="J81" s="13" t="s">
        <v>25</v>
      </c>
      <c r="K81" s="13" t="s">
        <v>31</v>
      </c>
      <c r="L81" s="24">
        <f>IF(A81="","",IF(OR(G81="",AND(G81&gt;=Dashboard!$C$18,G81&lt;=Dashboard!$C$19)),1,0))</f>
        <v>1</v>
      </c>
      <c r="M81" s="24">
        <f>IF(AND(L81=1,OR(Dashboard!$C$13="All",A81=Dashboard!$C$13),OR(Dashboard!$C$14="All",B81=Dashboard!$C$14),OR(Dashboard!$C$15="All",C81=Dashboard!$C$15),OR(Dashboard!$C$16="All",K81=Dashboard!$C$16),OR(Dashboard!$C$17="All",J81=Dashboard!$C$17)),1,0)</f>
        <v>1</v>
      </c>
      <c r="N81" s="24">
        <f>IF(AND(L81=1,OR(Dashboard!$C$13="All",A81=Dashboard!$C$13),OR(Dashboard!$C$14="All",B81=Dashboard!$C$14),OR(Dashboard!$C$16="All",K81=Dashboard!$C$16),OR(Dashboard!$C$17="All",J81=Dashboard!$C$17)),1,0)</f>
        <v>1</v>
      </c>
      <c r="O81" s="24">
        <f>IF(AND(L81=1,OR(Dashboard!$C$13="All",A81=Dashboard!$C$13),OR(Dashboard!$C$15="All",C81=Dashboard!$C$15),OR(Dashboard!$C$16="All",K81=Dashboard!$C$16),OR(Dashboard!$C$17="All",J81=Dashboard!$C$17)),1,0)</f>
        <v>1</v>
      </c>
      <c r="P81" s="24">
        <f>IF(AND(L81=1,OR(Dashboard!$C$13="All",A81=Dashboard!$C$13),OR(Dashboard!$C$14="All",B81=Dashboard!$C$14),OR(Dashboard!$C$15="All",C81=Dashboard!$C$15),OR(Dashboard!$C$17="All",J81=Dashboard!$C$17)),1,0)</f>
        <v>1</v>
      </c>
      <c r="Q81" s="24">
        <f>IF(AND(L81=1,OR(Dashboard!$C$14="All",B81=Dashboard!$C$14),OR(Dashboard!$C$15="All",C81=Dashboard!$C$15),OR(Dashboard!$C$16="All",K81=Dashboard!$C$16),OR(Dashboard!$C$17="All",J81=Dashboard!$C$17)),1,0)</f>
        <v>1</v>
      </c>
      <c r="R81" s="24">
        <f>IF(AND(L81=1,OR(Dashboard!$C$13="All",A81=Dashboard!$C$13),OR(Dashboard!$C$14="All",B81=Dashboard!$C$14),OR(Dashboard!$C$15="All",C81=Dashboard!$C$15),OR(Dashboard!$C$16="All",K81=Dashboard!$C$16)),1,0)</f>
        <v>1</v>
      </c>
      <c r="S81" s="24">
        <f t="shared" si="3"/>
        <v>80</v>
      </c>
      <c r="T81" s="24" t="s">
        <v>278</v>
      </c>
      <c r="V81" s="24" t="s">
        <v>161</v>
      </c>
    </row>
    <row r="82" ht="15.75" customHeight="1">
      <c r="A82" s="3" t="s">
        <v>136</v>
      </c>
      <c r="B82" s="4" t="s">
        <v>39</v>
      </c>
      <c r="C82" s="3" t="s">
        <v>82</v>
      </c>
      <c r="D82" s="4">
        <v>2.0</v>
      </c>
      <c r="E82" s="17">
        <v>231.0</v>
      </c>
      <c r="F82" s="5">
        <f t="shared" si="1"/>
        <v>462</v>
      </c>
      <c r="G82" s="6">
        <v>46224.0</v>
      </c>
      <c r="H82" s="22">
        <v>20.0</v>
      </c>
      <c r="I82" s="7">
        <f t="shared" si="2"/>
        <v>46364</v>
      </c>
      <c r="J82" s="4" t="s">
        <v>25</v>
      </c>
      <c r="K82" s="8" t="s">
        <v>37</v>
      </c>
      <c r="L82" s="24">
        <f>IF(A82="","",IF(OR(G82="",AND(G82&gt;=Dashboard!$C$18,G82&lt;=Dashboard!$C$19)),1,0))</f>
        <v>1</v>
      </c>
      <c r="M82" s="24">
        <f>IF(AND(L82=1,OR(Dashboard!$C$13="All",A82=Dashboard!$C$13),OR(Dashboard!$C$14="All",B82=Dashboard!$C$14),OR(Dashboard!$C$15="All",C82=Dashboard!$C$15),OR(Dashboard!$C$16="All",K82=Dashboard!$C$16),OR(Dashboard!$C$17="All",J82=Dashboard!$C$17)),1,0)</f>
        <v>1</v>
      </c>
      <c r="N82" s="24">
        <f>IF(AND(L82=1,OR(Dashboard!$C$13="All",A82=Dashboard!$C$13),OR(Dashboard!$C$14="All",B82=Dashboard!$C$14),OR(Dashboard!$C$16="All",K82=Dashboard!$C$16),OR(Dashboard!$C$17="All",J82=Dashboard!$C$17)),1,0)</f>
        <v>1</v>
      </c>
      <c r="O82" s="24">
        <f>IF(AND(L82=1,OR(Dashboard!$C$13="All",A82=Dashboard!$C$13),OR(Dashboard!$C$15="All",C82=Dashboard!$C$15),OR(Dashboard!$C$16="All",K82=Dashboard!$C$16),OR(Dashboard!$C$17="All",J82=Dashboard!$C$17)),1,0)</f>
        <v>1</v>
      </c>
      <c r="P82" s="24">
        <f>IF(AND(L82=1,OR(Dashboard!$C$13="All",A82=Dashboard!$C$13),OR(Dashboard!$C$14="All",B82=Dashboard!$C$14),OR(Dashboard!$C$15="All",C82=Dashboard!$C$15),OR(Dashboard!$C$17="All",J82=Dashboard!$C$17)),1,0)</f>
        <v>1</v>
      </c>
      <c r="Q82" s="24">
        <f>IF(AND(L82=1,OR(Dashboard!$C$14="All",B82=Dashboard!$C$14),OR(Dashboard!$C$15="All",C82=Dashboard!$C$15),OR(Dashboard!$C$16="All",K82=Dashboard!$C$16),OR(Dashboard!$C$17="All",J82=Dashboard!$C$17)),1,0)</f>
        <v>1</v>
      </c>
      <c r="R82" s="24">
        <f>IF(AND(L82=1,OR(Dashboard!$C$13="All",A82=Dashboard!$C$13),OR(Dashboard!$C$14="All",B82=Dashboard!$C$14),OR(Dashboard!$C$15="All",C82=Dashboard!$C$15),OR(Dashboard!$C$16="All",K82=Dashboard!$C$16)),1,0)</f>
        <v>1</v>
      </c>
      <c r="S82" s="24">
        <f t="shared" si="3"/>
        <v>81</v>
      </c>
      <c r="T82" s="24" t="s">
        <v>279</v>
      </c>
      <c r="V82" s="24" t="s">
        <v>157</v>
      </c>
    </row>
    <row r="83" ht="15.75" customHeight="1">
      <c r="A83" s="10" t="s">
        <v>139</v>
      </c>
      <c r="B83" s="13" t="s">
        <v>28</v>
      </c>
      <c r="C83" s="10" t="s">
        <v>280</v>
      </c>
      <c r="D83" s="13">
        <v>2.0</v>
      </c>
      <c r="E83" s="14">
        <v>25.0</v>
      </c>
      <c r="F83" s="15">
        <f t="shared" si="1"/>
        <v>50</v>
      </c>
      <c r="G83" s="6">
        <v>46225.0</v>
      </c>
      <c r="H83" s="22">
        <v>23.0</v>
      </c>
      <c r="I83" s="16">
        <f t="shared" si="2"/>
        <v>46386</v>
      </c>
      <c r="J83" s="13" t="s">
        <v>25</v>
      </c>
      <c r="K83" s="11" t="s">
        <v>26</v>
      </c>
      <c r="L83" s="24">
        <f>IF(A83="","",IF(OR(G83="",AND(G83&gt;=Dashboard!$C$18,G83&lt;=Dashboard!$C$19)),1,0))</f>
        <v>1</v>
      </c>
      <c r="M83" s="24">
        <f>IF(AND(L83=1,OR(Dashboard!$C$13="All",A83=Dashboard!$C$13),OR(Dashboard!$C$14="All",B83=Dashboard!$C$14),OR(Dashboard!$C$15="All",C83=Dashboard!$C$15),OR(Dashboard!$C$16="All",K83=Dashboard!$C$16),OR(Dashboard!$C$17="All",J83=Dashboard!$C$17)),1,0)</f>
        <v>1</v>
      </c>
      <c r="N83" s="24">
        <f>IF(AND(L83=1,OR(Dashboard!$C$13="All",A83=Dashboard!$C$13),OR(Dashboard!$C$14="All",B83=Dashboard!$C$14),OR(Dashboard!$C$16="All",K83=Dashboard!$C$16),OR(Dashboard!$C$17="All",J83=Dashboard!$C$17)),1,0)</f>
        <v>1</v>
      </c>
      <c r="O83" s="24">
        <f>IF(AND(L83=1,OR(Dashboard!$C$13="All",A83=Dashboard!$C$13),OR(Dashboard!$C$15="All",C83=Dashboard!$C$15),OR(Dashboard!$C$16="All",K83=Dashboard!$C$16),OR(Dashboard!$C$17="All",J83=Dashboard!$C$17)),1,0)</f>
        <v>1</v>
      </c>
      <c r="P83" s="24">
        <f>IF(AND(L83=1,OR(Dashboard!$C$13="All",A83=Dashboard!$C$13),OR(Dashboard!$C$14="All",B83=Dashboard!$C$14),OR(Dashboard!$C$15="All",C83=Dashboard!$C$15),OR(Dashboard!$C$17="All",J83=Dashboard!$C$17)),1,0)</f>
        <v>1</v>
      </c>
      <c r="Q83" s="24">
        <f>IF(AND(L83=1,OR(Dashboard!$C$14="All",B83=Dashboard!$C$14),OR(Dashboard!$C$15="All",C83=Dashboard!$C$15),OR(Dashboard!$C$16="All",K83=Dashboard!$C$16),OR(Dashboard!$C$17="All",J83=Dashboard!$C$17)),1,0)</f>
        <v>1</v>
      </c>
      <c r="R83" s="24">
        <f>IF(AND(L83=1,OR(Dashboard!$C$13="All",A83=Dashboard!$C$13),OR(Dashboard!$C$14="All",B83=Dashboard!$C$14),OR(Dashboard!$C$15="All",C83=Dashboard!$C$15),OR(Dashboard!$C$16="All",K83=Dashboard!$C$16)),1,0)</f>
        <v>1</v>
      </c>
      <c r="S83" s="24">
        <f t="shared" si="3"/>
        <v>82</v>
      </c>
      <c r="T83" s="24" t="s">
        <v>281</v>
      </c>
      <c r="V83" s="24" t="s">
        <v>282</v>
      </c>
    </row>
    <row r="84" ht="15.75" customHeight="1">
      <c r="A84" s="3" t="s">
        <v>139</v>
      </c>
      <c r="B84" s="4" t="s">
        <v>32</v>
      </c>
      <c r="C84" s="3" t="s">
        <v>283</v>
      </c>
      <c r="D84" s="4">
        <v>1.0</v>
      </c>
      <c r="E84" s="17">
        <v>245.0</v>
      </c>
      <c r="F84" s="5">
        <f t="shared" si="1"/>
        <v>245</v>
      </c>
      <c r="G84" s="6">
        <v>46226.0</v>
      </c>
      <c r="H84" s="22">
        <v>24.0</v>
      </c>
      <c r="I84" s="7">
        <f t="shared" si="2"/>
        <v>46394</v>
      </c>
      <c r="J84" s="4" t="s">
        <v>25</v>
      </c>
      <c r="K84" s="8" t="s">
        <v>48</v>
      </c>
      <c r="L84" s="24">
        <f>IF(A84="","",IF(OR(G84="",AND(G84&gt;=Dashboard!$C$18,G84&lt;=Dashboard!$C$19)),1,0))</f>
        <v>1</v>
      </c>
      <c r="M84" s="24">
        <f>IF(AND(L84=1,OR(Dashboard!$C$13="All",A84=Dashboard!$C$13),OR(Dashboard!$C$14="All",B84=Dashboard!$C$14),OR(Dashboard!$C$15="All",C84=Dashboard!$C$15),OR(Dashboard!$C$16="All",K84=Dashboard!$C$16),OR(Dashboard!$C$17="All",J84=Dashboard!$C$17)),1,0)</f>
        <v>1</v>
      </c>
      <c r="N84" s="24">
        <f>IF(AND(L84=1,OR(Dashboard!$C$13="All",A84=Dashboard!$C$13),OR(Dashboard!$C$14="All",B84=Dashboard!$C$14),OR(Dashboard!$C$16="All",K84=Dashboard!$C$16),OR(Dashboard!$C$17="All",J84=Dashboard!$C$17)),1,0)</f>
        <v>1</v>
      </c>
      <c r="O84" s="24">
        <f>IF(AND(L84=1,OR(Dashboard!$C$13="All",A84=Dashboard!$C$13),OR(Dashboard!$C$15="All",C84=Dashboard!$C$15),OR(Dashboard!$C$16="All",K84=Dashboard!$C$16),OR(Dashboard!$C$17="All",J84=Dashboard!$C$17)),1,0)</f>
        <v>1</v>
      </c>
      <c r="P84" s="24">
        <f>IF(AND(L84=1,OR(Dashboard!$C$13="All",A84=Dashboard!$C$13),OR(Dashboard!$C$14="All",B84=Dashboard!$C$14),OR(Dashboard!$C$15="All",C84=Dashboard!$C$15),OR(Dashboard!$C$17="All",J84=Dashboard!$C$17)),1,0)</f>
        <v>1</v>
      </c>
      <c r="Q84" s="24">
        <f>IF(AND(L84=1,OR(Dashboard!$C$14="All",B84=Dashboard!$C$14),OR(Dashboard!$C$15="All",C84=Dashboard!$C$15),OR(Dashboard!$C$16="All",K84=Dashboard!$C$16),OR(Dashboard!$C$17="All",J84=Dashboard!$C$17)),1,0)</f>
        <v>1</v>
      </c>
      <c r="R84" s="24">
        <f>IF(AND(L84=1,OR(Dashboard!$C$13="All",A84=Dashboard!$C$13),OR(Dashboard!$C$14="All",B84=Dashboard!$C$14),OR(Dashboard!$C$15="All",C84=Dashboard!$C$15),OR(Dashboard!$C$16="All",K84=Dashboard!$C$16)),1,0)</f>
        <v>1</v>
      </c>
      <c r="S84" s="24">
        <f t="shared" si="3"/>
        <v>83</v>
      </c>
      <c r="T84" s="24" t="s">
        <v>284</v>
      </c>
      <c r="V84" s="24" t="s">
        <v>285</v>
      </c>
    </row>
    <row r="85" ht="15.75" customHeight="1">
      <c r="A85" s="10" t="s">
        <v>143</v>
      </c>
      <c r="B85" s="13" t="s">
        <v>131</v>
      </c>
      <c r="C85" s="10" t="s">
        <v>65</v>
      </c>
      <c r="D85" s="13">
        <v>5000.0</v>
      </c>
      <c r="E85" s="14">
        <v>2555.0</v>
      </c>
      <c r="F85" s="15">
        <f t="shared" si="1"/>
        <v>12775000</v>
      </c>
      <c r="G85" s="6">
        <v>46227.0</v>
      </c>
      <c r="H85" s="22">
        <v>23.0</v>
      </c>
      <c r="I85" s="16">
        <f t="shared" si="2"/>
        <v>46388</v>
      </c>
      <c r="J85" s="13" t="s">
        <v>25</v>
      </c>
      <c r="K85" s="13" t="s">
        <v>31</v>
      </c>
      <c r="L85" s="24">
        <f>IF(A85="","",IF(OR(G85="",AND(G85&gt;=Dashboard!$C$18,G85&lt;=Dashboard!$C$19)),1,0))</f>
        <v>1</v>
      </c>
      <c r="M85" s="24">
        <f>IF(AND(L85=1,OR(Dashboard!$C$13="All",A85=Dashboard!$C$13),OR(Dashboard!$C$14="All",B85=Dashboard!$C$14),OR(Dashboard!$C$15="All",C85=Dashboard!$C$15),OR(Dashboard!$C$16="All",K85=Dashboard!$C$16),OR(Dashboard!$C$17="All",J85=Dashboard!$C$17)),1,0)</f>
        <v>1</v>
      </c>
      <c r="N85" s="24">
        <f>IF(AND(L85=1,OR(Dashboard!$C$13="All",A85=Dashboard!$C$13),OR(Dashboard!$C$14="All",B85=Dashboard!$C$14),OR(Dashboard!$C$16="All",K85=Dashboard!$C$16),OR(Dashboard!$C$17="All",J85=Dashboard!$C$17)),1,0)</f>
        <v>1</v>
      </c>
      <c r="O85" s="24">
        <f>IF(AND(L85=1,OR(Dashboard!$C$13="All",A85=Dashboard!$C$13),OR(Dashboard!$C$15="All",C85=Dashboard!$C$15),OR(Dashboard!$C$16="All",K85=Dashboard!$C$16),OR(Dashboard!$C$17="All",J85=Dashboard!$C$17)),1,0)</f>
        <v>1</v>
      </c>
      <c r="P85" s="24">
        <f>IF(AND(L85=1,OR(Dashboard!$C$13="All",A85=Dashboard!$C$13),OR(Dashboard!$C$14="All",B85=Dashboard!$C$14),OR(Dashboard!$C$15="All",C85=Dashboard!$C$15),OR(Dashboard!$C$17="All",J85=Dashboard!$C$17)),1,0)</f>
        <v>1</v>
      </c>
      <c r="Q85" s="24">
        <f>IF(AND(L85=1,OR(Dashboard!$C$14="All",B85=Dashboard!$C$14),OR(Dashboard!$C$15="All",C85=Dashboard!$C$15),OR(Dashboard!$C$16="All",K85=Dashboard!$C$16),OR(Dashboard!$C$17="All",J85=Dashboard!$C$17)),1,0)</f>
        <v>1</v>
      </c>
      <c r="R85" s="24">
        <f>IF(AND(L85=1,OR(Dashboard!$C$13="All",A85=Dashboard!$C$13),OR(Dashboard!$C$14="All",B85=Dashboard!$C$14),OR(Dashboard!$C$15="All",C85=Dashboard!$C$15),OR(Dashboard!$C$16="All",K85=Dashboard!$C$16)),1,0)</f>
        <v>1</v>
      </c>
      <c r="S85" s="24">
        <f t="shared" si="3"/>
        <v>84</v>
      </c>
      <c r="T85" s="24" t="s">
        <v>286</v>
      </c>
      <c r="V85" s="24" t="s">
        <v>287</v>
      </c>
    </row>
    <row r="86" ht="15.75" customHeight="1">
      <c r="A86" s="3" t="s">
        <v>143</v>
      </c>
      <c r="B86" s="4" t="s">
        <v>137</v>
      </c>
      <c r="C86" s="3" t="s">
        <v>288</v>
      </c>
      <c r="D86" s="4">
        <v>1.0</v>
      </c>
      <c r="E86" s="17">
        <v>255.0</v>
      </c>
      <c r="F86" s="5">
        <f t="shared" si="1"/>
        <v>255</v>
      </c>
      <c r="G86" s="6">
        <v>46228.0</v>
      </c>
      <c r="H86" s="22">
        <v>21.0</v>
      </c>
      <c r="I86" s="7">
        <f t="shared" si="2"/>
        <v>46375</v>
      </c>
      <c r="J86" s="4" t="s">
        <v>25</v>
      </c>
      <c r="K86" s="4" t="s">
        <v>31</v>
      </c>
      <c r="L86" s="24">
        <f>IF(A86="","",IF(OR(G86="",AND(G86&gt;=Dashboard!$C$18,G86&lt;=Dashboard!$C$19)),1,0))</f>
        <v>1</v>
      </c>
      <c r="M86" s="24">
        <f>IF(AND(L86=1,OR(Dashboard!$C$13="All",A86=Dashboard!$C$13),OR(Dashboard!$C$14="All",B86=Dashboard!$C$14),OR(Dashboard!$C$15="All",C86=Dashboard!$C$15),OR(Dashboard!$C$16="All",K86=Dashboard!$C$16),OR(Dashboard!$C$17="All",J86=Dashboard!$C$17)),1,0)</f>
        <v>1</v>
      </c>
      <c r="N86" s="24">
        <f>IF(AND(L86=1,OR(Dashboard!$C$13="All",A86=Dashboard!$C$13),OR(Dashboard!$C$14="All",B86=Dashboard!$C$14),OR(Dashboard!$C$16="All",K86=Dashboard!$C$16),OR(Dashboard!$C$17="All",J86=Dashboard!$C$17)),1,0)</f>
        <v>1</v>
      </c>
      <c r="O86" s="24">
        <f>IF(AND(L86=1,OR(Dashboard!$C$13="All",A86=Dashboard!$C$13),OR(Dashboard!$C$15="All",C86=Dashboard!$C$15),OR(Dashboard!$C$16="All",K86=Dashboard!$C$16),OR(Dashboard!$C$17="All",J86=Dashboard!$C$17)),1,0)</f>
        <v>1</v>
      </c>
      <c r="P86" s="24">
        <f>IF(AND(L86=1,OR(Dashboard!$C$13="All",A86=Dashboard!$C$13),OR(Dashboard!$C$14="All",B86=Dashboard!$C$14),OR(Dashboard!$C$15="All",C86=Dashboard!$C$15),OR(Dashboard!$C$17="All",J86=Dashboard!$C$17)),1,0)</f>
        <v>1</v>
      </c>
      <c r="Q86" s="24">
        <f>IF(AND(L86=1,OR(Dashboard!$C$14="All",B86=Dashboard!$C$14),OR(Dashboard!$C$15="All",C86=Dashboard!$C$15),OR(Dashboard!$C$16="All",K86=Dashboard!$C$16),OR(Dashboard!$C$17="All",J86=Dashboard!$C$17)),1,0)</f>
        <v>1</v>
      </c>
      <c r="R86" s="24">
        <f>IF(AND(L86=1,OR(Dashboard!$C$13="All",A86=Dashboard!$C$13),OR(Dashboard!$C$14="All",B86=Dashboard!$C$14),OR(Dashboard!$C$15="All",C86=Dashboard!$C$15),OR(Dashboard!$C$16="All",K86=Dashboard!$C$16)),1,0)</f>
        <v>1</v>
      </c>
      <c r="S86" s="24">
        <f t="shared" si="3"/>
        <v>85</v>
      </c>
      <c r="T86" s="24" t="s">
        <v>289</v>
      </c>
      <c r="V86" s="24" t="s">
        <v>290</v>
      </c>
    </row>
    <row r="87" ht="15.75" customHeight="1">
      <c r="A87" s="10" t="s">
        <v>143</v>
      </c>
      <c r="B87" s="13" t="s">
        <v>137</v>
      </c>
      <c r="C87" s="10" t="s">
        <v>73</v>
      </c>
      <c r="D87" s="13">
        <v>2.0</v>
      </c>
      <c r="E87" s="14">
        <v>45.0</v>
      </c>
      <c r="F87" s="15">
        <f t="shared" si="1"/>
        <v>90</v>
      </c>
      <c r="G87" s="6">
        <v>46229.0</v>
      </c>
      <c r="H87" s="22">
        <v>24.0</v>
      </c>
      <c r="I87" s="16">
        <f t="shared" si="2"/>
        <v>46397</v>
      </c>
      <c r="J87" s="13" t="s">
        <v>25</v>
      </c>
      <c r="K87" s="13" t="s">
        <v>31</v>
      </c>
      <c r="L87" s="24">
        <f>IF(A87="","",IF(OR(G87="",AND(G87&gt;=Dashboard!$C$18,G87&lt;=Dashboard!$C$19)),1,0))</f>
        <v>1</v>
      </c>
      <c r="M87" s="24">
        <f>IF(AND(L87=1,OR(Dashboard!$C$13="All",A87=Dashboard!$C$13),OR(Dashboard!$C$14="All",B87=Dashboard!$C$14),OR(Dashboard!$C$15="All",C87=Dashboard!$C$15),OR(Dashboard!$C$16="All",K87=Dashboard!$C$16),OR(Dashboard!$C$17="All",J87=Dashboard!$C$17)),1,0)</f>
        <v>1</v>
      </c>
      <c r="N87" s="24">
        <f>IF(AND(L87=1,OR(Dashboard!$C$13="All",A87=Dashboard!$C$13),OR(Dashboard!$C$14="All",B87=Dashboard!$C$14),OR(Dashboard!$C$16="All",K87=Dashboard!$C$16),OR(Dashboard!$C$17="All",J87=Dashboard!$C$17)),1,0)</f>
        <v>1</v>
      </c>
      <c r="O87" s="24">
        <f>IF(AND(L87=1,OR(Dashboard!$C$13="All",A87=Dashboard!$C$13),OR(Dashboard!$C$15="All",C87=Dashboard!$C$15),OR(Dashboard!$C$16="All",K87=Dashboard!$C$16),OR(Dashboard!$C$17="All",J87=Dashboard!$C$17)),1,0)</f>
        <v>1</v>
      </c>
      <c r="P87" s="24">
        <f>IF(AND(L87=1,OR(Dashboard!$C$13="All",A87=Dashboard!$C$13),OR(Dashboard!$C$14="All",B87=Dashboard!$C$14),OR(Dashboard!$C$15="All",C87=Dashboard!$C$15),OR(Dashboard!$C$17="All",J87=Dashboard!$C$17)),1,0)</f>
        <v>1</v>
      </c>
      <c r="Q87" s="24">
        <f>IF(AND(L87=1,OR(Dashboard!$C$14="All",B87=Dashboard!$C$14),OR(Dashboard!$C$15="All",C87=Dashboard!$C$15),OR(Dashboard!$C$16="All",K87=Dashboard!$C$16),OR(Dashboard!$C$17="All",J87=Dashboard!$C$17)),1,0)</f>
        <v>1</v>
      </c>
      <c r="R87" s="24">
        <f>IF(AND(L87=1,OR(Dashboard!$C$13="All",A87=Dashboard!$C$13),OR(Dashboard!$C$14="All",B87=Dashboard!$C$14),OR(Dashboard!$C$15="All",C87=Dashboard!$C$15),OR(Dashboard!$C$16="All",K87=Dashboard!$C$16)),1,0)</f>
        <v>1</v>
      </c>
      <c r="S87" s="24">
        <f t="shared" si="3"/>
        <v>86</v>
      </c>
      <c r="T87" s="24" t="s">
        <v>291</v>
      </c>
      <c r="V87" s="24" t="s">
        <v>292</v>
      </c>
    </row>
    <row r="88" ht="15.75" customHeight="1">
      <c r="A88" s="3" t="s">
        <v>143</v>
      </c>
      <c r="B88" s="4" t="s">
        <v>39</v>
      </c>
      <c r="C88" s="3" t="s">
        <v>82</v>
      </c>
      <c r="D88" s="4">
        <v>1.0</v>
      </c>
      <c r="E88" s="17">
        <v>36.0</v>
      </c>
      <c r="F88" s="5">
        <f t="shared" si="1"/>
        <v>36</v>
      </c>
      <c r="G88" s="6">
        <v>46230.0</v>
      </c>
      <c r="H88" s="22">
        <v>22.0</v>
      </c>
      <c r="I88" s="7">
        <f t="shared" si="2"/>
        <v>46384</v>
      </c>
      <c r="J88" s="4" t="s">
        <v>25</v>
      </c>
      <c r="K88" s="4" t="s">
        <v>31</v>
      </c>
      <c r="L88" s="24">
        <f>IF(A88="","",IF(OR(G88="",AND(G88&gt;=Dashboard!$C$18,G88&lt;=Dashboard!$C$19)),1,0))</f>
        <v>1</v>
      </c>
      <c r="M88" s="24">
        <f>IF(AND(L88=1,OR(Dashboard!$C$13="All",A88=Dashboard!$C$13),OR(Dashboard!$C$14="All",B88=Dashboard!$C$14),OR(Dashboard!$C$15="All",C88=Dashboard!$C$15),OR(Dashboard!$C$16="All",K88=Dashboard!$C$16),OR(Dashboard!$C$17="All",J88=Dashboard!$C$17)),1,0)</f>
        <v>1</v>
      </c>
      <c r="N88" s="24">
        <f>IF(AND(L88=1,OR(Dashboard!$C$13="All",A88=Dashboard!$C$13),OR(Dashboard!$C$14="All",B88=Dashboard!$C$14),OR(Dashboard!$C$16="All",K88=Dashboard!$C$16),OR(Dashboard!$C$17="All",J88=Dashboard!$C$17)),1,0)</f>
        <v>1</v>
      </c>
      <c r="O88" s="24">
        <f>IF(AND(L88=1,OR(Dashboard!$C$13="All",A88=Dashboard!$C$13),OR(Dashboard!$C$15="All",C88=Dashboard!$C$15),OR(Dashboard!$C$16="All",K88=Dashboard!$C$16),OR(Dashboard!$C$17="All",J88=Dashboard!$C$17)),1,0)</f>
        <v>1</v>
      </c>
      <c r="P88" s="24">
        <f>IF(AND(L88=1,OR(Dashboard!$C$13="All",A88=Dashboard!$C$13),OR(Dashboard!$C$14="All",B88=Dashboard!$C$14),OR(Dashboard!$C$15="All",C88=Dashboard!$C$15),OR(Dashboard!$C$17="All",J88=Dashboard!$C$17)),1,0)</f>
        <v>1</v>
      </c>
      <c r="Q88" s="24">
        <f>IF(AND(L88=1,OR(Dashboard!$C$14="All",B88=Dashboard!$C$14),OR(Dashboard!$C$15="All",C88=Dashboard!$C$15),OR(Dashboard!$C$16="All",K88=Dashboard!$C$16),OR(Dashboard!$C$17="All",J88=Dashboard!$C$17)),1,0)</f>
        <v>1</v>
      </c>
      <c r="R88" s="24">
        <f>IF(AND(L88=1,OR(Dashboard!$C$13="All",A88=Dashboard!$C$13),OR(Dashboard!$C$14="All",B88=Dashboard!$C$14),OR(Dashboard!$C$15="All",C88=Dashboard!$C$15),OR(Dashboard!$C$16="All",K88=Dashboard!$C$16)),1,0)</f>
        <v>1</v>
      </c>
      <c r="S88" s="24">
        <f t="shared" si="3"/>
        <v>87</v>
      </c>
      <c r="T88" s="24" t="s">
        <v>293</v>
      </c>
      <c r="V88" s="24" t="s">
        <v>173</v>
      </c>
    </row>
    <row r="89" ht="15.75" customHeight="1">
      <c r="A89" s="10" t="s">
        <v>146</v>
      </c>
      <c r="B89" s="13" t="s">
        <v>137</v>
      </c>
      <c r="C89" s="10" t="s">
        <v>294</v>
      </c>
      <c r="D89" s="13">
        <v>2.0</v>
      </c>
      <c r="E89" s="14">
        <v>96.0</v>
      </c>
      <c r="F89" s="15">
        <f t="shared" si="1"/>
        <v>192</v>
      </c>
      <c r="G89" s="6">
        <v>46231.0</v>
      </c>
      <c r="H89" s="22">
        <v>23.0</v>
      </c>
      <c r="I89" s="16">
        <f t="shared" si="2"/>
        <v>46392</v>
      </c>
      <c r="J89" s="13" t="s">
        <v>25</v>
      </c>
      <c r="K89" s="13" t="s">
        <v>31</v>
      </c>
      <c r="L89" s="24">
        <f>IF(A89="","",IF(OR(G89="",AND(G89&gt;=Dashboard!$C$18,G89&lt;=Dashboard!$C$19)),1,0))</f>
        <v>1</v>
      </c>
      <c r="M89" s="24">
        <f>IF(AND(L89=1,OR(Dashboard!$C$13="All",A89=Dashboard!$C$13),OR(Dashboard!$C$14="All",B89=Dashboard!$C$14),OR(Dashboard!$C$15="All",C89=Dashboard!$C$15),OR(Dashboard!$C$16="All",K89=Dashboard!$C$16),OR(Dashboard!$C$17="All",J89=Dashboard!$C$17)),1,0)</f>
        <v>1</v>
      </c>
      <c r="N89" s="24">
        <f>IF(AND(L89=1,OR(Dashboard!$C$13="All",A89=Dashboard!$C$13),OR(Dashboard!$C$14="All",B89=Dashboard!$C$14),OR(Dashboard!$C$16="All",K89=Dashboard!$C$16),OR(Dashboard!$C$17="All",J89=Dashboard!$C$17)),1,0)</f>
        <v>1</v>
      </c>
      <c r="O89" s="24">
        <f>IF(AND(L89=1,OR(Dashboard!$C$13="All",A89=Dashboard!$C$13),OR(Dashboard!$C$15="All",C89=Dashboard!$C$15),OR(Dashboard!$C$16="All",K89=Dashboard!$C$16),OR(Dashboard!$C$17="All",J89=Dashboard!$C$17)),1,0)</f>
        <v>1</v>
      </c>
      <c r="P89" s="24">
        <f>IF(AND(L89=1,OR(Dashboard!$C$13="All",A89=Dashboard!$C$13),OR(Dashboard!$C$14="All",B89=Dashboard!$C$14),OR(Dashboard!$C$15="All",C89=Dashboard!$C$15),OR(Dashboard!$C$17="All",J89=Dashboard!$C$17)),1,0)</f>
        <v>1</v>
      </c>
      <c r="Q89" s="24">
        <f>IF(AND(L89=1,OR(Dashboard!$C$14="All",B89=Dashboard!$C$14),OR(Dashboard!$C$15="All",C89=Dashboard!$C$15),OR(Dashboard!$C$16="All",K89=Dashboard!$C$16),OR(Dashboard!$C$17="All",J89=Dashboard!$C$17)),1,0)</f>
        <v>1</v>
      </c>
      <c r="R89" s="24">
        <f>IF(AND(L89=1,OR(Dashboard!$C$13="All",A89=Dashboard!$C$13),OR(Dashboard!$C$14="All",B89=Dashboard!$C$14),OR(Dashboard!$C$15="All",C89=Dashboard!$C$15),OR(Dashboard!$C$16="All",K89=Dashboard!$C$16)),1,0)</f>
        <v>1</v>
      </c>
      <c r="S89" s="24">
        <f t="shared" si="3"/>
        <v>88</v>
      </c>
      <c r="T89" s="24" t="s">
        <v>295</v>
      </c>
      <c r="V89" s="24" t="s">
        <v>288</v>
      </c>
    </row>
    <row r="90" ht="15.75" customHeight="1">
      <c r="A90" s="3" t="s">
        <v>146</v>
      </c>
      <c r="B90" s="4" t="s">
        <v>137</v>
      </c>
      <c r="C90" s="3" t="s">
        <v>296</v>
      </c>
      <c r="D90" s="4">
        <v>2.0</v>
      </c>
      <c r="E90" s="17">
        <v>8.0</v>
      </c>
      <c r="F90" s="5">
        <f t="shared" si="1"/>
        <v>16</v>
      </c>
      <c r="G90" s="6">
        <v>46232.0</v>
      </c>
      <c r="H90" s="22">
        <v>21.0</v>
      </c>
      <c r="I90" s="7">
        <f t="shared" si="2"/>
        <v>46379</v>
      </c>
      <c r="J90" s="4" t="s">
        <v>25</v>
      </c>
      <c r="K90" s="8" t="s">
        <v>26</v>
      </c>
      <c r="L90" s="24">
        <f>IF(A90="","",IF(OR(G90="",AND(G90&gt;=Dashboard!$C$18,G90&lt;=Dashboard!$C$19)),1,0))</f>
        <v>1</v>
      </c>
      <c r="M90" s="24">
        <f>IF(AND(L90=1,OR(Dashboard!$C$13="All",A90=Dashboard!$C$13),OR(Dashboard!$C$14="All",B90=Dashboard!$C$14),OR(Dashboard!$C$15="All",C90=Dashboard!$C$15),OR(Dashboard!$C$16="All",K90=Dashboard!$C$16),OR(Dashboard!$C$17="All",J90=Dashboard!$C$17)),1,0)</f>
        <v>1</v>
      </c>
      <c r="N90" s="24">
        <f>IF(AND(L90=1,OR(Dashboard!$C$13="All",A90=Dashboard!$C$13),OR(Dashboard!$C$14="All",B90=Dashboard!$C$14),OR(Dashboard!$C$16="All",K90=Dashboard!$C$16),OR(Dashboard!$C$17="All",J90=Dashboard!$C$17)),1,0)</f>
        <v>1</v>
      </c>
      <c r="O90" s="24">
        <f>IF(AND(L90=1,OR(Dashboard!$C$13="All",A90=Dashboard!$C$13),OR(Dashboard!$C$15="All",C90=Dashboard!$C$15),OR(Dashboard!$C$16="All",K90=Dashboard!$C$16),OR(Dashboard!$C$17="All",J90=Dashboard!$C$17)),1,0)</f>
        <v>1</v>
      </c>
      <c r="P90" s="24">
        <f>IF(AND(L90=1,OR(Dashboard!$C$13="All",A90=Dashboard!$C$13),OR(Dashboard!$C$14="All",B90=Dashboard!$C$14),OR(Dashboard!$C$15="All",C90=Dashboard!$C$15),OR(Dashboard!$C$17="All",J90=Dashboard!$C$17)),1,0)</f>
        <v>1</v>
      </c>
      <c r="Q90" s="24">
        <f>IF(AND(L90=1,OR(Dashboard!$C$14="All",B90=Dashboard!$C$14),OR(Dashboard!$C$15="All",C90=Dashboard!$C$15),OR(Dashboard!$C$16="All",K90=Dashboard!$C$16),OR(Dashboard!$C$17="All",J90=Dashboard!$C$17)),1,0)</f>
        <v>1</v>
      </c>
      <c r="R90" s="24">
        <f>IF(AND(L90=1,OR(Dashboard!$C$13="All",A90=Dashboard!$C$13),OR(Dashboard!$C$14="All",B90=Dashboard!$C$14),OR(Dashboard!$C$15="All",C90=Dashboard!$C$15),OR(Dashboard!$C$16="All",K90=Dashboard!$C$16)),1,0)</f>
        <v>1</v>
      </c>
      <c r="S90" s="24">
        <f t="shared" si="3"/>
        <v>89</v>
      </c>
      <c r="T90" s="24" t="s">
        <v>297</v>
      </c>
      <c r="V90" s="24" t="s">
        <v>298</v>
      </c>
    </row>
    <row r="91" ht="15.75" customHeight="1">
      <c r="A91" s="10" t="s">
        <v>105</v>
      </c>
      <c r="B91" s="13"/>
      <c r="C91" s="10" t="s">
        <v>299</v>
      </c>
      <c r="D91" s="13">
        <v>2.0</v>
      </c>
      <c r="E91" s="14">
        <v>5.0</v>
      </c>
      <c r="F91" s="15">
        <f t="shared" si="1"/>
        <v>10</v>
      </c>
      <c r="G91" s="6">
        <v>46233.0</v>
      </c>
      <c r="H91" s="22">
        <v>24.0</v>
      </c>
      <c r="I91" s="16">
        <f t="shared" si="2"/>
        <v>46401</v>
      </c>
      <c r="J91" s="13" t="s">
        <v>25</v>
      </c>
      <c r="K91" s="13" t="s">
        <v>31</v>
      </c>
      <c r="L91" s="24">
        <f>IF(A91="","",IF(OR(G91="",AND(G91&gt;=Dashboard!$C$18,G91&lt;=Dashboard!$C$19)),1,0))</f>
        <v>1</v>
      </c>
      <c r="M91" s="24">
        <f>IF(AND(L91=1,OR(Dashboard!$C$13="All",A91=Dashboard!$C$13),OR(Dashboard!$C$14="All",B91=Dashboard!$C$14),OR(Dashboard!$C$15="All",C91=Dashboard!$C$15),OR(Dashboard!$C$16="All",K91=Dashboard!$C$16),OR(Dashboard!$C$17="All",J91=Dashboard!$C$17)),1,0)</f>
        <v>1</v>
      </c>
      <c r="N91" s="24">
        <f>IF(AND(L91=1,OR(Dashboard!$C$13="All",A91=Dashboard!$C$13),OR(Dashboard!$C$14="All",B91=Dashboard!$C$14),OR(Dashboard!$C$16="All",K91=Dashboard!$C$16),OR(Dashboard!$C$17="All",J91=Dashboard!$C$17)),1,0)</f>
        <v>1</v>
      </c>
      <c r="O91" s="24">
        <f>IF(AND(L91=1,OR(Dashboard!$C$13="All",A91=Dashboard!$C$13),OR(Dashboard!$C$15="All",C91=Dashboard!$C$15),OR(Dashboard!$C$16="All",K91=Dashboard!$C$16),OR(Dashboard!$C$17="All",J91=Dashboard!$C$17)),1,0)</f>
        <v>1</v>
      </c>
      <c r="P91" s="24">
        <f>IF(AND(L91=1,OR(Dashboard!$C$13="All",A91=Dashboard!$C$13),OR(Dashboard!$C$14="All",B91=Dashboard!$C$14),OR(Dashboard!$C$15="All",C91=Dashboard!$C$15),OR(Dashboard!$C$17="All",J91=Dashboard!$C$17)),1,0)</f>
        <v>1</v>
      </c>
      <c r="Q91" s="24">
        <f>IF(AND(L91=1,OR(Dashboard!$C$14="All",B91=Dashboard!$C$14),OR(Dashboard!$C$15="All",C91=Dashboard!$C$15),OR(Dashboard!$C$16="All",K91=Dashboard!$C$16),OR(Dashboard!$C$17="All",J91=Dashboard!$C$17)),1,0)</f>
        <v>1</v>
      </c>
      <c r="R91" s="24">
        <f>IF(AND(L91=1,OR(Dashboard!$C$13="All",A91=Dashboard!$C$13),OR(Dashboard!$C$14="All",B91=Dashboard!$C$14),OR(Dashboard!$C$15="All",C91=Dashboard!$C$15),OR(Dashboard!$C$16="All",K91=Dashboard!$C$16)),1,0)</f>
        <v>1</v>
      </c>
      <c r="S91" s="24">
        <f t="shared" si="3"/>
        <v>90</v>
      </c>
      <c r="T91" s="24" t="s">
        <v>300</v>
      </c>
      <c r="V91" s="24" t="s">
        <v>301</v>
      </c>
    </row>
    <row r="92" ht="15.75" customHeight="1">
      <c r="A92" s="3" t="s">
        <v>105</v>
      </c>
      <c r="B92" s="4" t="s">
        <v>56</v>
      </c>
      <c r="C92" s="3" t="s">
        <v>302</v>
      </c>
      <c r="D92" s="4">
        <v>2.0</v>
      </c>
      <c r="E92" s="17">
        <v>4.0</v>
      </c>
      <c r="F92" s="5">
        <f t="shared" si="1"/>
        <v>8</v>
      </c>
      <c r="G92" s="6">
        <v>46234.0</v>
      </c>
      <c r="H92" s="22">
        <v>20.0</v>
      </c>
      <c r="I92" s="7">
        <f t="shared" si="2"/>
        <v>46374</v>
      </c>
      <c r="J92" s="4" t="s">
        <v>25</v>
      </c>
      <c r="K92" s="8" t="s">
        <v>37</v>
      </c>
      <c r="L92" s="24">
        <f>IF(A92="","",IF(OR(G92="",AND(G92&gt;=Dashboard!$C$18,G92&lt;=Dashboard!$C$19)),1,0))</f>
        <v>1</v>
      </c>
      <c r="M92" s="24">
        <f>IF(AND(L92=1,OR(Dashboard!$C$13="All",A92=Dashboard!$C$13),OR(Dashboard!$C$14="All",B92=Dashboard!$C$14),OR(Dashboard!$C$15="All",C92=Dashboard!$C$15),OR(Dashboard!$C$16="All",K92=Dashboard!$C$16),OR(Dashboard!$C$17="All",J92=Dashboard!$C$17)),1,0)</f>
        <v>1</v>
      </c>
      <c r="N92" s="24">
        <f>IF(AND(L92=1,OR(Dashboard!$C$13="All",A92=Dashboard!$C$13),OR(Dashboard!$C$14="All",B92=Dashboard!$C$14),OR(Dashboard!$C$16="All",K92=Dashboard!$C$16),OR(Dashboard!$C$17="All",J92=Dashboard!$C$17)),1,0)</f>
        <v>1</v>
      </c>
      <c r="O92" s="24">
        <f>IF(AND(L92=1,OR(Dashboard!$C$13="All",A92=Dashboard!$C$13),OR(Dashboard!$C$15="All",C92=Dashboard!$C$15),OR(Dashboard!$C$16="All",K92=Dashboard!$C$16),OR(Dashboard!$C$17="All",J92=Dashboard!$C$17)),1,0)</f>
        <v>1</v>
      </c>
      <c r="P92" s="24">
        <f>IF(AND(L92=1,OR(Dashboard!$C$13="All",A92=Dashboard!$C$13),OR(Dashboard!$C$14="All",B92=Dashboard!$C$14),OR(Dashboard!$C$15="All",C92=Dashboard!$C$15),OR(Dashboard!$C$17="All",J92=Dashboard!$C$17)),1,0)</f>
        <v>1</v>
      </c>
      <c r="Q92" s="24">
        <f>IF(AND(L92=1,OR(Dashboard!$C$14="All",B92=Dashboard!$C$14),OR(Dashboard!$C$15="All",C92=Dashboard!$C$15),OR(Dashboard!$C$16="All",K92=Dashboard!$C$16),OR(Dashboard!$C$17="All",J92=Dashboard!$C$17)),1,0)</f>
        <v>1</v>
      </c>
      <c r="R92" s="24">
        <f>IF(AND(L92=1,OR(Dashboard!$C$13="All",A92=Dashboard!$C$13),OR(Dashboard!$C$14="All",B92=Dashboard!$C$14),OR(Dashboard!$C$15="All",C92=Dashboard!$C$15),OR(Dashboard!$C$16="All",K92=Dashboard!$C$16)),1,0)</f>
        <v>1</v>
      </c>
      <c r="S92" s="24">
        <f t="shared" si="3"/>
        <v>91</v>
      </c>
      <c r="T92" s="24" t="s">
        <v>303</v>
      </c>
      <c r="V92" s="24" t="s">
        <v>108</v>
      </c>
    </row>
    <row r="93" ht="15.75" customHeight="1">
      <c r="A93" s="10" t="s">
        <v>150</v>
      </c>
      <c r="B93" s="13" t="s">
        <v>34</v>
      </c>
      <c r="C93" s="10" t="s">
        <v>108</v>
      </c>
      <c r="D93" s="13">
        <v>3000.0</v>
      </c>
      <c r="E93" s="14">
        <v>2.0</v>
      </c>
      <c r="F93" s="15">
        <f t="shared" si="1"/>
        <v>6000</v>
      </c>
      <c r="G93" s="6">
        <v>46235.0</v>
      </c>
      <c r="H93" s="22">
        <v>16.0</v>
      </c>
      <c r="I93" s="16">
        <f t="shared" si="2"/>
        <v>46347</v>
      </c>
      <c r="J93" s="13" t="s">
        <v>25</v>
      </c>
      <c r="K93" s="11" t="s">
        <v>26</v>
      </c>
      <c r="L93" s="24">
        <f>IF(A93="","",IF(OR(G93="",AND(G93&gt;=Dashboard!$C$18,G93&lt;=Dashboard!$C$19)),1,0))</f>
        <v>1</v>
      </c>
      <c r="M93" s="24">
        <f>IF(AND(L93=1,OR(Dashboard!$C$13="All",A93=Dashboard!$C$13),OR(Dashboard!$C$14="All",B93=Dashboard!$C$14),OR(Dashboard!$C$15="All",C93=Dashboard!$C$15),OR(Dashboard!$C$16="All",K93=Dashboard!$C$16),OR(Dashboard!$C$17="All",J93=Dashboard!$C$17)),1,0)</f>
        <v>1</v>
      </c>
      <c r="N93" s="24">
        <f>IF(AND(L93=1,OR(Dashboard!$C$13="All",A93=Dashboard!$C$13),OR(Dashboard!$C$14="All",B93=Dashboard!$C$14),OR(Dashboard!$C$16="All",K93=Dashboard!$C$16),OR(Dashboard!$C$17="All",J93=Dashboard!$C$17)),1,0)</f>
        <v>1</v>
      </c>
      <c r="O93" s="24">
        <f>IF(AND(L93=1,OR(Dashboard!$C$13="All",A93=Dashboard!$C$13),OR(Dashboard!$C$15="All",C93=Dashboard!$C$15),OR(Dashboard!$C$16="All",K93=Dashboard!$C$16),OR(Dashboard!$C$17="All",J93=Dashboard!$C$17)),1,0)</f>
        <v>1</v>
      </c>
      <c r="P93" s="24">
        <f>IF(AND(L93=1,OR(Dashboard!$C$13="All",A93=Dashboard!$C$13),OR(Dashboard!$C$14="All",B93=Dashboard!$C$14),OR(Dashboard!$C$15="All",C93=Dashboard!$C$15),OR(Dashboard!$C$17="All",J93=Dashboard!$C$17)),1,0)</f>
        <v>1</v>
      </c>
      <c r="Q93" s="24">
        <f>IF(AND(L93=1,OR(Dashboard!$C$14="All",B93=Dashboard!$C$14),OR(Dashboard!$C$15="All",C93=Dashboard!$C$15),OR(Dashboard!$C$16="All",K93=Dashboard!$C$16),OR(Dashboard!$C$17="All",J93=Dashboard!$C$17)),1,0)</f>
        <v>1</v>
      </c>
      <c r="R93" s="24">
        <f>IF(AND(L93=1,OR(Dashboard!$C$13="All",A93=Dashboard!$C$13),OR(Dashboard!$C$14="All",B93=Dashboard!$C$14),OR(Dashboard!$C$15="All",C93=Dashboard!$C$15),OR(Dashboard!$C$16="All",K93=Dashboard!$C$16)),1,0)</f>
        <v>1</v>
      </c>
      <c r="S93" s="24">
        <f t="shared" si="3"/>
        <v>92</v>
      </c>
      <c r="T93" s="24" t="s">
        <v>304</v>
      </c>
      <c r="V93" s="24" t="s">
        <v>305</v>
      </c>
    </row>
    <row r="94" ht="15.75" customHeight="1">
      <c r="A94" s="3" t="s">
        <v>154</v>
      </c>
      <c r="B94" s="4" t="s">
        <v>34</v>
      </c>
      <c r="C94" s="3" t="s">
        <v>108</v>
      </c>
      <c r="D94" s="4">
        <v>25000.0</v>
      </c>
      <c r="E94" s="17">
        <v>36.0</v>
      </c>
      <c r="F94" s="5">
        <f t="shared" si="1"/>
        <v>900000</v>
      </c>
      <c r="G94" s="6">
        <v>46236.0</v>
      </c>
      <c r="H94" s="22">
        <v>16.0</v>
      </c>
      <c r="I94" s="7">
        <f t="shared" si="2"/>
        <v>46348</v>
      </c>
      <c r="J94" s="4" t="s">
        <v>25</v>
      </c>
      <c r="K94" s="8" t="s">
        <v>48</v>
      </c>
      <c r="L94" s="24">
        <f>IF(A94="","",IF(OR(G94="",AND(G94&gt;=Dashboard!$C$18,G94&lt;=Dashboard!$C$19)),1,0))</f>
        <v>1</v>
      </c>
      <c r="M94" s="24">
        <f>IF(AND(L94=1,OR(Dashboard!$C$13="All",A94=Dashboard!$C$13),OR(Dashboard!$C$14="All",B94=Dashboard!$C$14),OR(Dashboard!$C$15="All",C94=Dashboard!$C$15),OR(Dashboard!$C$16="All",K94=Dashboard!$C$16),OR(Dashboard!$C$17="All",J94=Dashboard!$C$17)),1,0)</f>
        <v>1</v>
      </c>
      <c r="N94" s="24">
        <f>IF(AND(L94=1,OR(Dashboard!$C$13="All",A94=Dashboard!$C$13),OR(Dashboard!$C$14="All",B94=Dashboard!$C$14),OR(Dashboard!$C$16="All",K94=Dashboard!$C$16),OR(Dashboard!$C$17="All",J94=Dashboard!$C$17)),1,0)</f>
        <v>1</v>
      </c>
      <c r="O94" s="24">
        <f>IF(AND(L94=1,OR(Dashboard!$C$13="All",A94=Dashboard!$C$13),OR(Dashboard!$C$15="All",C94=Dashboard!$C$15),OR(Dashboard!$C$16="All",K94=Dashboard!$C$16),OR(Dashboard!$C$17="All",J94=Dashboard!$C$17)),1,0)</f>
        <v>1</v>
      </c>
      <c r="P94" s="24">
        <f>IF(AND(L94=1,OR(Dashboard!$C$13="All",A94=Dashboard!$C$13),OR(Dashboard!$C$14="All",B94=Dashboard!$C$14),OR(Dashboard!$C$15="All",C94=Dashboard!$C$15),OR(Dashboard!$C$17="All",J94=Dashboard!$C$17)),1,0)</f>
        <v>1</v>
      </c>
      <c r="Q94" s="24">
        <f>IF(AND(L94=1,OR(Dashboard!$C$14="All",B94=Dashboard!$C$14),OR(Dashboard!$C$15="All",C94=Dashboard!$C$15),OR(Dashboard!$C$16="All",K94=Dashboard!$C$16),OR(Dashboard!$C$17="All",J94=Dashboard!$C$17)),1,0)</f>
        <v>1</v>
      </c>
      <c r="R94" s="24">
        <f>IF(AND(L94=1,OR(Dashboard!$C$13="All",A94=Dashboard!$C$13),OR(Dashboard!$C$14="All",B94=Dashboard!$C$14),OR(Dashboard!$C$15="All",C94=Dashboard!$C$15),OR(Dashboard!$C$16="All",K94=Dashboard!$C$16)),1,0)</f>
        <v>1</v>
      </c>
      <c r="S94" s="24">
        <f t="shared" si="3"/>
        <v>93</v>
      </c>
      <c r="T94" s="24" t="s">
        <v>306</v>
      </c>
      <c r="V94" s="24" t="s">
        <v>307</v>
      </c>
    </row>
    <row r="95" ht="15.75" customHeight="1">
      <c r="A95" s="10" t="s">
        <v>158</v>
      </c>
      <c r="B95" s="13" t="s">
        <v>125</v>
      </c>
      <c r="C95" s="10" t="s">
        <v>308</v>
      </c>
      <c r="D95" s="13">
        <v>2.0</v>
      </c>
      <c r="E95" s="5">
        <v>2.0</v>
      </c>
      <c r="F95" s="15">
        <f t="shared" si="1"/>
        <v>4</v>
      </c>
      <c r="G95" s="6">
        <v>46237.0</v>
      </c>
      <c r="H95" s="22">
        <v>19.0</v>
      </c>
      <c r="I95" s="16">
        <f t="shared" si="2"/>
        <v>46370</v>
      </c>
      <c r="J95" s="13" t="s">
        <v>25</v>
      </c>
      <c r="K95" s="13" t="s">
        <v>31</v>
      </c>
      <c r="L95" s="24">
        <f>IF(A95="","",IF(OR(G95="",AND(G95&gt;=Dashboard!$C$18,G95&lt;=Dashboard!$C$19)),1,0))</f>
        <v>1</v>
      </c>
      <c r="M95" s="24">
        <f>IF(AND(L95=1,OR(Dashboard!$C$13="All",A95=Dashboard!$C$13),OR(Dashboard!$C$14="All",B95=Dashboard!$C$14),OR(Dashboard!$C$15="All",C95=Dashboard!$C$15),OR(Dashboard!$C$16="All",K95=Dashboard!$C$16),OR(Dashboard!$C$17="All",J95=Dashboard!$C$17)),1,0)</f>
        <v>1</v>
      </c>
      <c r="N95" s="24">
        <f>IF(AND(L95=1,OR(Dashboard!$C$13="All",A95=Dashboard!$C$13),OR(Dashboard!$C$14="All",B95=Dashboard!$C$14),OR(Dashboard!$C$16="All",K95=Dashboard!$C$16),OR(Dashboard!$C$17="All",J95=Dashboard!$C$17)),1,0)</f>
        <v>1</v>
      </c>
      <c r="O95" s="24">
        <f>IF(AND(L95=1,OR(Dashboard!$C$13="All",A95=Dashboard!$C$13),OR(Dashboard!$C$15="All",C95=Dashboard!$C$15),OR(Dashboard!$C$16="All",K95=Dashboard!$C$16),OR(Dashboard!$C$17="All",J95=Dashboard!$C$17)),1,0)</f>
        <v>1</v>
      </c>
      <c r="P95" s="24">
        <f>IF(AND(L95=1,OR(Dashboard!$C$13="All",A95=Dashboard!$C$13),OR(Dashboard!$C$14="All",B95=Dashboard!$C$14),OR(Dashboard!$C$15="All",C95=Dashboard!$C$15),OR(Dashboard!$C$17="All",J95=Dashboard!$C$17)),1,0)</f>
        <v>1</v>
      </c>
      <c r="Q95" s="24">
        <f>IF(AND(L95=1,OR(Dashboard!$C$14="All",B95=Dashboard!$C$14),OR(Dashboard!$C$15="All",C95=Dashboard!$C$15),OR(Dashboard!$C$16="All",K95=Dashboard!$C$16),OR(Dashboard!$C$17="All",J95=Dashboard!$C$17)),1,0)</f>
        <v>1</v>
      </c>
      <c r="R95" s="24">
        <f>IF(AND(L95=1,OR(Dashboard!$C$13="All",A95=Dashboard!$C$13),OR(Dashboard!$C$14="All",B95=Dashboard!$C$14),OR(Dashboard!$C$15="All",C95=Dashboard!$C$15),OR(Dashboard!$C$16="All",K95=Dashboard!$C$16)),1,0)</f>
        <v>1</v>
      </c>
      <c r="S95" s="24">
        <f t="shared" si="3"/>
        <v>94</v>
      </c>
      <c r="T95" s="24" t="s">
        <v>309</v>
      </c>
      <c r="V95" s="24" t="s">
        <v>310</v>
      </c>
    </row>
    <row r="96" ht="15.75" customHeight="1">
      <c r="A96" s="3" t="s">
        <v>158</v>
      </c>
      <c r="B96" s="4" t="s">
        <v>147</v>
      </c>
      <c r="C96" s="3" t="s">
        <v>299</v>
      </c>
      <c r="D96" s="4">
        <v>6.0</v>
      </c>
      <c r="E96" s="14">
        <v>5.0</v>
      </c>
      <c r="F96" s="5">
        <f t="shared" si="1"/>
        <v>30</v>
      </c>
      <c r="G96" s="6">
        <v>46238.0</v>
      </c>
      <c r="H96" s="22">
        <v>20.0</v>
      </c>
      <c r="I96" s="7">
        <f t="shared" si="2"/>
        <v>46378</v>
      </c>
      <c r="J96" s="4" t="s">
        <v>25</v>
      </c>
      <c r="K96" s="4" t="s">
        <v>31</v>
      </c>
      <c r="L96" s="24">
        <f>IF(A96="","",IF(OR(G96="",AND(G96&gt;=Dashboard!$C$18,G96&lt;=Dashboard!$C$19)),1,0))</f>
        <v>1</v>
      </c>
      <c r="M96" s="24">
        <f>IF(AND(L96=1,OR(Dashboard!$C$13="All",A96=Dashboard!$C$13),OR(Dashboard!$C$14="All",B96=Dashboard!$C$14),OR(Dashboard!$C$15="All",C96=Dashboard!$C$15),OR(Dashboard!$C$16="All",K96=Dashboard!$C$16),OR(Dashboard!$C$17="All",J96=Dashboard!$C$17)),1,0)</f>
        <v>1</v>
      </c>
      <c r="N96" s="24">
        <f>IF(AND(L96=1,OR(Dashboard!$C$13="All",A96=Dashboard!$C$13),OR(Dashboard!$C$14="All",B96=Dashboard!$C$14),OR(Dashboard!$C$16="All",K96=Dashboard!$C$16),OR(Dashboard!$C$17="All",J96=Dashboard!$C$17)),1,0)</f>
        <v>1</v>
      </c>
      <c r="O96" s="24">
        <f>IF(AND(L96=1,OR(Dashboard!$C$13="All",A96=Dashboard!$C$13),OR(Dashboard!$C$15="All",C96=Dashboard!$C$15),OR(Dashboard!$C$16="All",K96=Dashboard!$C$16),OR(Dashboard!$C$17="All",J96=Dashboard!$C$17)),1,0)</f>
        <v>1</v>
      </c>
      <c r="P96" s="24">
        <f>IF(AND(L96=1,OR(Dashboard!$C$13="All",A96=Dashboard!$C$13),OR(Dashboard!$C$14="All",B96=Dashboard!$C$14),OR(Dashboard!$C$15="All",C96=Dashboard!$C$15),OR(Dashboard!$C$17="All",J96=Dashboard!$C$17)),1,0)</f>
        <v>1</v>
      </c>
      <c r="Q96" s="24">
        <f>IF(AND(L96=1,OR(Dashboard!$C$14="All",B96=Dashboard!$C$14),OR(Dashboard!$C$15="All",C96=Dashboard!$C$15),OR(Dashboard!$C$16="All",K96=Dashboard!$C$16),OR(Dashboard!$C$17="All",J96=Dashboard!$C$17)),1,0)</f>
        <v>1</v>
      </c>
      <c r="R96" s="24">
        <f>IF(AND(L96=1,OR(Dashboard!$C$13="All",A96=Dashboard!$C$13),OR(Dashboard!$C$14="All",B96=Dashboard!$C$14),OR(Dashboard!$C$15="All",C96=Dashboard!$C$15),OR(Dashboard!$C$16="All",K96=Dashboard!$C$16)),1,0)</f>
        <v>1</v>
      </c>
      <c r="S96" s="24">
        <f t="shared" si="3"/>
        <v>95</v>
      </c>
      <c r="T96" s="24" t="s">
        <v>311</v>
      </c>
      <c r="V96" s="24" t="s">
        <v>312</v>
      </c>
    </row>
    <row r="97" ht="15.75" customHeight="1">
      <c r="A97" s="10" t="s">
        <v>162</v>
      </c>
      <c r="B97" s="13"/>
      <c r="C97" s="10" t="s">
        <v>313</v>
      </c>
      <c r="D97" s="13">
        <v>1.0</v>
      </c>
      <c r="E97" s="17">
        <v>6.0</v>
      </c>
      <c r="F97" s="15">
        <f t="shared" si="1"/>
        <v>6</v>
      </c>
      <c r="G97" s="6">
        <v>46239.0</v>
      </c>
      <c r="H97" s="22">
        <v>17.0</v>
      </c>
      <c r="I97" s="16">
        <f t="shared" si="2"/>
        <v>46358</v>
      </c>
      <c r="J97" s="13" t="s">
        <v>25</v>
      </c>
      <c r="K97" s="13" t="s">
        <v>31</v>
      </c>
      <c r="L97" s="24">
        <f>IF(A97="","",IF(OR(G97="",AND(G97&gt;=Dashboard!$C$18,G97&lt;=Dashboard!$C$19)),1,0))</f>
        <v>1</v>
      </c>
      <c r="M97" s="24">
        <f>IF(AND(L97=1,OR(Dashboard!$C$13="All",A97=Dashboard!$C$13),OR(Dashboard!$C$14="All",B97=Dashboard!$C$14),OR(Dashboard!$C$15="All",C97=Dashboard!$C$15),OR(Dashboard!$C$16="All",K97=Dashboard!$C$16),OR(Dashboard!$C$17="All",J97=Dashboard!$C$17)),1,0)</f>
        <v>1</v>
      </c>
      <c r="N97" s="24">
        <f>IF(AND(L97=1,OR(Dashboard!$C$13="All",A97=Dashboard!$C$13),OR(Dashboard!$C$14="All",B97=Dashboard!$C$14),OR(Dashboard!$C$16="All",K97=Dashboard!$C$16),OR(Dashboard!$C$17="All",J97=Dashboard!$C$17)),1,0)</f>
        <v>1</v>
      </c>
      <c r="O97" s="24">
        <f>IF(AND(L97=1,OR(Dashboard!$C$13="All",A97=Dashboard!$C$13),OR(Dashboard!$C$15="All",C97=Dashboard!$C$15),OR(Dashboard!$C$16="All",K97=Dashboard!$C$16),OR(Dashboard!$C$17="All",J97=Dashboard!$C$17)),1,0)</f>
        <v>1</v>
      </c>
      <c r="P97" s="24">
        <f>IF(AND(L97=1,OR(Dashboard!$C$13="All",A97=Dashboard!$C$13),OR(Dashboard!$C$14="All",B97=Dashboard!$C$14),OR(Dashboard!$C$15="All",C97=Dashboard!$C$15),OR(Dashboard!$C$17="All",J97=Dashboard!$C$17)),1,0)</f>
        <v>1</v>
      </c>
      <c r="Q97" s="24">
        <f>IF(AND(L97=1,OR(Dashboard!$C$14="All",B97=Dashboard!$C$14),OR(Dashboard!$C$15="All",C97=Dashboard!$C$15),OR(Dashboard!$C$16="All",K97=Dashboard!$C$16),OR(Dashboard!$C$17="All",J97=Dashboard!$C$17)),1,0)</f>
        <v>1</v>
      </c>
      <c r="R97" s="24">
        <f>IF(AND(L97=1,OR(Dashboard!$C$13="All",A97=Dashboard!$C$13),OR(Dashboard!$C$14="All",B97=Dashboard!$C$14),OR(Dashboard!$C$15="All",C97=Dashboard!$C$15),OR(Dashboard!$C$16="All",K97=Dashboard!$C$16)),1,0)</f>
        <v>1</v>
      </c>
      <c r="S97" s="24">
        <f t="shared" si="3"/>
        <v>96</v>
      </c>
      <c r="T97" s="24" t="s">
        <v>314</v>
      </c>
      <c r="V97" s="24" t="s">
        <v>315</v>
      </c>
    </row>
    <row r="98" ht="15.75" customHeight="1">
      <c r="A98" s="3" t="s">
        <v>162</v>
      </c>
      <c r="B98" s="4"/>
      <c r="C98" s="3" t="s">
        <v>316</v>
      </c>
      <c r="D98" s="4">
        <v>1.0</v>
      </c>
      <c r="E98" s="14">
        <v>7.0</v>
      </c>
      <c r="F98" s="5">
        <f t="shared" si="1"/>
        <v>7</v>
      </c>
      <c r="G98" s="6">
        <v>46240.0</v>
      </c>
      <c r="H98" s="22">
        <v>20.0</v>
      </c>
      <c r="I98" s="7">
        <f t="shared" si="2"/>
        <v>46380</v>
      </c>
      <c r="J98" s="4" t="s">
        <v>25</v>
      </c>
      <c r="K98" s="4" t="s">
        <v>31</v>
      </c>
      <c r="L98" s="24">
        <f>IF(A98="","",IF(OR(G98="",AND(G98&gt;=Dashboard!$C$18,G98&lt;=Dashboard!$C$19)),1,0))</f>
        <v>1</v>
      </c>
      <c r="M98" s="24">
        <f>IF(AND(L98=1,OR(Dashboard!$C$13="All",A98=Dashboard!$C$13),OR(Dashboard!$C$14="All",B98=Dashboard!$C$14),OR(Dashboard!$C$15="All",C98=Dashboard!$C$15),OR(Dashboard!$C$16="All",K98=Dashboard!$C$16),OR(Dashboard!$C$17="All",J98=Dashboard!$C$17)),1,0)</f>
        <v>1</v>
      </c>
      <c r="N98" s="24">
        <f>IF(AND(L98=1,OR(Dashboard!$C$13="All",A98=Dashboard!$C$13),OR(Dashboard!$C$14="All",B98=Dashboard!$C$14),OR(Dashboard!$C$16="All",K98=Dashboard!$C$16),OR(Dashboard!$C$17="All",J98=Dashboard!$C$17)),1,0)</f>
        <v>1</v>
      </c>
      <c r="O98" s="24">
        <f>IF(AND(L98=1,OR(Dashboard!$C$13="All",A98=Dashboard!$C$13),OR(Dashboard!$C$15="All",C98=Dashboard!$C$15),OR(Dashboard!$C$16="All",K98=Dashboard!$C$16),OR(Dashboard!$C$17="All",J98=Dashboard!$C$17)),1,0)</f>
        <v>1</v>
      </c>
      <c r="P98" s="24">
        <f>IF(AND(L98=1,OR(Dashboard!$C$13="All",A98=Dashboard!$C$13),OR(Dashboard!$C$14="All",B98=Dashboard!$C$14),OR(Dashboard!$C$15="All",C98=Dashboard!$C$15),OR(Dashboard!$C$17="All",J98=Dashboard!$C$17)),1,0)</f>
        <v>1</v>
      </c>
      <c r="Q98" s="24">
        <f>IF(AND(L98=1,OR(Dashboard!$C$14="All",B98=Dashboard!$C$14),OR(Dashboard!$C$15="All",C98=Dashboard!$C$15),OR(Dashboard!$C$16="All",K98=Dashboard!$C$16),OR(Dashboard!$C$17="All",J98=Dashboard!$C$17)),1,0)</f>
        <v>1</v>
      </c>
      <c r="R98" s="24">
        <f>IF(AND(L98=1,OR(Dashboard!$C$13="All",A98=Dashboard!$C$13),OR(Dashboard!$C$14="All",B98=Dashboard!$C$14),OR(Dashboard!$C$15="All",C98=Dashboard!$C$15),OR(Dashboard!$C$16="All",K98=Dashboard!$C$16)),1,0)</f>
        <v>1</v>
      </c>
      <c r="S98" s="24">
        <f t="shared" si="3"/>
        <v>97</v>
      </c>
      <c r="T98" s="24" t="s">
        <v>317</v>
      </c>
      <c r="V98" s="24" t="s">
        <v>318</v>
      </c>
    </row>
    <row r="99" ht="15.75" customHeight="1">
      <c r="A99" s="10" t="s">
        <v>116</v>
      </c>
      <c r="B99" s="13" t="s">
        <v>125</v>
      </c>
      <c r="C99" s="10" t="s">
        <v>265</v>
      </c>
      <c r="D99" s="13">
        <v>1.0</v>
      </c>
      <c r="E99" s="17">
        <v>8.0</v>
      </c>
      <c r="F99" s="15">
        <f t="shared" si="1"/>
        <v>8</v>
      </c>
      <c r="G99" s="6">
        <v>46241.0</v>
      </c>
      <c r="H99" s="22">
        <v>18.0</v>
      </c>
      <c r="I99" s="16">
        <f t="shared" si="2"/>
        <v>46367</v>
      </c>
      <c r="J99" s="13" t="s">
        <v>25</v>
      </c>
      <c r="K99" s="13" t="s">
        <v>31</v>
      </c>
      <c r="L99" s="24">
        <f>IF(A99="","",IF(OR(G99="",AND(G99&gt;=Dashboard!$C$18,G99&lt;=Dashboard!$C$19)),1,0))</f>
        <v>1</v>
      </c>
      <c r="M99" s="24">
        <f>IF(AND(L99=1,OR(Dashboard!$C$13="All",A99=Dashboard!$C$13),OR(Dashboard!$C$14="All",B99=Dashboard!$C$14),OR(Dashboard!$C$15="All",C99=Dashboard!$C$15),OR(Dashboard!$C$16="All",K99=Dashboard!$C$16),OR(Dashboard!$C$17="All",J99=Dashboard!$C$17)),1,0)</f>
        <v>1</v>
      </c>
      <c r="N99" s="24">
        <f>IF(AND(L99=1,OR(Dashboard!$C$13="All",A99=Dashboard!$C$13),OR(Dashboard!$C$14="All",B99=Dashboard!$C$14),OR(Dashboard!$C$16="All",K99=Dashboard!$C$16),OR(Dashboard!$C$17="All",J99=Dashboard!$C$17)),1,0)</f>
        <v>1</v>
      </c>
      <c r="O99" s="24">
        <f>IF(AND(L99=1,OR(Dashboard!$C$13="All",A99=Dashboard!$C$13),OR(Dashboard!$C$15="All",C99=Dashboard!$C$15),OR(Dashboard!$C$16="All",K99=Dashboard!$C$16),OR(Dashboard!$C$17="All",J99=Dashboard!$C$17)),1,0)</f>
        <v>1</v>
      </c>
      <c r="P99" s="24">
        <f>IF(AND(L99=1,OR(Dashboard!$C$13="All",A99=Dashboard!$C$13),OR(Dashboard!$C$14="All",B99=Dashboard!$C$14),OR(Dashboard!$C$15="All",C99=Dashboard!$C$15),OR(Dashboard!$C$17="All",J99=Dashboard!$C$17)),1,0)</f>
        <v>1</v>
      </c>
      <c r="Q99" s="24">
        <f>IF(AND(L99=1,OR(Dashboard!$C$14="All",B99=Dashboard!$C$14),OR(Dashboard!$C$15="All",C99=Dashboard!$C$15),OR(Dashboard!$C$16="All",K99=Dashboard!$C$16),OR(Dashboard!$C$17="All",J99=Dashboard!$C$17)),1,0)</f>
        <v>1</v>
      </c>
      <c r="R99" s="24">
        <f>IF(AND(L99=1,OR(Dashboard!$C$13="All",A99=Dashboard!$C$13),OR(Dashboard!$C$14="All",B99=Dashboard!$C$14),OR(Dashboard!$C$15="All",C99=Dashboard!$C$15),OR(Dashboard!$C$16="All",K99=Dashboard!$C$16)),1,0)</f>
        <v>1</v>
      </c>
      <c r="S99" s="24">
        <f t="shared" si="3"/>
        <v>98</v>
      </c>
      <c r="T99" s="24" t="s">
        <v>319</v>
      </c>
      <c r="V99" s="24" t="s">
        <v>320</v>
      </c>
    </row>
    <row r="100" ht="15.75" customHeight="1">
      <c r="A100" s="3" t="s">
        <v>165</v>
      </c>
      <c r="B100" s="4" t="s">
        <v>71</v>
      </c>
      <c r="C100" s="3" t="s">
        <v>201</v>
      </c>
      <c r="D100" s="4">
        <v>1.0</v>
      </c>
      <c r="E100" s="14">
        <v>2.0</v>
      </c>
      <c r="F100" s="5">
        <f t="shared" si="1"/>
        <v>2</v>
      </c>
      <c r="G100" s="6">
        <v>46242.0</v>
      </c>
      <c r="H100" s="22">
        <v>20.0</v>
      </c>
      <c r="I100" s="7">
        <f t="shared" si="2"/>
        <v>46382</v>
      </c>
      <c r="J100" s="4" t="s">
        <v>25</v>
      </c>
      <c r="K100" s="8" t="s">
        <v>26</v>
      </c>
      <c r="L100" s="24">
        <f>IF(A100="","",IF(OR(G100="",AND(G100&gt;=Dashboard!$C$18,G100&lt;=Dashboard!$C$19)),1,0))</f>
        <v>1</v>
      </c>
      <c r="M100" s="24">
        <f>IF(AND(L100=1,OR(Dashboard!$C$13="All",A100=Dashboard!$C$13),OR(Dashboard!$C$14="All",B100=Dashboard!$C$14),OR(Dashboard!$C$15="All",C100=Dashboard!$C$15),OR(Dashboard!$C$16="All",K100=Dashboard!$C$16),OR(Dashboard!$C$17="All",J100=Dashboard!$C$17)),1,0)</f>
        <v>1</v>
      </c>
      <c r="N100" s="24">
        <f>IF(AND(L100=1,OR(Dashboard!$C$13="All",A100=Dashboard!$C$13),OR(Dashboard!$C$14="All",B100=Dashboard!$C$14),OR(Dashboard!$C$16="All",K100=Dashboard!$C$16),OR(Dashboard!$C$17="All",J100=Dashboard!$C$17)),1,0)</f>
        <v>1</v>
      </c>
      <c r="O100" s="24">
        <f>IF(AND(L100=1,OR(Dashboard!$C$13="All",A100=Dashboard!$C$13),OR(Dashboard!$C$15="All",C100=Dashboard!$C$15),OR(Dashboard!$C$16="All",K100=Dashboard!$C$16),OR(Dashboard!$C$17="All",J100=Dashboard!$C$17)),1,0)</f>
        <v>1</v>
      </c>
      <c r="P100" s="24">
        <f>IF(AND(L100=1,OR(Dashboard!$C$13="All",A100=Dashboard!$C$13),OR(Dashboard!$C$14="All",B100=Dashboard!$C$14),OR(Dashboard!$C$15="All",C100=Dashboard!$C$15),OR(Dashboard!$C$17="All",J100=Dashboard!$C$17)),1,0)</f>
        <v>1</v>
      </c>
      <c r="Q100" s="24">
        <f>IF(AND(L100=1,OR(Dashboard!$C$14="All",B100=Dashboard!$C$14),OR(Dashboard!$C$15="All",C100=Dashboard!$C$15),OR(Dashboard!$C$16="All",K100=Dashboard!$C$16),OR(Dashboard!$C$17="All",J100=Dashboard!$C$17)),1,0)</f>
        <v>1</v>
      </c>
      <c r="R100" s="24">
        <f>IF(AND(L100=1,OR(Dashboard!$C$13="All",A100=Dashboard!$C$13),OR(Dashboard!$C$14="All",B100=Dashboard!$C$14),OR(Dashboard!$C$15="All",C100=Dashboard!$C$15),OR(Dashboard!$C$16="All",K100=Dashboard!$C$16)),1,0)</f>
        <v>1</v>
      </c>
      <c r="S100" s="24">
        <f t="shared" si="3"/>
        <v>99</v>
      </c>
      <c r="T100" s="24" t="s">
        <v>321</v>
      </c>
      <c r="V100" s="24" t="s">
        <v>322</v>
      </c>
    </row>
    <row r="101" ht="15.75" customHeight="1">
      <c r="A101" s="10" t="s">
        <v>168</v>
      </c>
      <c r="B101" s="13" t="s">
        <v>32</v>
      </c>
      <c r="C101" s="10" t="s">
        <v>323</v>
      </c>
      <c r="D101" s="13">
        <v>1.0</v>
      </c>
      <c r="E101" s="17">
        <v>15.0</v>
      </c>
      <c r="F101" s="15">
        <f t="shared" si="1"/>
        <v>15</v>
      </c>
      <c r="G101" s="6">
        <v>46243.0</v>
      </c>
      <c r="H101" s="22">
        <v>19.0</v>
      </c>
      <c r="I101" s="16">
        <f t="shared" si="2"/>
        <v>46376</v>
      </c>
      <c r="J101" s="13" t="s">
        <v>25</v>
      </c>
      <c r="K101" s="13" t="s">
        <v>31</v>
      </c>
      <c r="L101" s="24">
        <f>IF(A101="","",IF(OR(G101="",AND(G101&gt;=Dashboard!$C$18,G101&lt;=Dashboard!$C$19)),1,0))</f>
        <v>1</v>
      </c>
      <c r="M101" s="24">
        <f>IF(AND(L101=1,OR(Dashboard!$C$13="All",A101=Dashboard!$C$13),OR(Dashboard!$C$14="All",B101=Dashboard!$C$14),OR(Dashboard!$C$15="All",C101=Dashboard!$C$15),OR(Dashboard!$C$16="All",K101=Dashboard!$C$16),OR(Dashboard!$C$17="All",J101=Dashboard!$C$17)),1,0)</f>
        <v>1</v>
      </c>
      <c r="N101" s="24">
        <f>IF(AND(L101=1,OR(Dashboard!$C$13="All",A101=Dashboard!$C$13),OR(Dashboard!$C$14="All",B101=Dashboard!$C$14),OR(Dashboard!$C$16="All",K101=Dashboard!$C$16),OR(Dashboard!$C$17="All",J101=Dashboard!$C$17)),1,0)</f>
        <v>1</v>
      </c>
      <c r="O101" s="24">
        <f>IF(AND(L101=1,OR(Dashboard!$C$13="All",A101=Dashboard!$C$13),OR(Dashboard!$C$15="All",C101=Dashboard!$C$15),OR(Dashboard!$C$16="All",K101=Dashboard!$C$16),OR(Dashboard!$C$17="All",J101=Dashboard!$C$17)),1,0)</f>
        <v>1</v>
      </c>
      <c r="P101" s="24">
        <f>IF(AND(L101=1,OR(Dashboard!$C$13="All",A101=Dashboard!$C$13),OR(Dashboard!$C$14="All",B101=Dashboard!$C$14),OR(Dashboard!$C$15="All",C101=Dashboard!$C$15),OR(Dashboard!$C$17="All",J101=Dashboard!$C$17)),1,0)</f>
        <v>1</v>
      </c>
      <c r="Q101" s="24">
        <f>IF(AND(L101=1,OR(Dashboard!$C$14="All",B101=Dashboard!$C$14),OR(Dashboard!$C$15="All",C101=Dashboard!$C$15),OR(Dashboard!$C$16="All",K101=Dashboard!$C$16),OR(Dashboard!$C$17="All",J101=Dashboard!$C$17)),1,0)</f>
        <v>1</v>
      </c>
      <c r="R101" s="24">
        <f>IF(AND(L101=1,OR(Dashboard!$C$13="All",A101=Dashboard!$C$13),OR(Dashboard!$C$14="All",B101=Dashboard!$C$14),OR(Dashboard!$C$15="All",C101=Dashboard!$C$15),OR(Dashboard!$C$16="All",K101=Dashboard!$C$16)),1,0)</f>
        <v>1</v>
      </c>
      <c r="S101" s="24">
        <f t="shared" si="3"/>
        <v>100</v>
      </c>
      <c r="T101" s="24" t="s">
        <v>324</v>
      </c>
      <c r="V101" s="24" t="s">
        <v>325</v>
      </c>
    </row>
    <row r="102" ht="15.75" customHeight="1">
      <c r="A102" s="3" t="s">
        <v>168</v>
      </c>
      <c r="B102" s="4" t="s">
        <v>71</v>
      </c>
      <c r="C102" s="3" t="s">
        <v>326</v>
      </c>
      <c r="D102" s="4">
        <v>2.0</v>
      </c>
      <c r="E102" s="14">
        <v>45.0</v>
      </c>
      <c r="F102" s="5">
        <f t="shared" si="1"/>
        <v>90</v>
      </c>
      <c r="G102" s="6">
        <v>46244.0</v>
      </c>
      <c r="H102" s="22">
        <v>19.0</v>
      </c>
      <c r="I102" s="7">
        <f t="shared" si="2"/>
        <v>46377</v>
      </c>
      <c r="J102" s="4" t="s">
        <v>25</v>
      </c>
      <c r="K102" s="8" t="s">
        <v>37</v>
      </c>
      <c r="L102" s="24">
        <f>IF(A102="","",IF(OR(G102="",AND(G102&gt;=Dashboard!$C$18,G102&lt;=Dashboard!$C$19)),1,0))</f>
        <v>1</v>
      </c>
      <c r="M102" s="24">
        <f>IF(AND(L102=1,OR(Dashboard!$C$13="All",A102=Dashboard!$C$13),OR(Dashboard!$C$14="All",B102=Dashboard!$C$14),OR(Dashboard!$C$15="All",C102=Dashboard!$C$15),OR(Dashboard!$C$16="All",K102=Dashboard!$C$16),OR(Dashboard!$C$17="All",J102=Dashboard!$C$17)),1,0)</f>
        <v>1</v>
      </c>
      <c r="N102" s="24">
        <f>IF(AND(L102=1,OR(Dashboard!$C$13="All",A102=Dashboard!$C$13),OR(Dashboard!$C$14="All",B102=Dashboard!$C$14),OR(Dashboard!$C$16="All",K102=Dashboard!$C$16),OR(Dashboard!$C$17="All",J102=Dashboard!$C$17)),1,0)</f>
        <v>1</v>
      </c>
      <c r="O102" s="24">
        <f>IF(AND(L102=1,OR(Dashboard!$C$13="All",A102=Dashboard!$C$13),OR(Dashboard!$C$15="All",C102=Dashboard!$C$15),OR(Dashboard!$C$16="All",K102=Dashboard!$C$16),OR(Dashboard!$C$17="All",J102=Dashboard!$C$17)),1,0)</f>
        <v>1</v>
      </c>
      <c r="P102" s="24">
        <f>IF(AND(L102=1,OR(Dashboard!$C$13="All",A102=Dashboard!$C$13),OR(Dashboard!$C$14="All",B102=Dashboard!$C$14),OR(Dashboard!$C$15="All",C102=Dashboard!$C$15),OR(Dashboard!$C$17="All",J102=Dashboard!$C$17)),1,0)</f>
        <v>1</v>
      </c>
      <c r="Q102" s="24">
        <f>IF(AND(L102=1,OR(Dashboard!$C$14="All",B102=Dashboard!$C$14),OR(Dashboard!$C$15="All",C102=Dashboard!$C$15),OR(Dashboard!$C$16="All",K102=Dashboard!$C$16),OR(Dashboard!$C$17="All",J102=Dashboard!$C$17)),1,0)</f>
        <v>1</v>
      </c>
      <c r="R102" s="24">
        <f>IF(AND(L102=1,OR(Dashboard!$C$13="All",A102=Dashboard!$C$13),OR(Dashboard!$C$14="All",B102=Dashboard!$C$14),OR(Dashboard!$C$15="All",C102=Dashboard!$C$15),OR(Dashboard!$C$16="All",K102=Dashboard!$C$16)),1,0)</f>
        <v>1</v>
      </c>
      <c r="S102" s="24">
        <f t="shared" si="3"/>
        <v>101</v>
      </c>
      <c r="T102" s="24" t="s">
        <v>327</v>
      </c>
      <c r="V102" s="24" t="s">
        <v>149</v>
      </c>
    </row>
    <row r="103" ht="15.75" customHeight="1">
      <c r="A103" s="10" t="s">
        <v>171</v>
      </c>
      <c r="B103" s="13" t="s">
        <v>32</v>
      </c>
      <c r="C103" s="10" t="s">
        <v>328</v>
      </c>
      <c r="D103" s="13">
        <v>2.0</v>
      </c>
      <c r="E103" s="17">
        <v>24.0</v>
      </c>
      <c r="F103" s="15">
        <f t="shared" si="1"/>
        <v>48</v>
      </c>
      <c r="G103" s="6">
        <v>46245.0</v>
      </c>
      <c r="H103" s="22">
        <v>20.0</v>
      </c>
      <c r="I103" s="16">
        <f t="shared" si="2"/>
        <v>46385</v>
      </c>
      <c r="J103" s="13" t="s">
        <v>25</v>
      </c>
      <c r="K103" s="11" t="s">
        <v>26</v>
      </c>
      <c r="L103" s="24">
        <f>IF(A103="","",IF(OR(G103="",AND(G103&gt;=Dashboard!$C$18,G103&lt;=Dashboard!$C$19)),1,0))</f>
        <v>1</v>
      </c>
      <c r="M103" s="24">
        <f>IF(AND(L103=1,OR(Dashboard!$C$13="All",A103=Dashboard!$C$13),OR(Dashboard!$C$14="All",B103=Dashboard!$C$14),OR(Dashboard!$C$15="All",C103=Dashboard!$C$15),OR(Dashboard!$C$16="All",K103=Dashboard!$C$16),OR(Dashboard!$C$17="All",J103=Dashboard!$C$17)),1,0)</f>
        <v>1</v>
      </c>
      <c r="N103" s="24">
        <f>IF(AND(L103=1,OR(Dashboard!$C$13="All",A103=Dashboard!$C$13),OR(Dashboard!$C$14="All",B103=Dashboard!$C$14),OR(Dashboard!$C$16="All",K103=Dashboard!$C$16),OR(Dashboard!$C$17="All",J103=Dashboard!$C$17)),1,0)</f>
        <v>1</v>
      </c>
      <c r="O103" s="24">
        <f>IF(AND(L103=1,OR(Dashboard!$C$13="All",A103=Dashboard!$C$13),OR(Dashboard!$C$15="All",C103=Dashboard!$C$15),OR(Dashboard!$C$16="All",K103=Dashboard!$C$16),OR(Dashboard!$C$17="All",J103=Dashboard!$C$17)),1,0)</f>
        <v>1</v>
      </c>
      <c r="P103" s="24">
        <f>IF(AND(L103=1,OR(Dashboard!$C$13="All",A103=Dashboard!$C$13),OR(Dashboard!$C$14="All",B103=Dashboard!$C$14),OR(Dashboard!$C$15="All",C103=Dashboard!$C$15),OR(Dashboard!$C$17="All",J103=Dashboard!$C$17)),1,0)</f>
        <v>1</v>
      </c>
      <c r="Q103" s="24">
        <f>IF(AND(L103=1,OR(Dashboard!$C$14="All",B103=Dashboard!$C$14),OR(Dashboard!$C$15="All",C103=Dashboard!$C$15),OR(Dashboard!$C$16="All",K103=Dashboard!$C$16),OR(Dashboard!$C$17="All",J103=Dashboard!$C$17)),1,0)</f>
        <v>1</v>
      </c>
      <c r="R103" s="24">
        <f>IF(AND(L103=1,OR(Dashboard!$C$13="All",A103=Dashboard!$C$13),OR(Dashboard!$C$14="All",B103=Dashboard!$C$14),OR(Dashboard!$C$15="All",C103=Dashboard!$C$15),OR(Dashboard!$C$16="All",K103=Dashboard!$C$16)),1,0)</f>
        <v>1</v>
      </c>
      <c r="S103" s="24">
        <f t="shared" si="3"/>
        <v>102</v>
      </c>
      <c r="T103" s="24" t="s">
        <v>329</v>
      </c>
      <c r="V103" s="24" t="s">
        <v>153</v>
      </c>
    </row>
    <row r="104" ht="15.75" customHeight="1">
      <c r="A104" s="3" t="s">
        <v>171</v>
      </c>
      <c r="B104" s="4" t="s">
        <v>71</v>
      </c>
      <c r="C104" s="3" t="s">
        <v>326</v>
      </c>
      <c r="D104" s="4">
        <v>4.0</v>
      </c>
      <c r="E104" s="14">
        <v>25.0</v>
      </c>
      <c r="F104" s="5">
        <f t="shared" si="1"/>
        <v>100</v>
      </c>
      <c r="G104" s="6">
        <v>46246.0</v>
      </c>
      <c r="H104" s="22">
        <v>21.0</v>
      </c>
      <c r="I104" s="7">
        <f t="shared" si="2"/>
        <v>46393</v>
      </c>
      <c r="J104" s="4" t="s">
        <v>25</v>
      </c>
      <c r="K104" s="8" t="s">
        <v>48</v>
      </c>
      <c r="L104" s="24">
        <f>IF(A104="","",IF(OR(G104="",AND(G104&gt;=Dashboard!$C$18,G104&lt;=Dashboard!$C$19)),1,0))</f>
        <v>1</v>
      </c>
      <c r="M104" s="24">
        <f>IF(AND(L104=1,OR(Dashboard!$C$13="All",A104=Dashboard!$C$13),OR(Dashboard!$C$14="All",B104=Dashboard!$C$14),OR(Dashboard!$C$15="All",C104=Dashboard!$C$15),OR(Dashboard!$C$16="All",K104=Dashboard!$C$16),OR(Dashboard!$C$17="All",J104=Dashboard!$C$17)),1,0)</f>
        <v>1</v>
      </c>
      <c r="N104" s="24">
        <f>IF(AND(L104=1,OR(Dashboard!$C$13="All",A104=Dashboard!$C$13),OR(Dashboard!$C$14="All",B104=Dashboard!$C$14),OR(Dashboard!$C$16="All",K104=Dashboard!$C$16),OR(Dashboard!$C$17="All",J104=Dashboard!$C$17)),1,0)</f>
        <v>1</v>
      </c>
      <c r="O104" s="24">
        <f>IF(AND(L104=1,OR(Dashboard!$C$13="All",A104=Dashboard!$C$13),OR(Dashboard!$C$15="All",C104=Dashboard!$C$15),OR(Dashboard!$C$16="All",K104=Dashboard!$C$16),OR(Dashboard!$C$17="All",J104=Dashboard!$C$17)),1,0)</f>
        <v>1</v>
      </c>
      <c r="P104" s="24">
        <f>IF(AND(L104=1,OR(Dashboard!$C$13="All",A104=Dashboard!$C$13),OR(Dashboard!$C$14="All",B104=Dashboard!$C$14),OR(Dashboard!$C$15="All",C104=Dashboard!$C$15),OR(Dashboard!$C$17="All",J104=Dashboard!$C$17)),1,0)</f>
        <v>1</v>
      </c>
      <c r="Q104" s="24">
        <f>IF(AND(L104=1,OR(Dashboard!$C$14="All",B104=Dashboard!$C$14),OR(Dashboard!$C$15="All",C104=Dashboard!$C$15),OR(Dashboard!$C$16="All",K104=Dashboard!$C$16),OR(Dashboard!$C$17="All",J104=Dashboard!$C$17)),1,0)</f>
        <v>1</v>
      </c>
      <c r="R104" s="24">
        <f>IF(AND(L104=1,OR(Dashboard!$C$13="All",A104=Dashboard!$C$13),OR(Dashboard!$C$14="All",B104=Dashboard!$C$14),OR(Dashboard!$C$15="All",C104=Dashboard!$C$15),OR(Dashboard!$C$16="All",K104=Dashboard!$C$16)),1,0)</f>
        <v>1</v>
      </c>
      <c r="S104" s="24">
        <f t="shared" si="3"/>
        <v>103</v>
      </c>
      <c r="T104" s="24" t="s">
        <v>330</v>
      </c>
      <c r="V104" s="24" t="s">
        <v>277</v>
      </c>
    </row>
    <row r="105" ht="15.75" customHeight="1">
      <c r="A105" s="10" t="s">
        <v>174</v>
      </c>
      <c r="B105" s="13"/>
      <c r="C105" s="10" t="s">
        <v>331</v>
      </c>
      <c r="D105" s="13">
        <v>3000.0</v>
      </c>
      <c r="E105" s="17">
        <v>36.0</v>
      </c>
      <c r="F105" s="15">
        <f t="shared" si="1"/>
        <v>108000</v>
      </c>
      <c r="G105" s="6">
        <v>46247.0</v>
      </c>
      <c r="H105" s="22">
        <v>24.0</v>
      </c>
      <c r="I105" s="16">
        <f t="shared" si="2"/>
        <v>46415</v>
      </c>
      <c r="J105" s="13" t="s">
        <v>25</v>
      </c>
      <c r="K105" s="13" t="s">
        <v>31</v>
      </c>
      <c r="L105" s="24">
        <f>IF(A105="","",IF(OR(G105="",AND(G105&gt;=Dashboard!$C$18,G105&lt;=Dashboard!$C$19)),1,0))</f>
        <v>1</v>
      </c>
      <c r="M105" s="24">
        <f>IF(AND(L105=1,OR(Dashboard!$C$13="All",A105=Dashboard!$C$13),OR(Dashboard!$C$14="All",B105=Dashboard!$C$14),OR(Dashboard!$C$15="All",C105=Dashboard!$C$15),OR(Dashboard!$C$16="All",K105=Dashboard!$C$16),OR(Dashboard!$C$17="All",J105=Dashboard!$C$17)),1,0)</f>
        <v>1</v>
      </c>
      <c r="N105" s="24">
        <f>IF(AND(L105=1,OR(Dashboard!$C$13="All",A105=Dashboard!$C$13),OR(Dashboard!$C$14="All",B105=Dashboard!$C$14),OR(Dashboard!$C$16="All",K105=Dashboard!$C$16),OR(Dashboard!$C$17="All",J105=Dashboard!$C$17)),1,0)</f>
        <v>1</v>
      </c>
      <c r="O105" s="24">
        <f>IF(AND(L105=1,OR(Dashboard!$C$13="All",A105=Dashboard!$C$13),OR(Dashboard!$C$15="All",C105=Dashboard!$C$15),OR(Dashboard!$C$16="All",K105=Dashboard!$C$16),OR(Dashboard!$C$17="All",J105=Dashboard!$C$17)),1,0)</f>
        <v>1</v>
      </c>
      <c r="P105" s="24">
        <f>IF(AND(L105=1,OR(Dashboard!$C$13="All",A105=Dashboard!$C$13),OR(Dashboard!$C$14="All",B105=Dashboard!$C$14),OR(Dashboard!$C$15="All",C105=Dashboard!$C$15),OR(Dashboard!$C$17="All",J105=Dashboard!$C$17)),1,0)</f>
        <v>1</v>
      </c>
      <c r="Q105" s="24">
        <f>IF(AND(L105=1,OR(Dashboard!$C$14="All",B105=Dashboard!$C$14),OR(Dashboard!$C$15="All",C105=Dashboard!$C$15),OR(Dashboard!$C$16="All",K105=Dashboard!$C$16),OR(Dashboard!$C$17="All",J105=Dashboard!$C$17)),1,0)</f>
        <v>1</v>
      </c>
      <c r="R105" s="24">
        <f>IF(AND(L105=1,OR(Dashboard!$C$13="All",A105=Dashboard!$C$13),OR(Dashboard!$C$14="All",B105=Dashboard!$C$14),OR(Dashboard!$C$15="All",C105=Dashboard!$C$15),OR(Dashboard!$C$16="All",K105=Dashboard!$C$16)),1,0)</f>
        <v>1</v>
      </c>
      <c r="S105" s="24">
        <f t="shared" si="3"/>
        <v>104</v>
      </c>
      <c r="T105" s="24" t="s">
        <v>332</v>
      </c>
      <c r="V105" s="24" t="s">
        <v>333</v>
      </c>
    </row>
    <row r="106" ht="15.75" customHeight="1">
      <c r="A106" s="3" t="s">
        <v>174</v>
      </c>
      <c r="B106" s="4" t="s">
        <v>131</v>
      </c>
      <c r="C106" s="3" t="s">
        <v>334</v>
      </c>
      <c r="D106" s="4">
        <v>1500.0</v>
      </c>
      <c r="E106" s="14">
        <v>95.0</v>
      </c>
      <c r="F106" s="5">
        <f t="shared" si="1"/>
        <v>142500</v>
      </c>
      <c r="G106" s="6">
        <v>46248.0</v>
      </c>
      <c r="H106" s="22">
        <v>24.0</v>
      </c>
      <c r="I106" s="7">
        <f t="shared" si="2"/>
        <v>46416</v>
      </c>
      <c r="J106" s="4" t="s">
        <v>25</v>
      </c>
      <c r="K106" s="8" t="s">
        <v>26</v>
      </c>
      <c r="L106" s="24">
        <f>IF(A106="","",IF(OR(G106="",AND(G106&gt;=Dashboard!$C$18,G106&lt;=Dashboard!$C$19)),1,0))</f>
        <v>1</v>
      </c>
      <c r="M106" s="24">
        <f>IF(AND(L106=1,OR(Dashboard!$C$13="All",A106=Dashboard!$C$13),OR(Dashboard!$C$14="All",B106=Dashboard!$C$14),OR(Dashboard!$C$15="All",C106=Dashboard!$C$15),OR(Dashboard!$C$16="All",K106=Dashboard!$C$16),OR(Dashboard!$C$17="All",J106=Dashboard!$C$17)),1,0)</f>
        <v>1</v>
      </c>
      <c r="N106" s="24">
        <f>IF(AND(L106=1,OR(Dashboard!$C$13="All",A106=Dashboard!$C$13),OR(Dashboard!$C$14="All",B106=Dashboard!$C$14),OR(Dashboard!$C$16="All",K106=Dashboard!$C$16),OR(Dashboard!$C$17="All",J106=Dashboard!$C$17)),1,0)</f>
        <v>1</v>
      </c>
      <c r="O106" s="24">
        <f>IF(AND(L106=1,OR(Dashboard!$C$13="All",A106=Dashboard!$C$13),OR(Dashboard!$C$15="All",C106=Dashboard!$C$15),OR(Dashboard!$C$16="All",K106=Dashboard!$C$16),OR(Dashboard!$C$17="All",J106=Dashboard!$C$17)),1,0)</f>
        <v>1</v>
      </c>
      <c r="P106" s="24">
        <f>IF(AND(L106=1,OR(Dashboard!$C$13="All",A106=Dashboard!$C$13),OR(Dashboard!$C$14="All",B106=Dashboard!$C$14),OR(Dashboard!$C$15="All",C106=Dashboard!$C$15),OR(Dashboard!$C$17="All",J106=Dashboard!$C$17)),1,0)</f>
        <v>1</v>
      </c>
      <c r="Q106" s="24">
        <f>IF(AND(L106=1,OR(Dashboard!$C$14="All",B106=Dashboard!$C$14),OR(Dashboard!$C$15="All",C106=Dashboard!$C$15),OR(Dashboard!$C$16="All",K106=Dashboard!$C$16),OR(Dashboard!$C$17="All",J106=Dashboard!$C$17)),1,0)</f>
        <v>1</v>
      </c>
      <c r="R106" s="24">
        <f>IF(AND(L106=1,OR(Dashboard!$C$13="All",A106=Dashboard!$C$13),OR(Dashboard!$C$14="All",B106=Dashboard!$C$14),OR(Dashboard!$C$15="All",C106=Dashboard!$C$15),OR(Dashboard!$C$16="All",K106=Dashboard!$C$16)),1,0)</f>
        <v>1</v>
      </c>
      <c r="S106" s="24">
        <f t="shared" si="3"/>
        <v>105</v>
      </c>
      <c r="T106" s="24" t="s">
        <v>335</v>
      </c>
      <c r="V106" s="24" t="s">
        <v>336</v>
      </c>
    </row>
    <row r="107" ht="15.75" customHeight="1">
      <c r="A107" s="10" t="s">
        <v>177</v>
      </c>
      <c r="B107" s="13" t="s">
        <v>110</v>
      </c>
      <c r="C107" s="10" t="s">
        <v>198</v>
      </c>
      <c r="D107" s="13">
        <v>500.0</v>
      </c>
      <c r="E107" s="17">
        <v>574.0</v>
      </c>
      <c r="F107" s="15">
        <f t="shared" si="1"/>
        <v>287000</v>
      </c>
      <c r="G107" s="6">
        <v>46249.0</v>
      </c>
      <c r="H107" s="22">
        <v>24.0</v>
      </c>
      <c r="I107" s="16">
        <f t="shared" si="2"/>
        <v>46417</v>
      </c>
      <c r="J107" s="13" t="s">
        <v>25</v>
      </c>
      <c r="K107" s="13" t="s">
        <v>31</v>
      </c>
      <c r="L107" s="24">
        <f>IF(A107="","",IF(OR(G107="",AND(G107&gt;=Dashboard!$C$18,G107&lt;=Dashboard!$C$19)),1,0))</f>
        <v>1</v>
      </c>
      <c r="M107" s="24">
        <f>IF(AND(L107=1,OR(Dashboard!$C$13="All",A107=Dashboard!$C$13),OR(Dashboard!$C$14="All",B107=Dashboard!$C$14),OR(Dashboard!$C$15="All",C107=Dashboard!$C$15),OR(Dashboard!$C$16="All",K107=Dashboard!$C$16),OR(Dashboard!$C$17="All",J107=Dashboard!$C$17)),1,0)</f>
        <v>1</v>
      </c>
      <c r="N107" s="24">
        <f>IF(AND(L107=1,OR(Dashboard!$C$13="All",A107=Dashboard!$C$13),OR(Dashboard!$C$14="All",B107=Dashboard!$C$14),OR(Dashboard!$C$16="All",K107=Dashboard!$C$16),OR(Dashboard!$C$17="All",J107=Dashboard!$C$17)),1,0)</f>
        <v>1</v>
      </c>
      <c r="O107" s="24">
        <f>IF(AND(L107=1,OR(Dashboard!$C$13="All",A107=Dashboard!$C$13),OR(Dashboard!$C$15="All",C107=Dashboard!$C$15),OR(Dashboard!$C$16="All",K107=Dashboard!$C$16),OR(Dashboard!$C$17="All",J107=Dashboard!$C$17)),1,0)</f>
        <v>1</v>
      </c>
      <c r="P107" s="24">
        <f>IF(AND(L107=1,OR(Dashboard!$C$13="All",A107=Dashboard!$C$13),OR(Dashboard!$C$14="All",B107=Dashboard!$C$14),OR(Dashboard!$C$15="All",C107=Dashboard!$C$15),OR(Dashboard!$C$17="All",J107=Dashboard!$C$17)),1,0)</f>
        <v>1</v>
      </c>
      <c r="Q107" s="24">
        <f>IF(AND(L107=1,OR(Dashboard!$C$14="All",B107=Dashboard!$C$14),OR(Dashboard!$C$15="All",C107=Dashboard!$C$15),OR(Dashboard!$C$16="All",K107=Dashboard!$C$16),OR(Dashboard!$C$17="All",J107=Dashboard!$C$17)),1,0)</f>
        <v>1</v>
      </c>
      <c r="R107" s="24">
        <f>IF(AND(L107=1,OR(Dashboard!$C$13="All",A107=Dashboard!$C$13),OR(Dashboard!$C$14="All",B107=Dashboard!$C$14),OR(Dashboard!$C$15="All",C107=Dashboard!$C$15),OR(Dashboard!$C$16="All",K107=Dashboard!$C$16)),1,0)</f>
        <v>1</v>
      </c>
      <c r="S107" s="24">
        <f t="shared" si="3"/>
        <v>106</v>
      </c>
      <c r="T107" s="24" t="s">
        <v>337</v>
      </c>
      <c r="V107" s="24" t="s">
        <v>42</v>
      </c>
    </row>
    <row r="108" ht="15.75" customHeight="1">
      <c r="A108" s="3" t="s">
        <v>180</v>
      </c>
      <c r="B108" s="4"/>
      <c r="C108" s="3" t="s">
        <v>338</v>
      </c>
      <c r="D108" s="4">
        <v>1000.0</v>
      </c>
      <c r="E108" s="14">
        <v>558.0</v>
      </c>
      <c r="F108" s="5">
        <f t="shared" si="1"/>
        <v>558000</v>
      </c>
      <c r="G108" s="6">
        <v>46250.0</v>
      </c>
      <c r="H108" s="22">
        <v>21.0</v>
      </c>
      <c r="I108" s="7">
        <f t="shared" si="2"/>
        <v>46397</v>
      </c>
      <c r="J108" s="4" t="s">
        <v>25</v>
      </c>
      <c r="K108" s="8" t="s">
        <v>37</v>
      </c>
      <c r="L108" s="24">
        <f>IF(A108="","",IF(OR(G108="",AND(G108&gt;=Dashboard!$C$18,G108&lt;=Dashboard!$C$19)),1,0))</f>
        <v>1</v>
      </c>
      <c r="M108" s="24">
        <f>IF(AND(L108=1,OR(Dashboard!$C$13="All",A108=Dashboard!$C$13),OR(Dashboard!$C$14="All",B108=Dashboard!$C$14),OR(Dashboard!$C$15="All",C108=Dashboard!$C$15),OR(Dashboard!$C$16="All",K108=Dashboard!$C$16),OR(Dashboard!$C$17="All",J108=Dashboard!$C$17)),1,0)</f>
        <v>1</v>
      </c>
      <c r="N108" s="24">
        <f>IF(AND(L108=1,OR(Dashboard!$C$13="All",A108=Dashboard!$C$13),OR(Dashboard!$C$14="All",B108=Dashboard!$C$14),OR(Dashboard!$C$16="All",K108=Dashboard!$C$16),OR(Dashboard!$C$17="All",J108=Dashboard!$C$17)),1,0)</f>
        <v>1</v>
      </c>
      <c r="O108" s="24">
        <f>IF(AND(L108=1,OR(Dashboard!$C$13="All",A108=Dashboard!$C$13),OR(Dashboard!$C$15="All",C108=Dashboard!$C$15),OR(Dashboard!$C$16="All",K108=Dashboard!$C$16),OR(Dashboard!$C$17="All",J108=Dashboard!$C$17)),1,0)</f>
        <v>1</v>
      </c>
      <c r="P108" s="24">
        <f>IF(AND(L108=1,OR(Dashboard!$C$13="All",A108=Dashboard!$C$13),OR(Dashboard!$C$14="All",B108=Dashboard!$C$14),OR(Dashboard!$C$15="All",C108=Dashboard!$C$15),OR(Dashboard!$C$17="All",J108=Dashboard!$C$17)),1,0)</f>
        <v>1</v>
      </c>
      <c r="Q108" s="24">
        <f>IF(AND(L108=1,OR(Dashboard!$C$14="All",B108=Dashboard!$C$14),OR(Dashboard!$C$15="All",C108=Dashboard!$C$15),OR(Dashboard!$C$16="All",K108=Dashboard!$C$16),OR(Dashboard!$C$17="All",J108=Dashboard!$C$17)),1,0)</f>
        <v>1</v>
      </c>
      <c r="R108" s="24">
        <f>IF(AND(L108=1,OR(Dashboard!$C$13="All",A108=Dashboard!$C$13),OR(Dashboard!$C$14="All",B108=Dashboard!$C$14),OR(Dashboard!$C$15="All",C108=Dashboard!$C$15),OR(Dashboard!$C$16="All",K108=Dashboard!$C$16)),1,0)</f>
        <v>1</v>
      </c>
      <c r="S108" s="24">
        <f t="shared" si="3"/>
        <v>107</v>
      </c>
      <c r="T108" s="24" t="s">
        <v>339</v>
      </c>
      <c r="V108" s="24" t="s">
        <v>340</v>
      </c>
    </row>
    <row r="109" ht="15.75" customHeight="1">
      <c r="A109" s="10" t="s">
        <v>183</v>
      </c>
      <c r="B109" s="13"/>
      <c r="C109" s="10" t="s">
        <v>341</v>
      </c>
      <c r="D109" s="13">
        <v>2.0</v>
      </c>
      <c r="E109" s="17">
        <v>2265.0</v>
      </c>
      <c r="F109" s="15">
        <f t="shared" si="1"/>
        <v>4530</v>
      </c>
      <c r="G109" s="6">
        <v>46251.0</v>
      </c>
      <c r="H109" s="22">
        <v>20.0</v>
      </c>
      <c r="I109" s="16">
        <f t="shared" si="2"/>
        <v>46391</v>
      </c>
      <c r="J109" s="13" t="s">
        <v>25</v>
      </c>
      <c r="K109" s="11" t="s">
        <v>26</v>
      </c>
      <c r="L109" s="24">
        <f>IF(A109="","",IF(OR(G109="",AND(G109&gt;=Dashboard!$C$18,G109&lt;=Dashboard!$C$19)),1,0))</f>
        <v>1</v>
      </c>
      <c r="M109" s="24">
        <f>IF(AND(L109=1,OR(Dashboard!$C$13="All",A109=Dashboard!$C$13),OR(Dashboard!$C$14="All",B109=Dashboard!$C$14),OR(Dashboard!$C$15="All",C109=Dashboard!$C$15),OR(Dashboard!$C$16="All",K109=Dashboard!$C$16),OR(Dashboard!$C$17="All",J109=Dashboard!$C$17)),1,0)</f>
        <v>1</v>
      </c>
      <c r="N109" s="24">
        <f>IF(AND(L109=1,OR(Dashboard!$C$13="All",A109=Dashboard!$C$13),OR(Dashboard!$C$14="All",B109=Dashboard!$C$14),OR(Dashboard!$C$16="All",K109=Dashboard!$C$16),OR(Dashboard!$C$17="All",J109=Dashboard!$C$17)),1,0)</f>
        <v>1</v>
      </c>
      <c r="O109" s="24">
        <f>IF(AND(L109=1,OR(Dashboard!$C$13="All",A109=Dashboard!$C$13),OR(Dashboard!$C$15="All",C109=Dashboard!$C$15),OR(Dashboard!$C$16="All",K109=Dashboard!$C$16),OR(Dashboard!$C$17="All",J109=Dashboard!$C$17)),1,0)</f>
        <v>1</v>
      </c>
      <c r="P109" s="24">
        <f>IF(AND(L109=1,OR(Dashboard!$C$13="All",A109=Dashboard!$C$13),OR(Dashboard!$C$14="All",B109=Dashboard!$C$14),OR(Dashboard!$C$15="All",C109=Dashboard!$C$15),OR(Dashboard!$C$17="All",J109=Dashboard!$C$17)),1,0)</f>
        <v>1</v>
      </c>
      <c r="Q109" s="24">
        <f>IF(AND(L109=1,OR(Dashboard!$C$14="All",B109=Dashboard!$C$14),OR(Dashboard!$C$15="All",C109=Dashboard!$C$15),OR(Dashboard!$C$16="All",K109=Dashboard!$C$16),OR(Dashboard!$C$17="All",J109=Dashboard!$C$17)),1,0)</f>
        <v>1</v>
      </c>
      <c r="R109" s="24">
        <f>IF(AND(L109=1,OR(Dashboard!$C$13="All",A109=Dashboard!$C$13),OR(Dashboard!$C$14="All",B109=Dashboard!$C$14),OR(Dashboard!$C$15="All",C109=Dashboard!$C$15),OR(Dashboard!$C$16="All",K109=Dashboard!$C$16)),1,0)</f>
        <v>1</v>
      </c>
      <c r="S109" s="24">
        <f t="shared" si="3"/>
        <v>108</v>
      </c>
      <c r="T109" s="24" t="s">
        <v>342</v>
      </c>
      <c r="V109" s="24" t="s">
        <v>343</v>
      </c>
    </row>
    <row r="110" ht="15.75" customHeight="1">
      <c r="A110" s="3" t="s">
        <v>183</v>
      </c>
      <c r="B110" s="4"/>
      <c r="C110" s="3" t="s">
        <v>299</v>
      </c>
      <c r="D110" s="4">
        <v>2.0</v>
      </c>
      <c r="E110" s="14">
        <v>45.0</v>
      </c>
      <c r="F110" s="5">
        <f t="shared" si="1"/>
        <v>90</v>
      </c>
      <c r="G110" s="6">
        <v>46252.0</v>
      </c>
      <c r="H110" s="22">
        <v>20.0</v>
      </c>
      <c r="I110" s="7">
        <f t="shared" si="2"/>
        <v>46392</v>
      </c>
      <c r="J110" s="4" t="s">
        <v>25</v>
      </c>
      <c r="K110" s="8" t="s">
        <v>48</v>
      </c>
      <c r="L110" s="24">
        <f>IF(A110="","",IF(OR(G110="",AND(G110&gt;=Dashboard!$C$18,G110&lt;=Dashboard!$C$19)),1,0))</f>
        <v>1</v>
      </c>
      <c r="M110" s="24">
        <f>IF(AND(L110=1,OR(Dashboard!$C$13="All",A110=Dashboard!$C$13),OR(Dashboard!$C$14="All",B110=Dashboard!$C$14),OR(Dashboard!$C$15="All",C110=Dashboard!$C$15),OR(Dashboard!$C$16="All",K110=Dashboard!$C$16),OR(Dashboard!$C$17="All",J110=Dashboard!$C$17)),1,0)</f>
        <v>1</v>
      </c>
      <c r="N110" s="24">
        <f>IF(AND(L110=1,OR(Dashboard!$C$13="All",A110=Dashboard!$C$13),OR(Dashboard!$C$14="All",B110=Dashboard!$C$14),OR(Dashboard!$C$16="All",K110=Dashboard!$C$16),OR(Dashboard!$C$17="All",J110=Dashboard!$C$17)),1,0)</f>
        <v>1</v>
      </c>
      <c r="O110" s="24">
        <f>IF(AND(L110=1,OR(Dashboard!$C$13="All",A110=Dashboard!$C$13),OR(Dashboard!$C$15="All",C110=Dashboard!$C$15),OR(Dashboard!$C$16="All",K110=Dashboard!$C$16),OR(Dashboard!$C$17="All",J110=Dashboard!$C$17)),1,0)</f>
        <v>1</v>
      </c>
      <c r="P110" s="24">
        <f>IF(AND(L110=1,OR(Dashboard!$C$13="All",A110=Dashboard!$C$13),OR(Dashboard!$C$14="All",B110=Dashboard!$C$14),OR(Dashboard!$C$15="All",C110=Dashboard!$C$15),OR(Dashboard!$C$17="All",J110=Dashboard!$C$17)),1,0)</f>
        <v>1</v>
      </c>
      <c r="Q110" s="24">
        <f>IF(AND(L110=1,OR(Dashboard!$C$14="All",B110=Dashboard!$C$14),OR(Dashboard!$C$15="All",C110=Dashboard!$C$15),OR(Dashboard!$C$16="All",K110=Dashboard!$C$16),OR(Dashboard!$C$17="All",J110=Dashboard!$C$17)),1,0)</f>
        <v>1</v>
      </c>
      <c r="R110" s="24">
        <f>IF(AND(L110=1,OR(Dashboard!$C$13="All",A110=Dashboard!$C$13),OR(Dashboard!$C$14="All",B110=Dashboard!$C$14),OR(Dashboard!$C$15="All",C110=Dashboard!$C$15),OR(Dashboard!$C$16="All",K110=Dashboard!$C$16)),1,0)</f>
        <v>1</v>
      </c>
      <c r="S110" s="24">
        <f t="shared" si="3"/>
        <v>109</v>
      </c>
      <c r="T110" s="24" t="s">
        <v>344</v>
      </c>
      <c r="V110" s="24" t="s">
        <v>345</v>
      </c>
    </row>
    <row r="111" ht="15.75" customHeight="1">
      <c r="A111" s="10" t="s">
        <v>183</v>
      </c>
      <c r="B111" s="13"/>
      <c r="C111" s="10" t="s">
        <v>201</v>
      </c>
      <c r="D111" s="13">
        <v>1.0</v>
      </c>
      <c r="E111" s="17">
        <v>5554.0</v>
      </c>
      <c r="F111" s="15">
        <f t="shared" si="1"/>
        <v>5554</v>
      </c>
      <c r="G111" s="6">
        <v>46253.0</v>
      </c>
      <c r="H111" s="22">
        <v>21.0</v>
      </c>
      <c r="I111" s="16">
        <f t="shared" si="2"/>
        <v>46400</v>
      </c>
      <c r="J111" s="13" t="s">
        <v>25</v>
      </c>
      <c r="K111" s="13" t="s">
        <v>31</v>
      </c>
      <c r="L111" s="24">
        <f>IF(A111="","",IF(OR(G111="",AND(G111&gt;=Dashboard!$C$18,G111&lt;=Dashboard!$C$19)),1,0))</f>
        <v>1</v>
      </c>
      <c r="M111" s="24">
        <f>IF(AND(L111=1,OR(Dashboard!$C$13="All",A111=Dashboard!$C$13),OR(Dashboard!$C$14="All",B111=Dashboard!$C$14),OR(Dashboard!$C$15="All",C111=Dashboard!$C$15),OR(Dashboard!$C$16="All",K111=Dashboard!$C$16),OR(Dashboard!$C$17="All",J111=Dashboard!$C$17)),1,0)</f>
        <v>1</v>
      </c>
      <c r="N111" s="24">
        <f>IF(AND(L111=1,OR(Dashboard!$C$13="All",A111=Dashboard!$C$13),OR(Dashboard!$C$14="All",B111=Dashboard!$C$14),OR(Dashboard!$C$16="All",K111=Dashboard!$C$16),OR(Dashboard!$C$17="All",J111=Dashboard!$C$17)),1,0)</f>
        <v>1</v>
      </c>
      <c r="O111" s="24">
        <f>IF(AND(L111=1,OR(Dashboard!$C$13="All",A111=Dashboard!$C$13),OR(Dashboard!$C$15="All",C111=Dashboard!$C$15),OR(Dashboard!$C$16="All",K111=Dashboard!$C$16),OR(Dashboard!$C$17="All",J111=Dashboard!$C$17)),1,0)</f>
        <v>1</v>
      </c>
      <c r="P111" s="24">
        <f>IF(AND(L111=1,OR(Dashboard!$C$13="All",A111=Dashboard!$C$13),OR(Dashboard!$C$14="All",B111=Dashboard!$C$14),OR(Dashboard!$C$15="All",C111=Dashboard!$C$15),OR(Dashboard!$C$17="All",J111=Dashboard!$C$17)),1,0)</f>
        <v>1</v>
      </c>
      <c r="Q111" s="24">
        <f>IF(AND(L111=1,OR(Dashboard!$C$14="All",B111=Dashboard!$C$14),OR(Dashboard!$C$15="All",C111=Dashboard!$C$15),OR(Dashboard!$C$16="All",K111=Dashboard!$C$16),OR(Dashboard!$C$17="All",J111=Dashboard!$C$17)),1,0)</f>
        <v>1</v>
      </c>
      <c r="R111" s="24">
        <f>IF(AND(L111=1,OR(Dashboard!$C$13="All",A111=Dashboard!$C$13),OR(Dashboard!$C$14="All",B111=Dashboard!$C$14),OR(Dashboard!$C$15="All",C111=Dashboard!$C$15),OR(Dashboard!$C$16="All",K111=Dashboard!$C$16)),1,0)</f>
        <v>1</v>
      </c>
      <c r="S111" s="24">
        <f t="shared" si="3"/>
        <v>110</v>
      </c>
      <c r="T111" s="24" t="s">
        <v>346</v>
      </c>
      <c r="V111" s="24" t="s">
        <v>347</v>
      </c>
    </row>
    <row r="112" ht="15.75" customHeight="1">
      <c r="A112" s="3" t="s">
        <v>183</v>
      </c>
      <c r="B112" s="4"/>
      <c r="C112" s="3" t="s">
        <v>79</v>
      </c>
      <c r="D112" s="4">
        <v>1.0</v>
      </c>
      <c r="E112" s="14">
        <v>41.0</v>
      </c>
      <c r="F112" s="5">
        <f t="shared" si="1"/>
        <v>41</v>
      </c>
      <c r="G112" s="6">
        <v>46254.0</v>
      </c>
      <c r="H112" s="22">
        <v>21.0</v>
      </c>
      <c r="I112" s="7">
        <f t="shared" si="2"/>
        <v>46401</v>
      </c>
      <c r="J112" s="4" t="s">
        <v>25</v>
      </c>
      <c r="K112" s="4" t="s">
        <v>31</v>
      </c>
      <c r="L112" s="24">
        <f>IF(A112="","",IF(OR(G112="",AND(G112&gt;=Dashboard!$C$18,G112&lt;=Dashboard!$C$19)),1,0))</f>
        <v>1</v>
      </c>
      <c r="M112" s="24">
        <f>IF(AND(L112=1,OR(Dashboard!$C$13="All",A112=Dashboard!$C$13),OR(Dashboard!$C$14="All",B112=Dashboard!$C$14),OR(Dashboard!$C$15="All",C112=Dashboard!$C$15),OR(Dashboard!$C$16="All",K112=Dashboard!$C$16),OR(Dashboard!$C$17="All",J112=Dashboard!$C$17)),1,0)</f>
        <v>1</v>
      </c>
      <c r="N112" s="24">
        <f>IF(AND(L112=1,OR(Dashboard!$C$13="All",A112=Dashboard!$C$13),OR(Dashboard!$C$14="All",B112=Dashboard!$C$14),OR(Dashboard!$C$16="All",K112=Dashboard!$C$16),OR(Dashboard!$C$17="All",J112=Dashboard!$C$17)),1,0)</f>
        <v>1</v>
      </c>
      <c r="O112" s="24">
        <f>IF(AND(L112=1,OR(Dashboard!$C$13="All",A112=Dashboard!$C$13),OR(Dashboard!$C$15="All",C112=Dashboard!$C$15),OR(Dashboard!$C$16="All",K112=Dashboard!$C$16),OR(Dashboard!$C$17="All",J112=Dashboard!$C$17)),1,0)</f>
        <v>1</v>
      </c>
      <c r="P112" s="24">
        <f>IF(AND(L112=1,OR(Dashboard!$C$13="All",A112=Dashboard!$C$13),OR(Dashboard!$C$14="All",B112=Dashboard!$C$14),OR(Dashboard!$C$15="All",C112=Dashboard!$C$15),OR(Dashboard!$C$17="All",J112=Dashboard!$C$17)),1,0)</f>
        <v>1</v>
      </c>
      <c r="Q112" s="24">
        <f>IF(AND(L112=1,OR(Dashboard!$C$14="All",B112=Dashboard!$C$14),OR(Dashboard!$C$15="All",C112=Dashboard!$C$15),OR(Dashboard!$C$16="All",K112=Dashboard!$C$16),OR(Dashboard!$C$17="All",J112=Dashboard!$C$17)),1,0)</f>
        <v>1</v>
      </c>
      <c r="R112" s="24">
        <f>IF(AND(L112=1,OR(Dashboard!$C$13="All",A112=Dashboard!$C$13),OR(Dashboard!$C$14="All",B112=Dashboard!$C$14),OR(Dashboard!$C$15="All",C112=Dashboard!$C$15),OR(Dashboard!$C$16="All",K112=Dashboard!$C$16)),1,0)</f>
        <v>1</v>
      </c>
      <c r="S112" s="24">
        <f t="shared" si="3"/>
        <v>111</v>
      </c>
      <c r="T112" s="24" t="s">
        <v>348</v>
      </c>
      <c r="V112" s="24" t="s">
        <v>349</v>
      </c>
    </row>
    <row r="113" ht="15.75" customHeight="1">
      <c r="A113" s="10" t="s">
        <v>183</v>
      </c>
      <c r="B113" s="13"/>
      <c r="C113" s="10" t="s">
        <v>305</v>
      </c>
      <c r="D113" s="13">
        <v>100.0</v>
      </c>
      <c r="E113" s="17">
        <v>231.0</v>
      </c>
      <c r="F113" s="15">
        <f t="shared" si="1"/>
        <v>23100</v>
      </c>
      <c r="G113" s="6">
        <v>46255.0</v>
      </c>
      <c r="H113" s="22">
        <v>14.0</v>
      </c>
      <c r="I113" s="16">
        <f t="shared" si="2"/>
        <v>46353</v>
      </c>
      <c r="J113" s="13" t="s">
        <v>25</v>
      </c>
      <c r="K113" s="13" t="s">
        <v>31</v>
      </c>
      <c r="L113" s="24">
        <f>IF(A113="","",IF(OR(G113="",AND(G113&gt;=Dashboard!$C$18,G113&lt;=Dashboard!$C$19)),1,0))</f>
        <v>1</v>
      </c>
      <c r="M113" s="24">
        <f>IF(AND(L113=1,OR(Dashboard!$C$13="All",A113=Dashboard!$C$13),OR(Dashboard!$C$14="All",B113=Dashboard!$C$14),OR(Dashboard!$C$15="All",C113=Dashboard!$C$15),OR(Dashboard!$C$16="All",K113=Dashboard!$C$16),OR(Dashboard!$C$17="All",J113=Dashboard!$C$17)),1,0)</f>
        <v>1</v>
      </c>
      <c r="N113" s="24">
        <f>IF(AND(L113=1,OR(Dashboard!$C$13="All",A113=Dashboard!$C$13),OR(Dashboard!$C$14="All",B113=Dashboard!$C$14),OR(Dashboard!$C$16="All",K113=Dashboard!$C$16),OR(Dashboard!$C$17="All",J113=Dashboard!$C$17)),1,0)</f>
        <v>1</v>
      </c>
      <c r="O113" s="24">
        <f>IF(AND(L113=1,OR(Dashboard!$C$13="All",A113=Dashboard!$C$13),OR(Dashboard!$C$15="All",C113=Dashboard!$C$15),OR(Dashboard!$C$16="All",K113=Dashboard!$C$16),OR(Dashboard!$C$17="All",J113=Dashboard!$C$17)),1,0)</f>
        <v>1</v>
      </c>
      <c r="P113" s="24">
        <f>IF(AND(L113=1,OR(Dashboard!$C$13="All",A113=Dashboard!$C$13),OR(Dashboard!$C$14="All",B113=Dashboard!$C$14),OR(Dashboard!$C$15="All",C113=Dashboard!$C$15),OR(Dashboard!$C$17="All",J113=Dashboard!$C$17)),1,0)</f>
        <v>1</v>
      </c>
      <c r="Q113" s="24">
        <f>IF(AND(L113=1,OR(Dashboard!$C$14="All",B113=Dashboard!$C$14),OR(Dashboard!$C$15="All",C113=Dashboard!$C$15),OR(Dashboard!$C$16="All",K113=Dashboard!$C$16),OR(Dashboard!$C$17="All",J113=Dashboard!$C$17)),1,0)</f>
        <v>1</v>
      </c>
      <c r="R113" s="24">
        <f>IF(AND(L113=1,OR(Dashboard!$C$13="All",A113=Dashboard!$C$13),OR(Dashboard!$C$14="All",B113=Dashboard!$C$14),OR(Dashboard!$C$15="All",C113=Dashboard!$C$15),OR(Dashboard!$C$16="All",K113=Dashboard!$C$16)),1,0)</f>
        <v>1</v>
      </c>
      <c r="S113" s="24">
        <f t="shared" si="3"/>
        <v>112</v>
      </c>
      <c r="T113" s="24" t="s">
        <v>350</v>
      </c>
      <c r="V113" s="24" t="s">
        <v>97</v>
      </c>
    </row>
    <row r="114" ht="15.75" customHeight="1">
      <c r="A114" s="3" t="s">
        <v>185</v>
      </c>
      <c r="B114" s="4"/>
      <c r="C114" s="3" t="s">
        <v>272</v>
      </c>
      <c r="D114" s="4">
        <v>1.0</v>
      </c>
      <c r="E114" s="14">
        <v>25.0</v>
      </c>
      <c r="F114" s="5">
        <f t="shared" si="1"/>
        <v>25</v>
      </c>
      <c r="G114" s="6">
        <v>46256.0</v>
      </c>
      <c r="H114" s="22">
        <v>14.0</v>
      </c>
      <c r="I114" s="7">
        <f t="shared" si="2"/>
        <v>46354</v>
      </c>
      <c r="J114" s="4" t="s">
        <v>25</v>
      </c>
      <c r="K114" s="4" t="s">
        <v>31</v>
      </c>
      <c r="L114" s="24">
        <f>IF(A114="","",IF(OR(G114="",AND(G114&gt;=Dashboard!$C$18,G114&lt;=Dashboard!$C$19)),1,0))</f>
        <v>1</v>
      </c>
      <c r="M114" s="24">
        <f>IF(AND(L114=1,OR(Dashboard!$C$13="All",A114=Dashboard!$C$13),OR(Dashboard!$C$14="All",B114=Dashboard!$C$14),OR(Dashboard!$C$15="All",C114=Dashboard!$C$15),OR(Dashboard!$C$16="All",K114=Dashboard!$C$16),OR(Dashboard!$C$17="All",J114=Dashboard!$C$17)),1,0)</f>
        <v>1</v>
      </c>
      <c r="N114" s="24">
        <f>IF(AND(L114=1,OR(Dashboard!$C$13="All",A114=Dashboard!$C$13),OR(Dashboard!$C$14="All",B114=Dashboard!$C$14),OR(Dashboard!$C$16="All",K114=Dashboard!$C$16),OR(Dashboard!$C$17="All",J114=Dashboard!$C$17)),1,0)</f>
        <v>1</v>
      </c>
      <c r="O114" s="24">
        <f>IF(AND(L114=1,OR(Dashboard!$C$13="All",A114=Dashboard!$C$13),OR(Dashboard!$C$15="All",C114=Dashboard!$C$15),OR(Dashboard!$C$16="All",K114=Dashboard!$C$16),OR(Dashboard!$C$17="All",J114=Dashboard!$C$17)),1,0)</f>
        <v>1</v>
      </c>
      <c r="P114" s="24">
        <f>IF(AND(L114=1,OR(Dashboard!$C$13="All",A114=Dashboard!$C$13),OR(Dashboard!$C$14="All",B114=Dashboard!$C$14),OR(Dashboard!$C$15="All",C114=Dashboard!$C$15),OR(Dashboard!$C$17="All",J114=Dashboard!$C$17)),1,0)</f>
        <v>1</v>
      </c>
      <c r="Q114" s="24">
        <f>IF(AND(L114=1,OR(Dashboard!$C$14="All",B114=Dashboard!$C$14),OR(Dashboard!$C$15="All",C114=Dashboard!$C$15),OR(Dashboard!$C$16="All",K114=Dashboard!$C$16),OR(Dashboard!$C$17="All",J114=Dashboard!$C$17)),1,0)</f>
        <v>1</v>
      </c>
      <c r="R114" s="24">
        <f>IF(AND(L114=1,OR(Dashboard!$C$13="All",A114=Dashboard!$C$13),OR(Dashboard!$C$14="All",B114=Dashboard!$C$14),OR(Dashboard!$C$15="All",C114=Dashboard!$C$15),OR(Dashboard!$C$16="All",K114=Dashboard!$C$16)),1,0)</f>
        <v>1</v>
      </c>
      <c r="S114" s="24">
        <f t="shared" si="3"/>
        <v>113</v>
      </c>
      <c r="T114" s="24" t="s">
        <v>351</v>
      </c>
      <c r="V114" s="24" t="s">
        <v>352</v>
      </c>
    </row>
    <row r="115" ht="15.75" customHeight="1">
      <c r="A115" s="10" t="s">
        <v>188</v>
      </c>
      <c r="B115" s="13"/>
      <c r="C115" s="10" t="s">
        <v>65</v>
      </c>
      <c r="D115" s="13">
        <v>5000.0</v>
      </c>
      <c r="E115" s="17">
        <v>245.0</v>
      </c>
      <c r="F115" s="15">
        <f t="shared" si="1"/>
        <v>1225000</v>
      </c>
      <c r="G115" s="6">
        <v>46257.0</v>
      </c>
      <c r="H115" s="22">
        <v>12.0</v>
      </c>
      <c r="I115" s="16">
        <f t="shared" si="2"/>
        <v>46341</v>
      </c>
      <c r="J115" s="13" t="s">
        <v>25</v>
      </c>
      <c r="K115" s="13" t="s">
        <v>31</v>
      </c>
      <c r="L115" s="24">
        <f>IF(A115="","",IF(OR(G115="",AND(G115&gt;=Dashboard!$C$18,G115&lt;=Dashboard!$C$19)),1,0))</f>
        <v>1</v>
      </c>
      <c r="M115" s="24">
        <f>IF(AND(L115=1,OR(Dashboard!$C$13="All",A115=Dashboard!$C$13),OR(Dashboard!$C$14="All",B115=Dashboard!$C$14),OR(Dashboard!$C$15="All",C115=Dashboard!$C$15),OR(Dashboard!$C$16="All",K115=Dashboard!$C$16),OR(Dashboard!$C$17="All",J115=Dashboard!$C$17)),1,0)</f>
        <v>1</v>
      </c>
      <c r="N115" s="24">
        <f>IF(AND(L115=1,OR(Dashboard!$C$13="All",A115=Dashboard!$C$13),OR(Dashboard!$C$14="All",B115=Dashboard!$C$14),OR(Dashboard!$C$16="All",K115=Dashboard!$C$16),OR(Dashboard!$C$17="All",J115=Dashboard!$C$17)),1,0)</f>
        <v>1</v>
      </c>
      <c r="O115" s="24">
        <f>IF(AND(L115=1,OR(Dashboard!$C$13="All",A115=Dashboard!$C$13),OR(Dashboard!$C$15="All",C115=Dashboard!$C$15),OR(Dashboard!$C$16="All",K115=Dashboard!$C$16),OR(Dashboard!$C$17="All",J115=Dashboard!$C$17)),1,0)</f>
        <v>1</v>
      </c>
      <c r="P115" s="24">
        <f>IF(AND(L115=1,OR(Dashboard!$C$13="All",A115=Dashboard!$C$13),OR(Dashboard!$C$14="All",B115=Dashboard!$C$14),OR(Dashboard!$C$15="All",C115=Dashboard!$C$15),OR(Dashboard!$C$17="All",J115=Dashboard!$C$17)),1,0)</f>
        <v>1</v>
      </c>
      <c r="Q115" s="24">
        <f>IF(AND(L115=1,OR(Dashboard!$C$14="All",B115=Dashboard!$C$14),OR(Dashboard!$C$15="All",C115=Dashboard!$C$15),OR(Dashboard!$C$16="All",K115=Dashboard!$C$16),OR(Dashboard!$C$17="All",J115=Dashboard!$C$17)),1,0)</f>
        <v>1</v>
      </c>
      <c r="R115" s="24">
        <f>IF(AND(L115=1,OR(Dashboard!$C$13="All",A115=Dashboard!$C$13),OR(Dashboard!$C$14="All",B115=Dashboard!$C$14),OR(Dashboard!$C$15="All",C115=Dashboard!$C$15),OR(Dashboard!$C$16="All",K115=Dashboard!$C$16)),1,0)</f>
        <v>1</v>
      </c>
      <c r="S115" s="24">
        <f t="shared" si="3"/>
        <v>114</v>
      </c>
      <c r="T115" s="24" t="s">
        <v>353</v>
      </c>
      <c r="V115" s="24" t="s">
        <v>273</v>
      </c>
    </row>
    <row r="116" ht="15.75" customHeight="1">
      <c r="A116" s="3" t="s">
        <v>188</v>
      </c>
      <c r="B116" s="4"/>
      <c r="C116" s="3" t="s">
        <v>73</v>
      </c>
      <c r="D116" s="4">
        <v>2.0</v>
      </c>
      <c r="E116" s="14">
        <v>2555.0</v>
      </c>
      <c r="F116" s="5">
        <f t="shared" si="1"/>
        <v>5110</v>
      </c>
      <c r="G116" s="6">
        <v>46258.0</v>
      </c>
      <c r="H116" s="22">
        <v>11.0</v>
      </c>
      <c r="I116" s="7">
        <f t="shared" si="2"/>
        <v>46335</v>
      </c>
      <c r="J116" s="4" t="s">
        <v>25</v>
      </c>
      <c r="K116" s="4" t="s">
        <v>31</v>
      </c>
      <c r="L116" s="24">
        <f>IF(A116="","",IF(OR(G116="",AND(G116&gt;=Dashboard!$C$18,G116&lt;=Dashboard!$C$19)),1,0))</f>
        <v>1</v>
      </c>
      <c r="M116" s="24">
        <f>IF(AND(L116=1,OR(Dashboard!$C$13="All",A116=Dashboard!$C$13),OR(Dashboard!$C$14="All",B116=Dashboard!$C$14),OR(Dashboard!$C$15="All",C116=Dashboard!$C$15),OR(Dashboard!$C$16="All",K116=Dashboard!$C$16),OR(Dashboard!$C$17="All",J116=Dashboard!$C$17)),1,0)</f>
        <v>1</v>
      </c>
      <c r="N116" s="24">
        <f>IF(AND(L116=1,OR(Dashboard!$C$13="All",A116=Dashboard!$C$13),OR(Dashboard!$C$14="All",B116=Dashboard!$C$14),OR(Dashboard!$C$16="All",K116=Dashboard!$C$16),OR(Dashboard!$C$17="All",J116=Dashboard!$C$17)),1,0)</f>
        <v>1</v>
      </c>
      <c r="O116" s="24">
        <f>IF(AND(L116=1,OR(Dashboard!$C$13="All",A116=Dashboard!$C$13),OR(Dashboard!$C$15="All",C116=Dashboard!$C$15),OR(Dashboard!$C$16="All",K116=Dashboard!$C$16),OR(Dashboard!$C$17="All",J116=Dashboard!$C$17)),1,0)</f>
        <v>1</v>
      </c>
      <c r="P116" s="24">
        <f>IF(AND(L116=1,OR(Dashboard!$C$13="All",A116=Dashboard!$C$13),OR(Dashboard!$C$14="All",B116=Dashboard!$C$14),OR(Dashboard!$C$15="All",C116=Dashboard!$C$15),OR(Dashboard!$C$17="All",J116=Dashboard!$C$17)),1,0)</f>
        <v>1</v>
      </c>
      <c r="Q116" s="24">
        <f>IF(AND(L116=1,OR(Dashboard!$C$14="All",B116=Dashboard!$C$14),OR(Dashboard!$C$15="All",C116=Dashboard!$C$15),OR(Dashboard!$C$16="All",K116=Dashboard!$C$16),OR(Dashboard!$C$17="All",J116=Dashboard!$C$17)),1,0)</f>
        <v>1</v>
      </c>
      <c r="R116" s="24">
        <f>IF(AND(L116=1,OR(Dashboard!$C$13="All",A116=Dashboard!$C$13),OR(Dashboard!$C$14="All",B116=Dashboard!$C$14),OR(Dashboard!$C$15="All",C116=Dashboard!$C$15),OR(Dashboard!$C$16="All",K116=Dashboard!$C$16)),1,0)</f>
        <v>1</v>
      </c>
      <c r="S116" s="24">
        <f t="shared" si="3"/>
        <v>115</v>
      </c>
      <c r="T116" s="24" t="s">
        <v>354</v>
      </c>
      <c r="V116" s="24" t="s">
        <v>355</v>
      </c>
    </row>
    <row r="117" ht="15.75" customHeight="1">
      <c r="A117" s="10" t="s">
        <v>191</v>
      </c>
      <c r="B117" s="13"/>
      <c r="C117" s="10" t="s">
        <v>76</v>
      </c>
      <c r="D117" s="13">
        <v>1.0</v>
      </c>
      <c r="E117" s="17">
        <v>255.0</v>
      </c>
      <c r="F117" s="15">
        <f t="shared" si="1"/>
        <v>255</v>
      </c>
      <c r="G117" s="6">
        <v>46259.0</v>
      </c>
      <c r="H117" s="22">
        <v>15.0</v>
      </c>
      <c r="I117" s="16">
        <f t="shared" si="2"/>
        <v>46364</v>
      </c>
      <c r="J117" s="13" t="s">
        <v>25</v>
      </c>
      <c r="K117" s="8" t="s">
        <v>26</v>
      </c>
      <c r="L117" s="24">
        <f>IF(A117="","",IF(OR(G117="",AND(G117&gt;=Dashboard!$C$18,G117&lt;=Dashboard!$C$19)),1,0))</f>
        <v>1</v>
      </c>
      <c r="M117" s="24">
        <f>IF(AND(L117=1,OR(Dashboard!$C$13="All",A117=Dashboard!$C$13),OR(Dashboard!$C$14="All",B117=Dashboard!$C$14),OR(Dashboard!$C$15="All",C117=Dashboard!$C$15),OR(Dashboard!$C$16="All",K117=Dashboard!$C$16),OR(Dashboard!$C$17="All",J117=Dashboard!$C$17)),1,0)</f>
        <v>1</v>
      </c>
      <c r="N117" s="24">
        <f>IF(AND(L117=1,OR(Dashboard!$C$13="All",A117=Dashboard!$C$13),OR(Dashboard!$C$14="All",B117=Dashboard!$C$14),OR(Dashboard!$C$16="All",K117=Dashboard!$C$16),OR(Dashboard!$C$17="All",J117=Dashboard!$C$17)),1,0)</f>
        <v>1</v>
      </c>
      <c r="O117" s="24">
        <f>IF(AND(L117=1,OR(Dashboard!$C$13="All",A117=Dashboard!$C$13),OR(Dashboard!$C$15="All",C117=Dashboard!$C$15),OR(Dashboard!$C$16="All",K117=Dashboard!$C$16),OR(Dashboard!$C$17="All",J117=Dashboard!$C$17)),1,0)</f>
        <v>1</v>
      </c>
      <c r="P117" s="24">
        <f>IF(AND(L117=1,OR(Dashboard!$C$13="All",A117=Dashboard!$C$13),OR(Dashboard!$C$14="All",B117=Dashboard!$C$14),OR(Dashboard!$C$15="All",C117=Dashboard!$C$15),OR(Dashboard!$C$17="All",J117=Dashboard!$C$17)),1,0)</f>
        <v>1</v>
      </c>
      <c r="Q117" s="24">
        <f>IF(AND(L117=1,OR(Dashboard!$C$14="All",B117=Dashboard!$C$14),OR(Dashboard!$C$15="All",C117=Dashboard!$C$15),OR(Dashboard!$C$16="All",K117=Dashboard!$C$16),OR(Dashboard!$C$17="All",J117=Dashboard!$C$17)),1,0)</f>
        <v>1</v>
      </c>
      <c r="R117" s="24">
        <f>IF(AND(L117=1,OR(Dashboard!$C$13="All",A117=Dashboard!$C$13),OR(Dashboard!$C$14="All",B117=Dashboard!$C$14),OR(Dashboard!$C$15="All",C117=Dashboard!$C$15),OR(Dashboard!$C$16="All",K117=Dashboard!$C$16)),1,0)</f>
        <v>1</v>
      </c>
      <c r="S117" s="24">
        <f t="shared" si="3"/>
        <v>116</v>
      </c>
      <c r="T117" s="24" t="s">
        <v>356</v>
      </c>
      <c r="V117" s="24" t="s">
        <v>331</v>
      </c>
    </row>
    <row r="118" ht="15.75" customHeight="1">
      <c r="A118" s="3" t="s">
        <v>194</v>
      </c>
      <c r="B118" s="4"/>
      <c r="C118" s="3" t="s">
        <v>357</v>
      </c>
      <c r="D118" s="4">
        <v>2000.0</v>
      </c>
      <c r="E118" s="14">
        <v>45.0</v>
      </c>
      <c r="F118" s="5">
        <f t="shared" si="1"/>
        <v>90000</v>
      </c>
      <c r="G118" s="6">
        <v>46260.0</v>
      </c>
      <c r="H118" s="22">
        <v>12.0</v>
      </c>
      <c r="I118" s="7">
        <f t="shared" si="2"/>
        <v>46344</v>
      </c>
      <c r="J118" s="4" t="s">
        <v>25</v>
      </c>
      <c r="K118" s="13" t="s">
        <v>31</v>
      </c>
      <c r="L118" s="24">
        <f>IF(A118="","",IF(OR(G118="",AND(G118&gt;=Dashboard!$C$18,G118&lt;=Dashboard!$C$19)),1,0))</f>
        <v>1</v>
      </c>
      <c r="M118" s="24">
        <f>IF(AND(L118=1,OR(Dashboard!$C$13="All",A118=Dashboard!$C$13),OR(Dashboard!$C$14="All",B118=Dashboard!$C$14),OR(Dashboard!$C$15="All",C118=Dashboard!$C$15),OR(Dashboard!$C$16="All",K118=Dashboard!$C$16),OR(Dashboard!$C$17="All",J118=Dashboard!$C$17)),1,0)</f>
        <v>1</v>
      </c>
      <c r="N118" s="24">
        <f>IF(AND(L118=1,OR(Dashboard!$C$13="All",A118=Dashboard!$C$13),OR(Dashboard!$C$14="All",B118=Dashboard!$C$14),OR(Dashboard!$C$16="All",K118=Dashboard!$C$16),OR(Dashboard!$C$17="All",J118=Dashboard!$C$17)),1,0)</f>
        <v>1</v>
      </c>
      <c r="O118" s="24">
        <f>IF(AND(L118=1,OR(Dashboard!$C$13="All",A118=Dashboard!$C$13),OR(Dashboard!$C$15="All",C118=Dashboard!$C$15),OR(Dashboard!$C$16="All",K118=Dashboard!$C$16),OR(Dashboard!$C$17="All",J118=Dashboard!$C$17)),1,0)</f>
        <v>1</v>
      </c>
      <c r="P118" s="24">
        <f>IF(AND(L118=1,OR(Dashboard!$C$13="All",A118=Dashboard!$C$13),OR(Dashboard!$C$14="All",B118=Dashboard!$C$14),OR(Dashboard!$C$15="All",C118=Dashboard!$C$15),OR(Dashboard!$C$17="All",J118=Dashboard!$C$17)),1,0)</f>
        <v>1</v>
      </c>
      <c r="Q118" s="24">
        <f>IF(AND(L118=1,OR(Dashboard!$C$14="All",B118=Dashboard!$C$14),OR(Dashboard!$C$15="All",C118=Dashboard!$C$15),OR(Dashboard!$C$16="All",K118=Dashboard!$C$16),OR(Dashboard!$C$17="All",J118=Dashboard!$C$17)),1,0)</f>
        <v>1</v>
      </c>
      <c r="R118" s="24">
        <f>IF(AND(L118=1,OR(Dashboard!$C$13="All",A118=Dashboard!$C$13),OR(Dashboard!$C$14="All",B118=Dashboard!$C$14),OR(Dashboard!$C$15="All",C118=Dashboard!$C$15),OR(Dashboard!$C$16="All",K118=Dashboard!$C$16)),1,0)</f>
        <v>1</v>
      </c>
      <c r="S118" s="24">
        <f t="shared" si="3"/>
        <v>117</v>
      </c>
      <c r="T118" s="24" t="s">
        <v>358</v>
      </c>
      <c r="V118" s="24" t="s">
        <v>359</v>
      </c>
    </row>
    <row r="119" ht="15.75" customHeight="1">
      <c r="A119" s="10" t="s">
        <v>197</v>
      </c>
      <c r="B119" s="13"/>
      <c r="C119" s="10"/>
      <c r="D119" s="13"/>
      <c r="E119" s="17">
        <v>36.0</v>
      </c>
      <c r="F119" s="15">
        <f t="shared" si="1"/>
        <v>0</v>
      </c>
      <c r="G119" s="6">
        <v>46261.0</v>
      </c>
      <c r="H119" s="22">
        <v>13.0</v>
      </c>
      <c r="I119" s="16">
        <f t="shared" si="2"/>
        <v>46352</v>
      </c>
      <c r="J119" s="13" t="s">
        <v>25</v>
      </c>
      <c r="K119" s="8" t="s">
        <v>37</v>
      </c>
      <c r="L119" s="24">
        <f>IF(A119="","",IF(OR(G119="",AND(G119&gt;=Dashboard!$C$18,G119&lt;=Dashboard!$C$19)),1,0))</f>
        <v>1</v>
      </c>
      <c r="M119" s="24">
        <f>IF(AND(L119=1,OR(Dashboard!$C$13="All",A119=Dashboard!$C$13),OR(Dashboard!$C$14="All",B119=Dashboard!$C$14),OR(Dashboard!$C$15="All",C119=Dashboard!$C$15),OR(Dashboard!$C$16="All",K119=Dashboard!$C$16),OR(Dashboard!$C$17="All",J119=Dashboard!$C$17)),1,0)</f>
        <v>1</v>
      </c>
      <c r="N119" s="24">
        <f>IF(AND(L119=1,OR(Dashboard!$C$13="All",A119=Dashboard!$C$13),OR(Dashboard!$C$14="All",B119=Dashboard!$C$14),OR(Dashboard!$C$16="All",K119=Dashboard!$C$16),OR(Dashboard!$C$17="All",J119=Dashboard!$C$17)),1,0)</f>
        <v>1</v>
      </c>
      <c r="O119" s="24">
        <f>IF(AND(L119=1,OR(Dashboard!$C$13="All",A119=Dashboard!$C$13),OR(Dashboard!$C$15="All",C119=Dashboard!$C$15),OR(Dashboard!$C$16="All",K119=Dashboard!$C$16),OR(Dashboard!$C$17="All",J119=Dashboard!$C$17)),1,0)</f>
        <v>1</v>
      </c>
      <c r="P119" s="24">
        <f>IF(AND(L119=1,OR(Dashboard!$C$13="All",A119=Dashboard!$C$13),OR(Dashboard!$C$14="All",B119=Dashboard!$C$14),OR(Dashboard!$C$15="All",C119=Dashboard!$C$15),OR(Dashboard!$C$17="All",J119=Dashboard!$C$17)),1,0)</f>
        <v>1</v>
      </c>
      <c r="Q119" s="24">
        <f>IF(AND(L119=1,OR(Dashboard!$C$14="All",B119=Dashboard!$C$14),OR(Dashboard!$C$15="All",C119=Dashboard!$C$15),OR(Dashboard!$C$16="All",K119=Dashboard!$C$16),OR(Dashboard!$C$17="All",J119=Dashboard!$C$17)),1,0)</f>
        <v>1</v>
      </c>
      <c r="R119" s="24">
        <f>IF(AND(L119=1,OR(Dashboard!$C$13="All",A119=Dashboard!$C$13),OR(Dashboard!$C$14="All",B119=Dashboard!$C$14),OR(Dashboard!$C$15="All",C119=Dashboard!$C$15),OR(Dashboard!$C$16="All",K119=Dashboard!$C$16)),1,0)</f>
        <v>1</v>
      </c>
      <c r="S119" s="24">
        <f t="shared" si="3"/>
        <v>118</v>
      </c>
      <c r="T119" s="24" t="s">
        <v>360</v>
      </c>
      <c r="V119" s="24" t="s">
        <v>193</v>
      </c>
    </row>
    <row r="120" ht="15.75" customHeight="1">
      <c r="A120" s="3" t="s">
        <v>199</v>
      </c>
      <c r="B120" s="4"/>
      <c r="C120" s="3" t="s">
        <v>361</v>
      </c>
      <c r="D120" s="4">
        <v>300.0</v>
      </c>
      <c r="E120" s="14">
        <v>96.0</v>
      </c>
      <c r="F120" s="5">
        <f t="shared" si="1"/>
        <v>28800</v>
      </c>
      <c r="G120" s="6">
        <v>46262.0</v>
      </c>
      <c r="H120" s="22">
        <v>11.0</v>
      </c>
      <c r="I120" s="7">
        <f t="shared" si="2"/>
        <v>46339</v>
      </c>
      <c r="J120" s="4" t="s">
        <v>25</v>
      </c>
      <c r="K120" s="11" t="s">
        <v>26</v>
      </c>
      <c r="L120" s="24">
        <f>IF(A120="","",IF(OR(G120="",AND(G120&gt;=Dashboard!$C$18,G120&lt;=Dashboard!$C$19)),1,0))</f>
        <v>1</v>
      </c>
      <c r="M120" s="24">
        <f>IF(AND(L120=1,OR(Dashboard!$C$13="All",A120=Dashboard!$C$13),OR(Dashboard!$C$14="All",B120=Dashboard!$C$14),OR(Dashboard!$C$15="All",C120=Dashboard!$C$15),OR(Dashboard!$C$16="All",K120=Dashboard!$C$16),OR(Dashboard!$C$17="All",J120=Dashboard!$C$17)),1,0)</f>
        <v>1</v>
      </c>
      <c r="N120" s="24">
        <f>IF(AND(L120=1,OR(Dashboard!$C$13="All",A120=Dashboard!$C$13),OR(Dashboard!$C$14="All",B120=Dashboard!$C$14),OR(Dashboard!$C$16="All",K120=Dashboard!$C$16),OR(Dashboard!$C$17="All",J120=Dashboard!$C$17)),1,0)</f>
        <v>1</v>
      </c>
      <c r="O120" s="24">
        <f>IF(AND(L120=1,OR(Dashboard!$C$13="All",A120=Dashboard!$C$13),OR(Dashboard!$C$15="All",C120=Dashboard!$C$15),OR(Dashboard!$C$16="All",K120=Dashboard!$C$16),OR(Dashboard!$C$17="All",J120=Dashboard!$C$17)),1,0)</f>
        <v>1</v>
      </c>
      <c r="P120" s="24">
        <f>IF(AND(L120=1,OR(Dashboard!$C$13="All",A120=Dashboard!$C$13),OR(Dashboard!$C$14="All",B120=Dashboard!$C$14),OR(Dashboard!$C$15="All",C120=Dashboard!$C$15),OR(Dashboard!$C$17="All",J120=Dashboard!$C$17)),1,0)</f>
        <v>1</v>
      </c>
      <c r="Q120" s="24">
        <f>IF(AND(L120=1,OR(Dashboard!$C$14="All",B120=Dashboard!$C$14),OR(Dashboard!$C$15="All",C120=Dashboard!$C$15),OR(Dashboard!$C$16="All",K120=Dashboard!$C$16),OR(Dashboard!$C$17="All",J120=Dashboard!$C$17)),1,0)</f>
        <v>1</v>
      </c>
      <c r="R120" s="24">
        <f>IF(AND(L120=1,OR(Dashboard!$C$13="All",A120=Dashboard!$C$13),OR(Dashboard!$C$14="All",B120=Dashboard!$C$14),OR(Dashboard!$C$15="All",C120=Dashboard!$C$15),OR(Dashboard!$C$16="All",K120=Dashboard!$C$16)),1,0)</f>
        <v>1</v>
      </c>
      <c r="S120" s="24">
        <f t="shared" si="3"/>
        <v>119</v>
      </c>
      <c r="T120" s="24" t="s">
        <v>362</v>
      </c>
      <c r="V120" s="24" t="s">
        <v>363</v>
      </c>
    </row>
    <row r="121" ht="15.75" customHeight="1">
      <c r="A121" s="10" t="s">
        <v>180</v>
      </c>
      <c r="B121" s="13"/>
      <c r="C121" s="10" t="s">
        <v>338</v>
      </c>
      <c r="D121" s="13">
        <v>300.0</v>
      </c>
      <c r="E121" s="17">
        <v>8.0</v>
      </c>
      <c r="F121" s="15">
        <f t="shared" si="1"/>
        <v>2400</v>
      </c>
      <c r="G121" s="6">
        <v>46263.0</v>
      </c>
      <c r="H121" s="22">
        <v>11.0</v>
      </c>
      <c r="I121" s="16">
        <f t="shared" si="2"/>
        <v>46340</v>
      </c>
      <c r="J121" s="13" t="s">
        <v>25</v>
      </c>
      <c r="K121" s="8" t="s">
        <v>48</v>
      </c>
      <c r="L121" s="24">
        <f>IF(A121="","",IF(OR(G121="",AND(G121&gt;=Dashboard!$C$18,G121&lt;=Dashboard!$C$19)),1,0))</f>
        <v>1</v>
      </c>
      <c r="M121" s="24">
        <f>IF(AND(L121=1,OR(Dashboard!$C$13="All",A121=Dashboard!$C$13),OR(Dashboard!$C$14="All",B121=Dashboard!$C$14),OR(Dashboard!$C$15="All",C121=Dashboard!$C$15),OR(Dashboard!$C$16="All",K121=Dashboard!$C$16),OR(Dashboard!$C$17="All",J121=Dashboard!$C$17)),1,0)</f>
        <v>1</v>
      </c>
      <c r="N121" s="24">
        <f>IF(AND(L121=1,OR(Dashboard!$C$13="All",A121=Dashboard!$C$13),OR(Dashboard!$C$14="All",B121=Dashboard!$C$14),OR(Dashboard!$C$16="All",K121=Dashboard!$C$16),OR(Dashboard!$C$17="All",J121=Dashboard!$C$17)),1,0)</f>
        <v>1</v>
      </c>
      <c r="O121" s="24">
        <f>IF(AND(L121=1,OR(Dashboard!$C$13="All",A121=Dashboard!$C$13),OR(Dashboard!$C$15="All",C121=Dashboard!$C$15),OR(Dashboard!$C$16="All",K121=Dashboard!$C$16),OR(Dashboard!$C$17="All",J121=Dashboard!$C$17)),1,0)</f>
        <v>1</v>
      </c>
      <c r="P121" s="24">
        <f>IF(AND(L121=1,OR(Dashboard!$C$13="All",A121=Dashboard!$C$13),OR(Dashboard!$C$14="All",B121=Dashboard!$C$14),OR(Dashboard!$C$15="All",C121=Dashboard!$C$15),OR(Dashboard!$C$17="All",J121=Dashboard!$C$17)),1,0)</f>
        <v>1</v>
      </c>
      <c r="Q121" s="24">
        <f>IF(AND(L121=1,OR(Dashboard!$C$14="All",B121=Dashboard!$C$14),OR(Dashboard!$C$15="All",C121=Dashboard!$C$15),OR(Dashboard!$C$16="All",K121=Dashboard!$C$16),OR(Dashboard!$C$17="All",J121=Dashboard!$C$17)),1,0)</f>
        <v>1</v>
      </c>
      <c r="R121" s="24">
        <f>IF(AND(L121=1,OR(Dashboard!$C$13="All",A121=Dashboard!$C$13),OR(Dashboard!$C$14="All",B121=Dashboard!$C$14),OR(Dashboard!$C$15="All",C121=Dashboard!$C$15),OR(Dashboard!$C$16="All",K121=Dashboard!$C$16)),1,0)</f>
        <v>1</v>
      </c>
      <c r="S121" s="24">
        <f t="shared" si="3"/>
        <v>120</v>
      </c>
      <c r="T121" s="24" t="s">
        <v>364</v>
      </c>
      <c r="V121" s="24" t="s">
        <v>365</v>
      </c>
    </row>
    <row r="122" ht="15.75" customHeight="1">
      <c r="A122" s="3" t="s">
        <v>202</v>
      </c>
      <c r="B122" s="4"/>
      <c r="C122" s="3" t="s">
        <v>76</v>
      </c>
      <c r="D122" s="4">
        <v>2.0</v>
      </c>
      <c r="E122" s="14">
        <v>5.0</v>
      </c>
      <c r="F122" s="5">
        <f t="shared" si="1"/>
        <v>10</v>
      </c>
      <c r="G122" s="6">
        <v>46264.0</v>
      </c>
      <c r="H122" s="22">
        <v>12.0</v>
      </c>
      <c r="I122" s="7">
        <f t="shared" si="2"/>
        <v>46348</v>
      </c>
      <c r="J122" s="4" t="s">
        <v>25</v>
      </c>
      <c r="K122" s="13" t="s">
        <v>31</v>
      </c>
      <c r="L122" s="24">
        <f>IF(A122="","",IF(OR(G122="",AND(G122&gt;=Dashboard!$C$18,G122&lt;=Dashboard!$C$19)),1,0))</f>
        <v>1</v>
      </c>
      <c r="M122" s="24">
        <f>IF(AND(L122=1,OR(Dashboard!$C$13="All",A122=Dashboard!$C$13),OR(Dashboard!$C$14="All",B122=Dashboard!$C$14),OR(Dashboard!$C$15="All",C122=Dashboard!$C$15),OR(Dashboard!$C$16="All",K122=Dashboard!$C$16),OR(Dashboard!$C$17="All",J122=Dashboard!$C$17)),1,0)</f>
        <v>1</v>
      </c>
      <c r="N122" s="24">
        <f>IF(AND(L122=1,OR(Dashboard!$C$13="All",A122=Dashboard!$C$13),OR(Dashboard!$C$14="All",B122=Dashboard!$C$14),OR(Dashboard!$C$16="All",K122=Dashboard!$C$16),OR(Dashboard!$C$17="All",J122=Dashboard!$C$17)),1,0)</f>
        <v>1</v>
      </c>
      <c r="O122" s="24">
        <f>IF(AND(L122=1,OR(Dashboard!$C$13="All",A122=Dashboard!$C$13),OR(Dashboard!$C$15="All",C122=Dashboard!$C$15),OR(Dashboard!$C$16="All",K122=Dashboard!$C$16),OR(Dashboard!$C$17="All",J122=Dashboard!$C$17)),1,0)</f>
        <v>1</v>
      </c>
      <c r="P122" s="24">
        <f>IF(AND(L122=1,OR(Dashboard!$C$13="All",A122=Dashboard!$C$13),OR(Dashboard!$C$14="All",B122=Dashboard!$C$14),OR(Dashboard!$C$15="All",C122=Dashboard!$C$15),OR(Dashboard!$C$17="All",J122=Dashboard!$C$17)),1,0)</f>
        <v>1</v>
      </c>
      <c r="Q122" s="24">
        <f>IF(AND(L122=1,OR(Dashboard!$C$14="All",B122=Dashboard!$C$14),OR(Dashboard!$C$15="All",C122=Dashboard!$C$15),OR(Dashboard!$C$16="All",K122=Dashboard!$C$16),OR(Dashboard!$C$17="All",J122=Dashboard!$C$17)),1,0)</f>
        <v>1</v>
      </c>
      <c r="R122" s="24">
        <f>IF(AND(L122=1,OR(Dashboard!$C$13="All",A122=Dashboard!$C$13),OR(Dashboard!$C$14="All",B122=Dashboard!$C$14),OR(Dashboard!$C$15="All",C122=Dashboard!$C$15),OR(Dashboard!$C$16="All",K122=Dashboard!$C$16)),1,0)</f>
        <v>1</v>
      </c>
      <c r="S122" s="24">
        <f t="shared" si="3"/>
        <v>121</v>
      </c>
      <c r="T122" s="24" t="s">
        <v>366</v>
      </c>
      <c r="V122" s="24" t="s">
        <v>35</v>
      </c>
    </row>
    <row r="123" ht="15.75" customHeight="1">
      <c r="A123" s="10" t="s">
        <v>202</v>
      </c>
      <c r="B123" s="13"/>
      <c r="C123" s="10" t="s">
        <v>79</v>
      </c>
      <c r="D123" s="13">
        <v>4.0</v>
      </c>
      <c r="E123" s="17">
        <v>4.0</v>
      </c>
      <c r="F123" s="15">
        <f t="shared" si="1"/>
        <v>16</v>
      </c>
      <c r="G123" s="6">
        <v>46265.0</v>
      </c>
      <c r="H123" s="22">
        <v>16.0</v>
      </c>
      <c r="I123" s="16">
        <f t="shared" si="2"/>
        <v>46377</v>
      </c>
      <c r="J123" s="13" t="s">
        <v>25</v>
      </c>
      <c r="K123" s="8" t="s">
        <v>26</v>
      </c>
      <c r="L123" s="24">
        <f>IF(A123="","",IF(OR(G123="",AND(G123&gt;=Dashboard!$C$18,G123&lt;=Dashboard!$C$19)),1,0))</f>
        <v>1</v>
      </c>
      <c r="M123" s="24">
        <f>IF(AND(L123=1,OR(Dashboard!$C$13="All",A123=Dashboard!$C$13),OR(Dashboard!$C$14="All",B123=Dashboard!$C$14),OR(Dashboard!$C$15="All",C123=Dashboard!$C$15),OR(Dashboard!$C$16="All",K123=Dashboard!$C$16),OR(Dashboard!$C$17="All",J123=Dashboard!$C$17)),1,0)</f>
        <v>1</v>
      </c>
      <c r="N123" s="24">
        <f>IF(AND(L123=1,OR(Dashboard!$C$13="All",A123=Dashboard!$C$13),OR(Dashboard!$C$14="All",B123=Dashboard!$C$14),OR(Dashboard!$C$16="All",K123=Dashboard!$C$16),OR(Dashboard!$C$17="All",J123=Dashboard!$C$17)),1,0)</f>
        <v>1</v>
      </c>
      <c r="O123" s="24">
        <f>IF(AND(L123=1,OR(Dashboard!$C$13="All",A123=Dashboard!$C$13),OR(Dashboard!$C$15="All",C123=Dashboard!$C$15),OR(Dashboard!$C$16="All",K123=Dashboard!$C$16),OR(Dashboard!$C$17="All",J123=Dashboard!$C$17)),1,0)</f>
        <v>1</v>
      </c>
      <c r="P123" s="24">
        <f>IF(AND(L123=1,OR(Dashboard!$C$13="All",A123=Dashboard!$C$13),OR(Dashboard!$C$14="All",B123=Dashboard!$C$14),OR(Dashboard!$C$15="All",C123=Dashboard!$C$15),OR(Dashboard!$C$17="All",J123=Dashboard!$C$17)),1,0)</f>
        <v>1</v>
      </c>
      <c r="Q123" s="24">
        <f>IF(AND(L123=1,OR(Dashboard!$C$14="All",B123=Dashboard!$C$14),OR(Dashboard!$C$15="All",C123=Dashboard!$C$15),OR(Dashboard!$C$16="All",K123=Dashboard!$C$16),OR(Dashboard!$C$17="All",J123=Dashboard!$C$17)),1,0)</f>
        <v>1</v>
      </c>
      <c r="R123" s="24">
        <f>IF(AND(L123=1,OR(Dashboard!$C$13="All",A123=Dashboard!$C$13),OR(Dashboard!$C$14="All",B123=Dashboard!$C$14),OR(Dashboard!$C$15="All",C123=Dashboard!$C$15),OR(Dashboard!$C$16="All",K123=Dashboard!$C$16)),1,0)</f>
        <v>1</v>
      </c>
      <c r="S123" s="24">
        <f t="shared" si="3"/>
        <v>122</v>
      </c>
      <c r="T123" s="24" t="s">
        <v>367</v>
      </c>
      <c r="V123" s="24" t="s">
        <v>100</v>
      </c>
    </row>
    <row r="124" ht="15.75" customHeight="1">
      <c r="A124" s="3" t="s">
        <v>180</v>
      </c>
      <c r="B124" s="4"/>
      <c r="C124" s="3" t="s">
        <v>368</v>
      </c>
      <c r="D124" s="4">
        <v>2.0</v>
      </c>
      <c r="E124" s="14">
        <v>2.0</v>
      </c>
      <c r="F124" s="5">
        <f t="shared" si="1"/>
        <v>4</v>
      </c>
      <c r="G124" s="6">
        <v>46266.0</v>
      </c>
      <c r="H124" s="22">
        <v>17.0</v>
      </c>
      <c r="I124" s="7">
        <f t="shared" si="2"/>
        <v>46385</v>
      </c>
      <c r="J124" s="4" t="s">
        <v>25</v>
      </c>
      <c r="K124" s="13" t="s">
        <v>31</v>
      </c>
      <c r="L124" s="24">
        <f>IF(A124="","",IF(OR(G124="",AND(G124&gt;=Dashboard!$C$18,G124&lt;=Dashboard!$C$19)),1,0))</f>
        <v>1</v>
      </c>
      <c r="M124" s="24">
        <f>IF(AND(L124=1,OR(Dashboard!$C$13="All",A124=Dashboard!$C$13),OR(Dashboard!$C$14="All",B124=Dashboard!$C$14),OR(Dashboard!$C$15="All",C124=Dashboard!$C$15),OR(Dashboard!$C$16="All",K124=Dashboard!$C$16),OR(Dashboard!$C$17="All",J124=Dashboard!$C$17)),1,0)</f>
        <v>1</v>
      </c>
      <c r="N124" s="24">
        <f>IF(AND(L124=1,OR(Dashboard!$C$13="All",A124=Dashboard!$C$13),OR(Dashboard!$C$14="All",B124=Dashboard!$C$14),OR(Dashboard!$C$16="All",K124=Dashboard!$C$16),OR(Dashboard!$C$17="All",J124=Dashboard!$C$17)),1,0)</f>
        <v>1</v>
      </c>
      <c r="O124" s="24">
        <f>IF(AND(L124=1,OR(Dashboard!$C$13="All",A124=Dashboard!$C$13),OR(Dashboard!$C$15="All",C124=Dashboard!$C$15),OR(Dashboard!$C$16="All",K124=Dashboard!$C$16),OR(Dashboard!$C$17="All",J124=Dashboard!$C$17)),1,0)</f>
        <v>1</v>
      </c>
      <c r="P124" s="24">
        <f>IF(AND(L124=1,OR(Dashboard!$C$13="All",A124=Dashboard!$C$13),OR(Dashboard!$C$14="All",B124=Dashboard!$C$14),OR(Dashboard!$C$15="All",C124=Dashboard!$C$15),OR(Dashboard!$C$17="All",J124=Dashboard!$C$17)),1,0)</f>
        <v>1</v>
      </c>
      <c r="Q124" s="24">
        <f>IF(AND(L124=1,OR(Dashboard!$C$14="All",B124=Dashboard!$C$14),OR(Dashboard!$C$15="All",C124=Dashboard!$C$15),OR(Dashboard!$C$16="All",K124=Dashboard!$C$16),OR(Dashboard!$C$17="All",J124=Dashboard!$C$17)),1,0)</f>
        <v>1</v>
      </c>
      <c r="R124" s="24">
        <f>IF(AND(L124=1,OR(Dashboard!$C$13="All",A124=Dashboard!$C$13),OR(Dashboard!$C$14="All",B124=Dashboard!$C$14),OR(Dashboard!$C$15="All",C124=Dashboard!$C$15),OR(Dashboard!$C$16="All",K124=Dashboard!$C$16)),1,0)</f>
        <v>1</v>
      </c>
      <c r="S124" s="24">
        <f t="shared" si="3"/>
        <v>123</v>
      </c>
      <c r="T124" s="24" t="s">
        <v>369</v>
      </c>
      <c r="V124" s="24" t="s">
        <v>275</v>
      </c>
    </row>
    <row r="125" ht="15.75" customHeight="1">
      <c r="A125" s="10" t="s">
        <v>180</v>
      </c>
      <c r="B125" s="13"/>
      <c r="C125" s="10" t="s">
        <v>76</v>
      </c>
      <c r="D125" s="13">
        <v>2.0</v>
      </c>
      <c r="E125" s="17">
        <v>36.0</v>
      </c>
      <c r="F125" s="15">
        <f t="shared" si="1"/>
        <v>72</v>
      </c>
      <c r="G125" s="6">
        <v>46267.0</v>
      </c>
      <c r="H125" s="22">
        <v>16.0</v>
      </c>
      <c r="I125" s="16">
        <f t="shared" si="2"/>
        <v>46379</v>
      </c>
      <c r="J125" s="13" t="s">
        <v>25</v>
      </c>
      <c r="K125" s="8" t="s">
        <v>37</v>
      </c>
      <c r="L125" s="24">
        <f>IF(A125="","",IF(OR(G125="",AND(G125&gt;=Dashboard!$C$18,G125&lt;=Dashboard!$C$19)),1,0))</f>
        <v>1</v>
      </c>
      <c r="M125" s="24">
        <f>IF(AND(L125=1,OR(Dashboard!$C$13="All",A125=Dashboard!$C$13),OR(Dashboard!$C$14="All",B125=Dashboard!$C$14),OR(Dashboard!$C$15="All",C125=Dashboard!$C$15),OR(Dashboard!$C$16="All",K125=Dashboard!$C$16),OR(Dashboard!$C$17="All",J125=Dashboard!$C$17)),1,0)</f>
        <v>1</v>
      </c>
      <c r="N125" s="24">
        <f>IF(AND(L125=1,OR(Dashboard!$C$13="All",A125=Dashboard!$C$13),OR(Dashboard!$C$14="All",B125=Dashboard!$C$14),OR(Dashboard!$C$16="All",K125=Dashboard!$C$16),OR(Dashboard!$C$17="All",J125=Dashboard!$C$17)),1,0)</f>
        <v>1</v>
      </c>
      <c r="O125" s="24">
        <f>IF(AND(L125=1,OR(Dashboard!$C$13="All",A125=Dashboard!$C$13),OR(Dashboard!$C$15="All",C125=Dashboard!$C$15),OR(Dashboard!$C$16="All",K125=Dashboard!$C$16),OR(Dashboard!$C$17="All",J125=Dashboard!$C$17)),1,0)</f>
        <v>1</v>
      </c>
      <c r="P125" s="24">
        <f>IF(AND(L125=1,OR(Dashboard!$C$13="All",A125=Dashboard!$C$13),OR(Dashboard!$C$14="All",B125=Dashboard!$C$14),OR(Dashboard!$C$15="All",C125=Dashboard!$C$15),OR(Dashboard!$C$17="All",J125=Dashboard!$C$17)),1,0)</f>
        <v>1</v>
      </c>
      <c r="Q125" s="24">
        <f>IF(AND(L125=1,OR(Dashboard!$C$14="All",B125=Dashboard!$C$14),OR(Dashboard!$C$15="All",C125=Dashboard!$C$15),OR(Dashboard!$C$16="All",K125=Dashboard!$C$16),OR(Dashboard!$C$17="All",J125=Dashboard!$C$17)),1,0)</f>
        <v>1</v>
      </c>
      <c r="R125" s="24">
        <f>IF(AND(L125=1,OR(Dashboard!$C$13="All",A125=Dashboard!$C$13),OR(Dashboard!$C$14="All",B125=Dashboard!$C$14),OR(Dashboard!$C$15="All",C125=Dashboard!$C$15),OR(Dashboard!$C$16="All",K125=Dashboard!$C$16)),1,0)</f>
        <v>1</v>
      </c>
      <c r="S125" s="24">
        <f t="shared" si="3"/>
        <v>124</v>
      </c>
      <c r="T125" s="24" t="s">
        <v>370</v>
      </c>
      <c r="V125" s="24" t="s">
        <v>371</v>
      </c>
    </row>
    <row r="126" ht="15.75" customHeight="1">
      <c r="A126" s="3" t="s">
        <v>180</v>
      </c>
      <c r="B126" s="4"/>
      <c r="C126" s="3" t="s">
        <v>79</v>
      </c>
      <c r="D126" s="4">
        <v>2.0</v>
      </c>
      <c r="E126" s="5">
        <v>2.0</v>
      </c>
      <c r="F126" s="5">
        <f t="shared" si="1"/>
        <v>4</v>
      </c>
      <c r="G126" s="6">
        <v>46268.0</v>
      </c>
      <c r="H126" s="22">
        <v>16.0</v>
      </c>
      <c r="I126" s="7">
        <f t="shared" si="2"/>
        <v>46380</v>
      </c>
      <c r="J126" s="4" t="s">
        <v>25</v>
      </c>
      <c r="K126" s="11" t="s">
        <v>26</v>
      </c>
      <c r="L126" s="24">
        <f>IF(A126="","",IF(OR(G126="",AND(G126&gt;=Dashboard!$C$18,G126&lt;=Dashboard!$C$19)),1,0))</f>
        <v>1</v>
      </c>
      <c r="M126" s="24">
        <f>IF(AND(L126=1,OR(Dashboard!$C$13="All",A126=Dashboard!$C$13),OR(Dashboard!$C$14="All",B126=Dashboard!$C$14),OR(Dashboard!$C$15="All",C126=Dashboard!$C$15),OR(Dashboard!$C$16="All",K126=Dashboard!$C$16),OR(Dashboard!$C$17="All",J126=Dashboard!$C$17)),1,0)</f>
        <v>1</v>
      </c>
      <c r="N126" s="24">
        <f>IF(AND(L126=1,OR(Dashboard!$C$13="All",A126=Dashboard!$C$13),OR(Dashboard!$C$14="All",B126=Dashboard!$C$14),OR(Dashboard!$C$16="All",K126=Dashboard!$C$16),OR(Dashboard!$C$17="All",J126=Dashboard!$C$17)),1,0)</f>
        <v>1</v>
      </c>
      <c r="O126" s="24">
        <f>IF(AND(L126=1,OR(Dashboard!$C$13="All",A126=Dashboard!$C$13),OR(Dashboard!$C$15="All",C126=Dashboard!$C$15),OR(Dashboard!$C$16="All",K126=Dashboard!$C$16),OR(Dashboard!$C$17="All",J126=Dashboard!$C$17)),1,0)</f>
        <v>1</v>
      </c>
      <c r="P126" s="24">
        <f>IF(AND(L126=1,OR(Dashboard!$C$13="All",A126=Dashboard!$C$13),OR(Dashboard!$C$14="All",B126=Dashboard!$C$14),OR(Dashboard!$C$15="All",C126=Dashboard!$C$15),OR(Dashboard!$C$17="All",J126=Dashboard!$C$17)),1,0)</f>
        <v>1</v>
      </c>
      <c r="Q126" s="24">
        <f>IF(AND(L126=1,OR(Dashboard!$C$14="All",B126=Dashboard!$C$14),OR(Dashboard!$C$15="All",C126=Dashboard!$C$15),OR(Dashboard!$C$16="All",K126=Dashboard!$C$16),OR(Dashboard!$C$17="All",J126=Dashboard!$C$17)),1,0)</f>
        <v>1</v>
      </c>
      <c r="R126" s="24">
        <f>IF(AND(L126=1,OR(Dashboard!$C$13="All",A126=Dashboard!$C$13),OR(Dashboard!$C$14="All",B126=Dashboard!$C$14),OR(Dashboard!$C$15="All",C126=Dashboard!$C$15),OR(Dashboard!$C$16="All",K126=Dashboard!$C$16)),1,0)</f>
        <v>1</v>
      </c>
      <c r="S126" s="24">
        <f t="shared" si="3"/>
        <v>125</v>
      </c>
      <c r="T126" s="24" t="s">
        <v>372</v>
      </c>
      <c r="V126" s="24" t="s">
        <v>373</v>
      </c>
    </row>
    <row r="127" ht="15.75" customHeight="1">
      <c r="A127" s="10" t="s">
        <v>136</v>
      </c>
      <c r="B127" s="13"/>
      <c r="C127" s="10" t="s">
        <v>331</v>
      </c>
      <c r="D127" s="13">
        <v>10000.0</v>
      </c>
      <c r="E127" s="14">
        <v>5.0</v>
      </c>
      <c r="F127" s="15">
        <f t="shared" si="1"/>
        <v>50000</v>
      </c>
      <c r="G127" s="6">
        <v>46269.0</v>
      </c>
      <c r="H127" s="22">
        <v>16.0</v>
      </c>
      <c r="I127" s="16">
        <f t="shared" si="2"/>
        <v>46381</v>
      </c>
      <c r="J127" s="13" t="s">
        <v>25</v>
      </c>
      <c r="K127" s="8" t="s">
        <v>48</v>
      </c>
      <c r="L127" s="24">
        <f>IF(A127="","",IF(OR(G127="",AND(G127&gt;=Dashboard!$C$18,G127&lt;=Dashboard!$C$19)),1,0))</f>
        <v>1</v>
      </c>
      <c r="M127" s="24">
        <f>IF(AND(L127=1,OR(Dashboard!$C$13="All",A127=Dashboard!$C$13),OR(Dashboard!$C$14="All",B127=Dashboard!$C$14),OR(Dashboard!$C$15="All",C127=Dashboard!$C$15),OR(Dashboard!$C$16="All",K127=Dashboard!$C$16),OR(Dashboard!$C$17="All",J127=Dashboard!$C$17)),1,0)</f>
        <v>1</v>
      </c>
      <c r="N127" s="24">
        <f>IF(AND(L127=1,OR(Dashboard!$C$13="All",A127=Dashboard!$C$13),OR(Dashboard!$C$14="All",B127=Dashboard!$C$14),OR(Dashboard!$C$16="All",K127=Dashboard!$C$16),OR(Dashboard!$C$17="All",J127=Dashboard!$C$17)),1,0)</f>
        <v>1</v>
      </c>
      <c r="O127" s="24">
        <f>IF(AND(L127=1,OR(Dashboard!$C$13="All",A127=Dashboard!$C$13),OR(Dashboard!$C$15="All",C127=Dashboard!$C$15),OR(Dashboard!$C$16="All",K127=Dashboard!$C$16),OR(Dashboard!$C$17="All",J127=Dashboard!$C$17)),1,0)</f>
        <v>1</v>
      </c>
      <c r="P127" s="24">
        <f>IF(AND(L127=1,OR(Dashboard!$C$13="All",A127=Dashboard!$C$13),OR(Dashboard!$C$14="All",B127=Dashboard!$C$14),OR(Dashboard!$C$15="All",C127=Dashboard!$C$15),OR(Dashboard!$C$17="All",J127=Dashboard!$C$17)),1,0)</f>
        <v>1</v>
      </c>
      <c r="Q127" s="24">
        <f>IF(AND(L127=1,OR(Dashboard!$C$14="All",B127=Dashboard!$C$14),OR(Dashboard!$C$15="All",C127=Dashboard!$C$15),OR(Dashboard!$C$16="All",K127=Dashboard!$C$16),OR(Dashboard!$C$17="All",J127=Dashboard!$C$17)),1,0)</f>
        <v>1</v>
      </c>
      <c r="R127" s="24">
        <f>IF(AND(L127=1,OR(Dashboard!$C$13="All",A127=Dashboard!$C$13),OR(Dashboard!$C$14="All",B127=Dashboard!$C$14),OR(Dashboard!$C$15="All",C127=Dashboard!$C$15),OR(Dashboard!$C$16="All",K127=Dashboard!$C$16)),1,0)</f>
        <v>1</v>
      </c>
      <c r="S127" s="24">
        <f t="shared" si="3"/>
        <v>126</v>
      </c>
      <c r="T127" s="24" t="s">
        <v>374</v>
      </c>
      <c r="V127" s="24" t="s">
        <v>375</v>
      </c>
    </row>
    <row r="128" ht="15.75" customHeight="1">
      <c r="A128" s="3" t="s">
        <v>136</v>
      </c>
      <c r="B128" s="4"/>
      <c r="C128" s="3" t="s">
        <v>371</v>
      </c>
      <c r="D128" s="4">
        <v>10000.0</v>
      </c>
      <c r="E128" s="17">
        <v>6.0</v>
      </c>
      <c r="F128" s="5">
        <f t="shared" si="1"/>
        <v>60000</v>
      </c>
      <c r="G128" s="6">
        <v>46270.0</v>
      </c>
      <c r="H128" s="22">
        <v>16.0</v>
      </c>
      <c r="I128" s="7">
        <f t="shared" si="2"/>
        <v>46382</v>
      </c>
      <c r="J128" s="4" t="s">
        <v>25</v>
      </c>
      <c r="K128" s="13" t="s">
        <v>31</v>
      </c>
      <c r="L128" s="24">
        <f>IF(A128="","",IF(OR(G128="",AND(G128&gt;=Dashboard!$C$18,G128&lt;=Dashboard!$C$19)),1,0))</f>
        <v>1</v>
      </c>
      <c r="M128" s="24">
        <f>IF(AND(L128=1,OR(Dashboard!$C$13="All",A128=Dashboard!$C$13),OR(Dashboard!$C$14="All",B128=Dashboard!$C$14),OR(Dashboard!$C$15="All",C128=Dashboard!$C$15),OR(Dashboard!$C$16="All",K128=Dashboard!$C$16),OR(Dashboard!$C$17="All",J128=Dashboard!$C$17)),1,0)</f>
        <v>1</v>
      </c>
      <c r="N128" s="24">
        <f>IF(AND(L128=1,OR(Dashboard!$C$13="All",A128=Dashboard!$C$13),OR(Dashboard!$C$14="All",B128=Dashboard!$C$14),OR(Dashboard!$C$16="All",K128=Dashboard!$C$16),OR(Dashboard!$C$17="All",J128=Dashboard!$C$17)),1,0)</f>
        <v>1</v>
      </c>
      <c r="O128" s="24">
        <f>IF(AND(L128=1,OR(Dashboard!$C$13="All",A128=Dashboard!$C$13),OR(Dashboard!$C$15="All",C128=Dashboard!$C$15),OR(Dashboard!$C$16="All",K128=Dashboard!$C$16),OR(Dashboard!$C$17="All",J128=Dashboard!$C$17)),1,0)</f>
        <v>1</v>
      </c>
      <c r="P128" s="24">
        <f>IF(AND(L128=1,OR(Dashboard!$C$13="All",A128=Dashboard!$C$13),OR(Dashboard!$C$14="All",B128=Dashboard!$C$14),OR(Dashboard!$C$15="All",C128=Dashboard!$C$15),OR(Dashboard!$C$17="All",J128=Dashboard!$C$17)),1,0)</f>
        <v>1</v>
      </c>
      <c r="Q128" s="24">
        <f>IF(AND(L128=1,OR(Dashboard!$C$14="All",B128=Dashboard!$C$14),OR(Dashboard!$C$15="All",C128=Dashboard!$C$15),OR(Dashboard!$C$16="All",K128=Dashboard!$C$16),OR(Dashboard!$C$17="All",J128=Dashboard!$C$17)),1,0)</f>
        <v>1</v>
      </c>
      <c r="R128" s="24">
        <f>IF(AND(L128=1,OR(Dashboard!$C$13="All",A128=Dashboard!$C$13),OR(Dashboard!$C$14="All",B128=Dashboard!$C$14),OR(Dashboard!$C$15="All",C128=Dashboard!$C$15),OR(Dashboard!$C$16="All",K128=Dashboard!$C$16)),1,0)</f>
        <v>1</v>
      </c>
      <c r="S128" s="24">
        <f t="shared" si="3"/>
        <v>127</v>
      </c>
      <c r="T128" s="24" t="s">
        <v>376</v>
      </c>
      <c r="V128" s="24" t="s">
        <v>377</v>
      </c>
    </row>
    <row r="129" ht="15.75" customHeight="1">
      <c r="A129" s="10" t="s">
        <v>202</v>
      </c>
      <c r="B129" s="13"/>
      <c r="C129" s="10" t="s">
        <v>76</v>
      </c>
      <c r="D129" s="13">
        <v>8.0</v>
      </c>
      <c r="E129" s="14">
        <v>7.0</v>
      </c>
      <c r="F129" s="15">
        <f t="shared" si="1"/>
        <v>56</v>
      </c>
      <c r="G129" s="6">
        <v>46271.0</v>
      </c>
      <c r="H129" s="22">
        <v>15.0</v>
      </c>
      <c r="I129" s="16">
        <f t="shared" si="2"/>
        <v>46376</v>
      </c>
      <c r="J129" s="13" t="s">
        <v>25</v>
      </c>
      <c r="K129" s="13" t="s">
        <v>31</v>
      </c>
      <c r="L129" s="24">
        <f>IF(A129="","",IF(OR(G129="",AND(G129&gt;=Dashboard!$C$18,G129&lt;=Dashboard!$C$19)),1,0))</f>
        <v>1</v>
      </c>
      <c r="M129" s="24">
        <f>IF(AND(L129=1,OR(Dashboard!$C$13="All",A129=Dashboard!$C$13),OR(Dashboard!$C$14="All",B129=Dashboard!$C$14),OR(Dashboard!$C$15="All",C129=Dashboard!$C$15),OR(Dashboard!$C$16="All",K129=Dashboard!$C$16),OR(Dashboard!$C$17="All",J129=Dashboard!$C$17)),1,0)</f>
        <v>1</v>
      </c>
      <c r="N129" s="24">
        <f>IF(AND(L129=1,OR(Dashboard!$C$13="All",A129=Dashboard!$C$13),OR(Dashboard!$C$14="All",B129=Dashboard!$C$14),OR(Dashboard!$C$16="All",K129=Dashboard!$C$16),OR(Dashboard!$C$17="All",J129=Dashboard!$C$17)),1,0)</f>
        <v>1</v>
      </c>
      <c r="O129" s="24">
        <f>IF(AND(L129=1,OR(Dashboard!$C$13="All",A129=Dashboard!$C$13),OR(Dashboard!$C$15="All",C129=Dashboard!$C$15),OR(Dashboard!$C$16="All",K129=Dashboard!$C$16),OR(Dashboard!$C$17="All",J129=Dashboard!$C$17)),1,0)</f>
        <v>1</v>
      </c>
      <c r="P129" s="24">
        <f>IF(AND(L129=1,OR(Dashboard!$C$13="All",A129=Dashboard!$C$13),OR(Dashboard!$C$14="All",B129=Dashboard!$C$14),OR(Dashboard!$C$15="All",C129=Dashboard!$C$15),OR(Dashboard!$C$17="All",J129=Dashboard!$C$17)),1,0)</f>
        <v>1</v>
      </c>
      <c r="Q129" s="24">
        <f>IF(AND(L129=1,OR(Dashboard!$C$14="All",B129=Dashboard!$C$14),OR(Dashboard!$C$15="All",C129=Dashboard!$C$15),OR(Dashboard!$C$16="All",K129=Dashboard!$C$16),OR(Dashboard!$C$17="All",J129=Dashboard!$C$17)),1,0)</f>
        <v>1</v>
      </c>
      <c r="R129" s="24">
        <f>IF(AND(L129=1,OR(Dashboard!$C$13="All",A129=Dashboard!$C$13),OR(Dashboard!$C$14="All",B129=Dashboard!$C$14),OR(Dashboard!$C$15="All",C129=Dashboard!$C$15),OR(Dashboard!$C$16="All",K129=Dashboard!$C$16)),1,0)</f>
        <v>1</v>
      </c>
      <c r="S129" s="24">
        <f t="shared" si="3"/>
        <v>128</v>
      </c>
      <c r="T129" s="24" t="s">
        <v>378</v>
      </c>
      <c r="V129" s="24" t="s">
        <v>379</v>
      </c>
    </row>
    <row r="130" ht="15.75" customHeight="1">
      <c r="A130" s="3" t="s">
        <v>202</v>
      </c>
      <c r="B130" s="4"/>
      <c r="C130" s="3" t="s">
        <v>57</v>
      </c>
      <c r="D130" s="4">
        <v>8.0</v>
      </c>
      <c r="E130" s="17">
        <v>8.0</v>
      </c>
      <c r="F130" s="5">
        <f t="shared" si="1"/>
        <v>64</v>
      </c>
      <c r="G130" s="6">
        <v>46272.0</v>
      </c>
      <c r="H130" s="22">
        <v>17.0</v>
      </c>
      <c r="I130" s="7">
        <f t="shared" si="2"/>
        <v>46391</v>
      </c>
      <c r="J130" s="4" t="s">
        <v>25</v>
      </c>
      <c r="K130" s="4" t="s">
        <v>31</v>
      </c>
      <c r="L130" s="24">
        <f>IF(A130="","",IF(OR(G130="",AND(G130&gt;=Dashboard!$C$18,G130&lt;=Dashboard!$C$19)),1,0))</f>
        <v>1</v>
      </c>
      <c r="M130" s="24">
        <f>IF(AND(L130=1,OR(Dashboard!$C$13="All",A130=Dashboard!$C$13),OR(Dashboard!$C$14="All",B130=Dashboard!$C$14),OR(Dashboard!$C$15="All",C130=Dashboard!$C$15),OR(Dashboard!$C$16="All",K130=Dashboard!$C$16),OR(Dashboard!$C$17="All",J130=Dashboard!$C$17)),1,0)</f>
        <v>1</v>
      </c>
      <c r="N130" s="24">
        <f>IF(AND(L130=1,OR(Dashboard!$C$13="All",A130=Dashboard!$C$13),OR(Dashboard!$C$14="All",B130=Dashboard!$C$14),OR(Dashboard!$C$16="All",K130=Dashboard!$C$16),OR(Dashboard!$C$17="All",J130=Dashboard!$C$17)),1,0)</f>
        <v>1</v>
      </c>
      <c r="O130" s="24">
        <f>IF(AND(L130=1,OR(Dashboard!$C$13="All",A130=Dashboard!$C$13),OR(Dashboard!$C$15="All",C130=Dashboard!$C$15),OR(Dashboard!$C$16="All",K130=Dashboard!$C$16),OR(Dashboard!$C$17="All",J130=Dashboard!$C$17)),1,0)</f>
        <v>1</v>
      </c>
      <c r="P130" s="24">
        <f>IF(AND(L130=1,OR(Dashboard!$C$13="All",A130=Dashboard!$C$13),OR(Dashboard!$C$14="All",B130=Dashboard!$C$14),OR(Dashboard!$C$15="All",C130=Dashboard!$C$15),OR(Dashboard!$C$17="All",J130=Dashboard!$C$17)),1,0)</f>
        <v>1</v>
      </c>
      <c r="Q130" s="24">
        <f>IF(AND(L130=1,OR(Dashboard!$C$14="All",B130=Dashboard!$C$14),OR(Dashboard!$C$15="All",C130=Dashboard!$C$15),OR(Dashboard!$C$16="All",K130=Dashboard!$C$16),OR(Dashboard!$C$17="All",J130=Dashboard!$C$17)),1,0)</f>
        <v>1</v>
      </c>
      <c r="R130" s="24">
        <f>IF(AND(L130=1,OR(Dashboard!$C$13="All",A130=Dashboard!$C$13),OR(Dashboard!$C$14="All",B130=Dashboard!$C$14),OR(Dashboard!$C$15="All",C130=Dashboard!$C$15),OR(Dashboard!$C$16="All",K130=Dashboard!$C$16)),1,0)</f>
        <v>1</v>
      </c>
      <c r="S130" s="24">
        <f t="shared" si="3"/>
        <v>129</v>
      </c>
      <c r="T130" s="24" t="s">
        <v>380</v>
      </c>
      <c r="V130" s="24" t="s">
        <v>381</v>
      </c>
    </row>
    <row r="131" ht="15.75" customHeight="1">
      <c r="A131" s="10" t="s">
        <v>202</v>
      </c>
      <c r="B131" s="13"/>
      <c r="C131" s="10" t="s">
        <v>79</v>
      </c>
      <c r="D131" s="13">
        <v>22.0</v>
      </c>
      <c r="E131" s="14">
        <v>2.0</v>
      </c>
      <c r="F131" s="15">
        <f t="shared" si="1"/>
        <v>44</v>
      </c>
      <c r="G131" s="6">
        <v>46273.0</v>
      </c>
      <c r="H131" s="22">
        <v>17.0</v>
      </c>
      <c r="I131" s="16">
        <f t="shared" si="2"/>
        <v>46392</v>
      </c>
      <c r="J131" s="13" t="s">
        <v>25</v>
      </c>
      <c r="K131" s="13" t="s">
        <v>31</v>
      </c>
      <c r="L131" s="24">
        <f>IF(A131="","",IF(OR(G131="",AND(G131&gt;=Dashboard!$C$18,G131&lt;=Dashboard!$C$19)),1,0))</f>
        <v>1</v>
      </c>
      <c r="M131" s="24">
        <f>IF(AND(L131=1,OR(Dashboard!$C$13="All",A131=Dashboard!$C$13),OR(Dashboard!$C$14="All",B131=Dashboard!$C$14),OR(Dashboard!$C$15="All",C131=Dashboard!$C$15),OR(Dashboard!$C$16="All",K131=Dashboard!$C$16),OR(Dashboard!$C$17="All",J131=Dashboard!$C$17)),1,0)</f>
        <v>1</v>
      </c>
      <c r="N131" s="24">
        <f>IF(AND(L131=1,OR(Dashboard!$C$13="All",A131=Dashboard!$C$13),OR(Dashboard!$C$14="All",B131=Dashboard!$C$14),OR(Dashboard!$C$16="All",K131=Dashboard!$C$16),OR(Dashboard!$C$17="All",J131=Dashboard!$C$17)),1,0)</f>
        <v>1</v>
      </c>
      <c r="O131" s="24">
        <f>IF(AND(L131=1,OR(Dashboard!$C$13="All",A131=Dashboard!$C$13),OR(Dashboard!$C$15="All",C131=Dashboard!$C$15),OR(Dashboard!$C$16="All",K131=Dashboard!$C$16),OR(Dashboard!$C$17="All",J131=Dashboard!$C$17)),1,0)</f>
        <v>1</v>
      </c>
      <c r="P131" s="24">
        <f>IF(AND(L131=1,OR(Dashboard!$C$13="All",A131=Dashboard!$C$13),OR(Dashboard!$C$14="All",B131=Dashboard!$C$14),OR(Dashboard!$C$15="All",C131=Dashboard!$C$15),OR(Dashboard!$C$17="All",J131=Dashboard!$C$17)),1,0)</f>
        <v>1</v>
      </c>
      <c r="Q131" s="24">
        <f>IF(AND(L131=1,OR(Dashboard!$C$14="All",B131=Dashboard!$C$14),OR(Dashboard!$C$15="All",C131=Dashboard!$C$15),OR(Dashboard!$C$16="All",K131=Dashboard!$C$16),OR(Dashboard!$C$17="All",J131=Dashboard!$C$17)),1,0)</f>
        <v>1</v>
      </c>
      <c r="R131" s="24">
        <f>IF(AND(L131=1,OR(Dashboard!$C$13="All",A131=Dashboard!$C$13),OR(Dashboard!$C$14="All",B131=Dashboard!$C$14),OR(Dashboard!$C$15="All",C131=Dashboard!$C$15),OR(Dashboard!$C$16="All",K131=Dashboard!$C$16)),1,0)</f>
        <v>1</v>
      </c>
      <c r="S131" s="24">
        <f t="shared" si="3"/>
        <v>130</v>
      </c>
      <c r="T131" s="24" t="s">
        <v>382</v>
      </c>
      <c r="V131" s="24" t="s">
        <v>383</v>
      </c>
    </row>
    <row r="132" ht="15.75" customHeight="1">
      <c r="A132" s="3" t="s">
        <v>205</v>
      </c>
      <c r="B132" s="4"/>
      <c r="C132" s="3" t="s">
        <v>384</v>
      </c>
      <c r="D132" s="4">
        <v>1.0</v>
      </c>
      <c r="E132" s="17">
        <v>15.0</v>
      </c>
      <c r="F132" s="5">
        <f t="shared" si="1"/>
        <v>15</v>
      </c>
      <c r="G132" s="6">
        <v>46274.0</v>
      </c>
      <c r="H132" s="22">
        <v>16.0</v>
      </c>
      <c r="I132" s="7">
        <f t="shared" si="2"/>
        <v>46386</v>
      </c>
      <c r="J132" s="4" t="s">
        <v>25</v>
      </c>
      <c r="K132" s="4" t="s">
        <v>31</v>
      </c>
      <c r="L132" s="24">
        <f>IF(A132="","",IF(OR(G132="",AND(G132&gt;=Dashboard!$C$18,G132&lt;=Dashboard!$C$19)),1,0))</f>
        <v>1</v>
      </c>
      <c r="M132" s="24">
        <f>IF(AND(L132=1,OR(Dashboard!$C$13="All",A132=Dashboard!$C$13),OR(Dashboard!$C$14="All",B132=Dashboard!$C$14),OR(Dashboard!$C$15="All",C132=Dashboard!$C$15),OR(Dashboard!$C$16="All",K132=Dashboard!$C$16),OR(Dashboard!$C$17="All",J132=Dashboard!$C$17)),1,0)</f>
        <v>1</v>
      </c>
      <c r="N132" s="24">
        <f>IF(AND(L132=1,OR(Dashboard!$C$13="All",A132=Dashboard!$C$13),OR(Dashboard!$C$14="All",B132=Dashboard!$C$14),OR(Dashboard!$C$16="All",K132=Dashboard!$C$16),OR(Dashboard!$C$17="All",J132=Dashboard!$C$17)),1,0)</f>
        <v>1</v>
      </c>
      <c r="O132" s="24">
        <f>IF(AND(L132=1,OR(Dashboard!$C$13="All",A132=Dashboard!$C$13),OR(Dashboard!$C$15="All",C132=Dashboard!$C$15),OR(Dashboard!$C$16="All",K132=Dashboard!$C$16),OR(Dashboard!$C$17="All",J132=Dashboard!$C$17)),1,0)</f>
        <v>1</v>
      </c>
      <c r="P132" s="24">
        <f>IF(AND(L132=1,OR(Dashboard!$C$13="All",A132=Dashboard!$C$13),OR(Dashboard!$C$14="All",B132=Dashboard!$C$14),OR(Dashboard!$C$15="All",C132=Dashboard!$C$15),OR(Dashboard!$C$17="All",J132=Dashboard!$C$17)),1,0)</f>
        <v>1</v>
      </c>
      <c r="Q132" s="24">
        <f>IF(AND(L132=1,OR(Dashboard!$C$14="All",B132=Dashboard!$C$14),OR(Dashboard!$C$15="All",C132=Dashboard!$C$15),OR(Dashboard!$C$16="All",K132=Dashboard!$C$16),OR(Dashboard!$C$17="All",J132=Dashboard!$C$17)),1,0)</f>
        <v>1</v>
      </c>
      <c r="R132" s="24">
        <f>IF(AND(L132=1,OR(Dashboard!$C$13="All",A132=Dashboard!$C$13),OR(Dashboard!$C$14="All",B132=Dashboard!$C$14),OR(Dashboard!$C$15="All",C132=Dashboard!$C$15),OR(Dashboard!$C$16="All",K132=Dashboard!$C$16)),1,0)</f>
        <v>1</v>
      </c>
      <c r="S132" s="24">
        <f t="shared" si="3"/>
        <v>131</v>
      </c>
      <c r="T132" s="24" t="s">
        <v>385</v>
      </c>
      <c r="V132" s="24" t="s">
        <v>386</v>
      </c>
    </row>
    <row r="133" ht="15.75" customHeight="1">
      <c r="A133" s="10" t="s">
        <v>205</v>
      </c>
      <c r="B133" s="13"/>
      <c r="C133" s="10" t="s">
        <v>326</v>
      </c>
      <c r="D133" s="13">
        <v>1.0</v>
      </c>
      <c r="E133" s="14">
        <v>45.0</v>
      </c>
      <c r="F133" s="15">
        <f t="shared" si="1"/>
        <v>45</v>
      </c>
      <c r="G133" s="6">
        <v>46275.0</v>
      </c>
      <c r="H133" s="22">
        <v>24.0</v>
      </c>
      <c r="I133" s="16">
        <f t="shared" si="2"/>
        <v>46443</v>
      </c>
      <c r="J133" s="13" t="s">
        <v>25</v>
      </c>
      <c r="K133" s="13" t="s">
        <v>31</v>
      </c>
      <c r="L133" s="24">
        <f>IF(A133="","",IF(OR(G133="",AND(G133&gt;=Dashboard!$C$18,G133&lt;=Dashboard!$C$19)),1,0))</f>
        <v>1</v>
      </c>
      <c r="M133" s="24">
        <f>IF(AND(L133=1,OR(Dashboard!$C$13="All",A133=Dashboard!$C$13),OR(Dashboard!$C$14="All",B133=Dashboard!$C$14),OR(Dashboard!$C$15="All",C133=Dashboard!$C$15),OR(Dashboard!$C$16="All",K133=Dashboard!$C$16),OR(Dashboard!$C$17="All",J133=Dashboard!$C$17)),1,0)</f>
        <v>1</v>
      </c>
      <c r="N133" s="24">
        <f>IF(AND(L133=1,OR(Dashboard!$C$13="All",A133=Dashboard!$C$13),OR(Dashboard!$C$14="All",B133=Dashboard!$C$14),OR(Dashboard!$C$16="All",K133=Dashboard!$C$16),OR(Dashboard!$C$17="All",J133=Dashboard!$C$17)),1,0)</f>
        <v>1</v>
      </c>
      <c r="O133" s="24">
        <f>IF(AND(L133=1,OR(Dashboard!$C$13="All",A133=Dashboard!$C$13),OR(Dashboard!$C$15="All",C133=Dashboard!$C$15),OR(Dashboard!$C$16="All",K133=Dashboard!$C$16),OR(Dashboard!$C$17="All",J133=Dashboard!$C$17)),1,0)</f>
        <v>1</v>
      </c>
      <c r="P133" s="24">
        <f>IF(AND(L133=1,OR(Dashboard!$C$13="All",A133=Dashboard!$C$13),OR(Dashboard!$C$14="All",B133=Dashboard!$C$14),OR(Dashboard!$C$15="All",C133=Dashboard!$C$15),OR(Dashboard!$C$17="All",J133=Dashboard!$C$17)),1,0)</f>
        <v>1</v>
      </c>
      <c r="Q133" s="24">
        <f>IF(AND(L133=1,OR(Dashboard!$C$14="All",B133=Dashboard!$C$14),OR(Dashboard!$C$15="All",C133=Dashboard!$C$15),OR(Dashboard!$C$16="All",K133=Dashboard!$C$16),OR(Dashboard!$C$17="All",J133=Dashboard!$C$17)),1,0)</f>
        <v>1</v>
      </c>
      <c r="R133" s="24">
        <f>IF(AND(L133=1,OR(Dashboard!$C$13="All",A133=Dashboard!$C$13),OR(Dashboard!$C$14="All",B133=Dashboard!$C$14),OR(Dashboard!$C$15="All",C133=Dashboard!$C$15),OR(Dashboard!$C$16="All",K133=Dashboard!$C$16)),1,0)</f>
        <v>1</v>
      </c>
      <c r="S133" s="24">
        <f t="shared" si="3"/>
        <v>132</v>
      </c>
      <c r="T133" s="24" t="s">
        <v>387</v>
      </c>
      <c r="V133" s="24" t="s">
        <v>388</v>
      </c>
    </row>
    <row r="134" ht="15.75" customHeight="1">
      <c r="A134" s="3" t="s">
        <v>205</v>
      </c>
      <c r="B134" s="4"/>
      <c r="C134" s="3" t="s">
        <v>389</v>
      </c>
      <c r="D134" s="4">
        <v>700.0</v>
      </c>
      <c r="E134" s="17">
        <v>24.0</v>
      </c>
      <c r="F134" s="5">
        <f t="shared" si="1"/>
        <v>16800</v>
      </c>
      <c r="G134" s="6">
        <v>46276.0</v>
      </c>
      <c r="H134" s="22">
        <v>24.0</v>
      </c>
      <c r="I134" s="7">
        <f t="shared" si="2"/>
        <v>46444</v>
      </c>
      <c r="J134" s="4" t="s">
        <v>25</v>
      </c>
      <c r="K134" s="4" t="s">
        <v>31</v>
      </c>
      <c r="L134" s="24">
        <f>IF(A134="","",IF(OR(G134="",AND(G134&gt;=Dashboard!$C$18,G134&lt;=Dashboard!$C$19)),1,0))</f>
        <v>1</v>
      </c>
      <c r="M134" s="24">
        <f>IF(AND(L134=1,OR(Dashboard!$C$13="All",A134=Dashboard!$C$13),OR(Dashboard!$C$14="All",B134=Dashboard!$C$14),OR(Dashboard!$C$15="All",C134=Dashboard!$C$15),OR(Dashboard!$C$16="All",K134=Dashboard!$C$16),OR(Dashboard!$C$17="All",J134=Dashboard!$C$17)),1,0)</f>
        <v>1</v>
      </c>
      <c r="N134" s="24">
        <f>IF(AND(L134=1,OR(Dashboard!$C$13="All",A134=Dashboard!$C$13),OR(Dashboard!$C$14="All",B134=Dashboard!$C$14),OR(Dashboard!$C$16="All",K134=Dashboard!$C$16),OR(Dashboard!$C$17="All",J134=Dashboard!$C$17)),1,0)</f>
        <v>1</v>
      </c>
      <c r="O134" s="24">
        <f>IF(AND(L134=1,OR(Dashboard!$C$13="All",A134=Dashboard!$C$13),OR(Dashboard!$C$15="All",C134=Dashboard!$C$15),OR(Dashboard!$C$16="All",K134=Dashboard!$C$16),OR(Dashboard!$C$17="All",J134=Dashboard!$C$17)),1,0)</f>
        <v>1</v>
      </c>
      <c r="P134" s="24">
        <f>IF(AND(L134=1,OR(Dashboard!$C$13="All",A134=Dashboard!$C$13),OR(Dashboard!$C$14="All",B134=Dashboard!$C$14),OR(Dashboard!$C$15="All",C134=Dashboard!$C$15),OR(Dashboard!$C$17="All",J134=Dashboard!$C$17)),1,0)</f>
        <v>1</v>
      </c>
      <c r="Q134" s="24">
        <f>IF(AND(L134=1,OR(Dashboard!$C$14="All",B134=Dashboard!$C$14),OR(Dashboard!$C$15="All",C134=Dashboard!$C$15),OR(Dashboard!$C$16="All",K134=Dashboard!$C$16),OR(Dashboard!$C$17="All",J134=Dashboard!$C$17)),1,0)</f>
        <v>1</v>
      </c>
      <c r="R134" s="24">
        <f>IF(AND(L134=1,OR(Dashboard!$C$13="All",A134=Dashboard!$C$13),OR(Dashboard!$C$14="All",B134=Dashboard!$C$14),OR(Dashboard!$C$15="All",C134=Dashboard!$C$15),OR(Dashboard!$C$16="All",K134=Dashboard!$C$16)),1,0)</f>
        <v>1</v>
      </c>
      <c r="S134" s="24">
        <f t="shared" si="3"/>
        <v>133</v>
      </c>
      <c r="T134" s="24" t="s">
        <v>390</v>
      </c>
      <c r="V134" s="24" t="s">
        <v>391</v>
      </c>
    </row>
    <row r="135" ht="15.75" customHeight="1">
      <c r="A135" s="10" t="s">
        <v>207</v>
      </c>
      <c r="B135" s="13"/>
      <c r="C135" s="10" t="s">
        <v>392</v>
      </c>
      <c r="D135" s="13">
        <v>1.0</v>
      </c>
      <c r="E135" s="14">
        <v>25.0</v>
      </c>
      <c r="F135" s="15">
        <f t="shared" si="1"/>
        <v>25</v>
      </c>
      <c r="G135" s="6">
        <v>46277.0</v>
      </c>
      <c r="H135" s="22">
        <v>23.0</v>
      </c>
      <c r="I135" s="16">
        <f t="shared" si="2"/>
        <v>46438</v>
      </c>
      <c r="J135" s="13" t="s">
        <v>25</v>
      </c>
      <c r="K135" s="13" t="s">
        <v>31</v>
      </c>
      <c r="L135" s="24">
        <f>IF(A135="","",IF(OR(G135="",AND(G135&gt;=Dashboard!$C$18,G135&lt;=Dashboard!$C$19)),1,0))</f>
        <v>1</v>
      </c>
      <c r="M135" s="24">
        <f>IF(AND(L135=1,OR(Dashboard!$C$13="All",A135=Dashboard!$C$13),OR(Dashboard!$C$14="All",B135=Dashboard!$C$14),OR(Dashboard!$C$15="All",C135=Dashboard!$C$15),OR(Dashboard!$C$16="All",K135=Dashboard!$C$16),OR(Dashboard!$C$17="All",J135=Dashboard!$C$17)),1,0)</f>
        <v>1</v>
      </c>
      <c r="N135" s="24">
        <f>IF(AND(L135=1,OR(Dashboard!$C$13="All",A135=Dashboard!$C$13),OR(Dashboard!$C$14="All",B135=Dashboard!$C$14),OR(Dashboard!$C$16="All",K135=Dashboard!$C$16),OR(Dashboard!$C$17="All",J135=Dashboard!$C$17)),1,0)</f>
        <v>1</v>
      </c>
      <c r="O135" s="24">
        <f>IF(AND(L135=1,OR(Dashboard!$C$13="All",A135=Dashboard!$C$13),OR(Dashboard!$C$15="All",C135=Dashboard!$C$15),OR(Dashboard!$C$16="All",K135=Dashboard!$C$16),OR(Dashboard!$C$17="All",J135=Dashboard!$C$17)),1,0)</f>
        <v>1</v>
      </c>
      <c r="P135" s="24">
        <f>IF(AND(L135=1,OR(Dashboard!$C$13="All",A135=Dashboard!$C$13),OR(Dashboard!$C$14="All",B135=Dashboard!$C$14),OR(Dashboard!$C$15="All",C135=Dashboard!$C$15),OR(Dashboard!$C$17="All",J135=Dashboard!$C$17)),1,0)</f>
        <v>1</v>
      </c>
      <c r="Q135" s="24">
        <f>IF(AND(L135=1,OR(Dashboard!$C$14="All",B135=Dashboard!$C$14),OR(Dashboard!$C$15="All",C135=Dashboard!$C$15),OR(Dashboard!$C$16="All",K135=Dashboard!$C$16),OR(Dashboard!$C$17="All",J135=Dashboard!$C$17)),1,0)</f>
        <v>1</v>
      </c>
      <c r="R135" s="24">
        <f>IF(AND(L135=1,OR(Dashboard!$C$13="All",A135=Dashboard!$C$13),OR(Dashboard!$C$14="All",B135=Dashboard!$C$14),OR(Dashboard!$C$15="All",C135=Dashboard!$C$15),OR(Dashboard!$C$16="All",K135=Dashboard!$C$16)),1,0)</f>
        <v>1</v>
      </c>
      <c r="S135" s="24">
        <f t="shared" si="3"/>
        <v>134</v>
      </c>
      <c r="T135" s="24" t="s">
        <v>393</v>
      </c>
      <c r="V135" s="24" t="s">
        <v>394</v>
      </c>
    </row>
    <row r="136" ht="15.75" customHeight="1">
      <c r="A136" s="3" t="s">
        <v>209</v>
      </c>
      <c r="B136" s="4" t="s">
        <v>131</v>
      </c>
      <c r="C136" s="3" t="s">
        <v>395</v>
      </c>
      <c r="D136" s="4">
        <v>50000.0</v>
      </c>
      <c r="E136" s="17">
        <v>36.0</v>
      </c>
      <c r="F136" s="5">
        <f t="shared" si="1"/>
        <v>1800000</v>
      </c>
      <c r="G136" s="6">
        <v>46278.0</v>
      </c>
      <c r="H136" s="22">
        <v>23.0</v>
      </c>
      <c r="I136" s="7">
        <f t="shared" si="2"/>
        <v>46439</v>
      </c>
      <c r="J136" s="4" t="s">
        <v>25</v>
      </c>
      <c r="K136" s="4" t="s">
        <v>31</v>
      </c>
      <c r="L136" s="24">
        <f>IF(A136="","",IF(OR(G136="",AND(G136&gt;=Dashboard!$C$18,G136&lt;=Dashboard!$C$19)),1,0))</f>
        <v>1</v>
      </c>
      <c r="M136" s="24">
        <f>IF(AND(L136=1,OR(Dashboard!$C$13="All",A136=Dashboard!$C$13),OR(Dashboard!$C$14="All",B136=Dashboard!$C$14),OR(Dashboard!$C$15="All",C136=Dashboard!$C$15),OR(Dashboard!$C$16="All",K136=Dashboard!$C$16),OR(Dashboard!$C$17="All",J136=Dashboard!$C$17)),1,0)</f>
        <v>1</v>
      </c>
      <c r="N136" s="24">
        <f>IF(AND(L136=1,OR(Dashboard!$C$13="All",A136=Dashboard!$C$13),OR(Dashboard!$C$14="All",B136=Dashboard!$C$14),OR(Dashboard!$C$16="All",K136=Dashboard!$C$16),OR(Dashboard!$C$17="All",J136=Dashboard!$C$17)),1,0)</f>
        <v>1</v>
      </c>
      <c r="O136" s="24">
        <f>IF(AND(L136=1,OR(Dashboard!$C$13="All",A136=Dashboard!$C$13),OR(Dashboard!$C$15="All",C136=Dashboard!$C$15),OR(Dashboard!$C$16="All",K136=Dashboard!$C$16),OR(Dashboard!$C$17="All",J136=Dashboard!$C$17)),1,0)</f>
        <v>1</v>
      </c>
      <c r="P136" s="24">
        <f>IF(AND(L136=1,OR(Dashboard!$C$13="All",A136=Dashboard!$C$13),OR(Dashboard!$C$14="All",B136=Dashboard!$C$14),OR(Dashboard!$C$15="All",C136=Dashboard!$C$15),OR(Dashboard!$C$17="All",J136=Dashboard!$C$17)),1,0)</f>
        <v>1</v>
      </c>
      <c r="Q136" s="24">
        <f>IF(AND(L136=1,OR(Dashboard!$C$14="All",B136=Dashboard!$C$14),OR(Dashboard!$C$15="All",C136=Dashboard!$C$15),OR(Dashboard!$C$16="All",K136=Dashboard!$C$16),OR(Dashboard!$C$17="All",J136=Dashboard!$C$17)),1,0)</f>
        <v>1</v>
      </c>
      <c r="R136" s="24">
        <f>IF(AND(L136=1,OR(Dashboard!$C$13="All",A136=Dashboard!$C$13),OR(Dashboard!$C$14="All",B136=Dashboard!$C$14),OR(Dashboard!$C$15="All",C136=Dashboard!$C$15),OR(Dashboard!$C$16="All",K136=Dashboard!$C$16)),1,0)</f>
        <v>1</v>
      </c>
      <c r="S136" s="24">
        <f t="shared" si="3"/>
        <v>135</v>
      </c>
      <c r="T136" s="24" t="s">
        <v>396</v>
      </c>
      <c r="V136" s="24" t="s">
        <v>397</v>
      </c>
    </row>
    <row r="137" ht="15.75" customHeight="1">
      <c r="A137" s="10" t="s">
        <v>114</v>
      </c>
      <c r="B137" s="13" t="s">
        <v>121</v>
      </c>
      <c r="C137" s="10" t="s">
        <v>398</v>
      </c>
      <c r="D137" s="13">
        <v>100.0</v>
      </c>
      <c r="E137" s="14">
        <v>95.0</v>
      </c>
      <c r="F137" s="15">
        <f t="shared" si="1"/>
        <v>9500</v>
      </c>
      <c r="G137" s="6">
        <v>46279.0</v>
      </c>
      <c r="H137" s="22">
        <v>23.0</v>
      </c>
      <c r="I137" s="16">
        <f t="shared" si="2"/>
        <v>46440</v>
      </c>
      <c r="J137" s="13" t="s">
        <v>25</v>
      </c>
      <c r="K137" s="13" t="s">
        <v>31</v>
      </c>
      <c r="L137" s="24">
        <f>IF(A137="","",IF(OR(G137="",AND(G137&gt;=Dashboard!$C$18,G137&lt;=Dashboard!$C$19)),1,0))</f>
        <v>1</v>
      </c>
      <c r="M137" s="24">
        <f>IF(AND(L137=1,OR(Dashboard!$C$13="All",A137=Dashboard!$C$13),OR(Dashboard!$C$14="All",B137=Dashboard!$C$14),OR(Dashboard!$C$15="All",C137=Dashboard!$C$15),OR(Dashboard!$C$16="All",K137=Dashboard!$C$16),OR(Dashboard!$C$17="All",J137=Dashboard!$C$17)),1,0)</f>
        <v>1</v>
      </c>
      <c r="N137" s="24">
        <f>IF(AND(L137=1,OR(Dashboard!$C$13="All",A137=Dashboard!$C$13),OR(Dashboard!$C$14="All",B137=Dashboard!$C$14),OR(Dashboard!$C$16="All",K137=Dashboard!$C$16),OR(Dashboard!$C$17="All",J137=Dashboard!$C$17)),1,0)</f>
        <v>1</v>
      </c>
      <c r="O137" s="24">
        <f>IF(AND(L137=1,OR(Dashboard!$C$13="All",A137=Dashboard!$C$13),OR(Dashboard!$C$15="All",C137=Dashboard!$C$15),OR(Dashboard!$C$16="All",K137=Dashboard!$C$16),OR(Dashboard!$C$17="All",J137=Dashboard!$C$17)),1,0)</f>
        <v>1</v>
      </c>
      <c r="P137" s="24">
        <f>IF(AND(L137=1,OR(Dashboard!$C$13="All",A137=Dashboard!$C$13),OR(Dashboard!$C$14="All",B137=Dashboard!$C$14),OR(Dashboard!$C$15="All",C137=Dashboard!$C$15),OR(Dashboard!$C$17="All",J137=Dashboard!$C$17)),1,0)</f>
        <v>1</v>
      </c>
      <c r="Q137" s="24">
        <f>IF(AND(L137=1,OR(Dashboard!$C$14="All",B137=Dashboard!$C$14),OR(Dashboard!$C$15="All",C137=Dashboard!$C$15),OR(Dashboard!$C$16="All",K137=Dashboard!$C$16),OR(Dashboard!$C$17="All",J137=Dashboard!$C$17)),1,0)</f>
        <v>1</v>
      </c>
      <c r="R137" s="24">
        <f>IF(AND(L137=1,OR(Dashboard!$C$13="All",A137=Dashboard!$C$13),OR(Dashboard!$C$14="All",B137=Dashboard!$C$14),OR(Dashboard!$C$15="All",C137=Dashboard!$C$15),OR(Dashboard!$C$16="All",K137=Dashboard!$C$16)),1,0)</f>
        <v>1</v>
      </c>
      <c r="S137" s="24">
        <f t="shared" si="3"/>
        <v>136</v>
      </c>
      <c r="T137" s="25">
        <v>57357.0</v>
      </c>
      <c r="V137" s="24" t="s">
        <v>399</v>
      </c>
    </row>
    <row r="138" ht="15.75" customHeight="1">
      <c r="A138" s="3" t="s">
        <v>105</v>
      </c>
      <c r="B138" s="4" t="s">
        <v>71</v>
      </c>
      <c r="C138" s="3" t="s">
        <v>76</v>
      </c>
      <c r="D138" s="4">
        <v>1.0</v>
      </c>
      <c r="E138" s="17">
        <v>574.0</v>
      </c>
      <c r="F138" s="5">
        <f t="shared" si="1"/>
        <v>574</v>
      </c>
      <c r="G138" s="6">
        <v>46280.0</v>
      </c>
      <c r="H138" s="22">
        <v>24.0</v>
      </c>
      <c r="I138" s="7">
        <f t="shared" si="2"/>
        <v>46448</v>
      </c>
      <c r="J138" s="4" t="s">
        <v>25</v>
      </c>
      <c r="K138" s="4" t="s">
        <v>31</v>
      </c>
      <c r="L138" s="24">
        <f>IF(A138="","",IF(OR(G138="",AND(G138&gt;=Dashboard!$C$18,G138&lt;=Dashboard!$C$19)),1,0))</f>
        <v>1</v>
      </c>
      <c r="M138" s="24">
        <f>IF(AND(L138=1,OR(Dashboard!$C$13="All",A138=Dashboard!$C$13),OR(Dashboard!$C$14="All",B138=Dashboard!$C$14),OR(Dashboard!$C$15="All",C138=Dashboard!$C$15),OR(Dashboard!$C$16="All",K138=Dashboard!$C$16),OR(Dashboard!$C$17="All",J138=Dashboard!$C$17)),1,0)</f>
        <v>1</v>
      </c>
      <c r="N138" s="24">
        <f>IF(AND(L138=1,OR(Dashboard!$C$13="All",A138=Dashboard!$C$13),OR(Dashboard!$C$14="All",B138=Dashboard!$C$14),OR(Dashboard!$C$16="All",K138=Dashboard!$C$16),OR(Dashboard!$C$17="All",J138=Dashboard!$C$17)),1,0)</f>
        <v>1</v>
      </c>
      <c r="O138" s="24">
        <f>IF(AND(L138=1,OR(Dashboard!$C$13="All",A138=Dashboard!$C$13),OR(Dashboard!$C$15="All",C138=Dashboard!$C$15),OR(Dashboard!$C$16="All",K138=Dashboard!$C$16),OR(Dashboard!$C$17="All",J138=Dashboard!$C$17)),1,0)</f>
        <v>1</v>
      </c>
      <c r="P138" s="24">
        <f>IF(AND(L138=1,OR(Dashboard!$C$13="All",A138=Dashboard!$C$13),OR(Dashboard!$C$14="All",B138=Dashboard!$C$14),OR(Dashboard!$C$15="All",C138=Dashboard!$C$15),OR(Dashboard!$C$17="All",J138=Dashboard!$C$17)),1,0)</f>
        <v>1</v>
      </c>
      <c r="Q138" s="24">
        <f>IF(AND(L138=1,OR(Dashboard!$C$14="All",B138=Dashboard!$C$14),OR(Dashboard!$C$15="All",C138=Dashboard!$C$15),OR(Dashboard!$C$16="All",K138=Dashboard!$C$16),OR(Dashboard!$C$17="All",J138=Dashboard!$C$17)),1,0)</f>
        <v>1</v>
      </c>
      <c r="R138" s="24">
        <f>IF(AND(L138=1,OR(Dashboard!$C$13="All",A138=Dashboard!$C$13),OR(Dashboard!$C$14="All",B138=Dashboard!$C$14),OR(Dashboard!$C$15="All",C138=Dashboard!$C$15),OR(Dashboard!$C$16="All",K138=Dashboard!$C$16)),1,0)</f>
        <v>1</v>
      </c>
      <c r="S138" s="24">
        <f t="shared" si="3"/>
        <v>137</v>
      </c>
      <c r="T138" s="24" t="s">
        <v>400</v>
      </c>
      <c r="V138" s="24" t="s">
        <v>401</v>
      </c>
    </row>
    <row r="139" ht="15.75" customHeight="1">
      <c r="A139" s="10" t="s">
        <v>213</v>
      </c>
      <c r="B139" s="13" t="s">
        <v>81</v>
      </c>
      <c r="C139" s="10" t="s">
        <v>402</v>
      </c>
      <c r="D139" s="13">
        <v>46.0</v>
      </c>
      <c r="E139" s="14">
        <v>558.0</v>
      </c>
      <c r="F139" s="15">
        <f t="shared" si="1"/>
        <v>25668</v>
      </c>
      <c r="G139" s="6">
        <v>46281.0</v>
      </c>
      <c r="H139" s="22">
        <v>24.0</v>
      </c>
      <c r="I139" s="16">
        <f t="shared" si="2"/>
        <v>46449</v>
      </c>
      <c r="J139" s="13" t="s">
        <v>25</v>
      </c>
      <c r="K139" s="13" t="s">
        <v>31</v>
      </c>
      <c r="L139" s="24">
        <f>IF(A139="","",IF(OR(G139="",AND(G139&gt;=Dashboard!$C$18,G139&lt;=Dashboard!$C$19)),1,0))</f>
        <v>1</v>
      </c>
      <c r="M139" s="24">
        <f>IF(AND(L139=1,OR(Dashboard!$C$13="All",A139=Dashboard!$C$13),OR(Dashboard!$C$14="All",B139=Dashboard!$C$14),OR(Dashboard!$C$15="All",C139=Dashboard!$C$15),OR(Dashboard!$C$16="All",K139=Dashboard!$C$16),OR(Dashboard!$C$17="All",J139=Dashboard!$C$17)),1,0)</f>
        <v>1</v>
      </c>
      <c r="N139" s="24">
        <f>IF(AND(L139=1,OR(Dashboard!$C$13="All",A139=Dashboard!$C$13),OR(Dashboard!$C$14="All",B139=Dashboard!$C$14),OR(Dashboard!$C$16="All",K139=Dashboard!$C$16),OR(Dashboard!$C$17="All",J139=Dashboard!$C$17)),1,0)</f>
        <v>1</v>
      </c>
      <c r="O139" s="24">
        <f>IF(AND(L139=1,OR(Dashboard!$C$13="All",A139=Dashboard!$C$13),OR(Dashboard!$C$15="All",C139=Dashboard!$C$15),OR(Dashboard!$C$16="All",K139=Dashboard!$C$16),OR(Dashboard!$C$17="All",J139=Dashboard!$C$17)),1,0)</f>
        <v>1</v>
      </c>
      <c r="P139" s="24">
        <f>IF(AND(L139=1,OR(Dashboard!$C$13="All",A139=Dashboard!$C$13),OR(Dashboard!$C$14="All",B139=Dashboard!$C$14),OR(Dashboard!$C$15="All",C139=Dashboard!$C$15),OR(Dashboard!$C$17="All",J139=Dashboard!$C$17)),1,0)</f>
        <v>1</v>
      </c>
      <c r="Q139" s="24">
        <f>IF(AND(L139=1,OR(Dashboard!$C$14="All",B139=Dashboard!$C$14),OR(Dashboard!$C$15="All",C139=Dashboard!$C$15),OR(Dashboard!$C$16="All",K139=Dashboard!$C$16),OR(Dashboard!$C$17="All",J139=Dashboard!$C$17)),1,0)</f>
        <v>1</v>
      </c>
      <c r="R139" s="24">
        <f>IF(AND(L139=1,OR(Dashboard!$C$13="All",A139=Dashboard!$C$13),OR(Dashboard!$C$14="All",B139=Dashboard!$C$14),OR(Dashboard!$C$15="All",C139=Dashboard!$C$15),OR(Dashboard!$C$16="All",K139=Dashboard!$C$16)),1,0)</f>
        <v>1</v>
      </c>
      <c r="S139" s="24">
        <f t="shared" si="3"/>
        <v>138</v>
      </c>
      <c r="T139" s="24" t="s">
        <v>403</v>
      </c>
      <c r="V139" s="24" t="s">
        <v>176</v>
      </c>
    </row>
    <row r="140" ht="15.75" customHeight="1">
      <c r="A140" s="3" t="s">
        <v>216</v>
      </c>
      <c r="B140" s="4"/>
      <c r="C140" s="3" t="s">
        <v>404</v>
      </c>
      <c r="D140" s="4">
        <v>1.0</v>
      </c>
      <c r="E140" s="17">
        <v>2265.0</v>
      </c>
      <c r="F140" s="5">
        <f t="shared" si="1"/>
        <v>2265</v>
      </c>
      <c r="G140" s="6">
        <v>46282.0</v>
      </c>
      <c r="H140" s="22">
        <v>24.0</v>
      </c>
      <c r="I140" s="7">
        <f t="shared" si="2"/>
        <v>46450</v>
      </c>
      <c r="J140" s="4" t="s">
        <v>25</v>
      </c>
      <c r="K140" s="4" t="s">
        <v>31</v>
      </c>
      <c r="L140" s="24">
        <f>IF(A140="","",IF(OR(G140="",AND(G140&gt;=Dashboard!$C$18,G140&lt;=Dashboard!$C$19)),1,0))</f>
        <v>1</v>
      </c>
      <c r="M140" s="24">
        <f>IF(AND(L140=1,OR(Dashboard!$C$13="All",A140=Dashboard!$C$13),OR(Dashboard!$C$14="All",B140=Dashboard!$C$14),OR(Dashboard!$C$15="All",C140=Dashboard!$C$15),OR(Dashboard!$C$16="All",K140=Dashboard!$C$16),OR(Dashboard!$C$17="All",J140=Dashboard!$C$17)),1,0)</f>
        <v>1</v>
      </c>
      <c r="N140" s="24">
        <f>IF(AND(L140=1,OR(Dashboard!$C$13="All",A140=Dashboard!$C$13),OR(Dashboard!$C$14="All",B140=Dashboard!$C$14),OR(Dashboard!$C$16="All",K140=Dashboard!$C$16),OR(Dashboard!$C$17="All",J140=Dashboard!$C$17)),1,0)</f>
        <v>1</v>
      </c>
      <c r="O140" s="24">
        <f>IF(AND(L140=1,OR(Dashboard!$C$13="All",A140=Dashboard!$C$13),OR(Dashboard!$C$15="All",C140=Dashboard!$C$15),OR(Dashboard!$C$16="All",K140=Dashboard!$C$16),OR(Dashboard!$C$17="All",J140=Dashboard!$C$17)),1,0)</f>
        <v>1</v>
      </c>
      <c r="P140" s="24">
        <f>IF(AND(L140=1,OR(Dashboard!$C$13="All",A140=Dashboard!$C$13),OR(Dashboard!$C$14="All",B140=Dashboard!$C$14),OR(Dashboard!$C$15="All",C140=Dashboard!$C$15),OR(Dashboard!$C$17="All",J140=Dashboard!$C$17)),1,0)</f>
        <v>1</v>
      </c>
      <c r="Q140" s="24">
        <f>IF(AND(L140=1,OR(Dashboard!$C$14="All",B140=Dashboard!$C$14),OR(Dashboard!$C$15="All",C140=Dashboard!$C$15),OR(Dashboard!$C$16="All",K140=Dashboard!$C$16),OR(Dashboard!$C$17="All",J140=Dashboard!$C$17)),1,0)</f>
        <v>1</v>
      </c>
      <c r="R140" s="24">
        <f>IF(AND(L140=1,OR(Dashboard!$C$13="All",A140=Dashboard!$C$13),OR(Dashboard!$C$14="All",B140=Dashboard!$C$14),OR(Dashboard!$C$15="All",C140=Dashboard!$C$15),OR(Dashboard!$C$16="All",K140=Dashboard!$C$16)),1,0)</f>
        <v>1</v>
      </c>
      <c r="S140" s="24">
        <f t="shared" si="3"/>
        <v>139</v>
      </c>
      <c r="T140" s="24" t="s">
        <v>405</v>
      </c>
      <c r="V140" s="24" t="s">
        <v>170</v>
      </c>
    </row>
    <row r="141" ht="15.75" customHeight="1">
      <c r="A141" s="10" t="s">
        <v>219</v>
      </c>
      <c r="B141" s="13"/>
      <c r="C141" s="10" t="s">
        <v>406</v>
      </c>
      <c r="D141" s="13">
        <v>1.0</v>
      </c>
      <c r="E141" s="14">
        <v>45.0</v>
      </c>
      <c r="F141" s="15">
        <f t="shared" si="1"/>
        <v>45</v>
      </c>
      <c r="G141" s="6">
        <v>46283.0</v>
      </c>
      <c r="H141" s="22">
        <v>22.0</v>
      </c>
      <c r="I141" s="16">
        <f t="shared" si="2"/>
        <v>46437</v>
      </c>
      <c r="J141" s="13" t="s">
        <v>25</v>
      </c>
      <c r="K141" s="13" t="s">
        <v>31</v>
      </c>
      <c r="L141" s="24">
        <f>IF(A141="","",IF(OR(G141="",AND(G141&gt;=Dashboard!$C$18,G141&lt;=Dashboard!$C$19)),1,0))</f>
        <v>1</v>
      </c>
      <c r="M141" s="24">
        <f>IF(AND(L141=1,OR(Dashboard!$C$13="All",A141=Dashboard!$C$13),OR(Dashboard!$C$14="All",B141=Dashboard!$C$14),OR(Dashboard!$C$15="All",C141=Dashboard!$C$15),OR(Dashboard!$C$16="All",K141=Dashboard!$C$16),OR(Dashboard!$C$17="All",J141=Dashboard!$C$17)),1,0)</f>
        <v>1</v>
      </c>
      <c r="N141" s="24">
        <f>IF(AND(L141=1,OR(Dashboard!$C$13="All",A141=Dashboard!$C$13),OR(Dashboard!$C$14="All",B141=Dashboard!$C$14),OR(Dashboard!$C$16="All",K141=Dashboard!$C$16),OR(Dashboard!$C$17="All",J141=Dashboard!$C$17)),1,0)</f>
        <v>1</v>
      </c>
      <c r="O141" s="24">
        <f>IF(AND(L141=1,OR(Dashboard!$C$13="All",A141=Dashboard!$C$13),OR(Dashboard!$C$15="All",C141=Dashboard!$C$15),OR(Dashboard!$C$16="All",K141=Dashboard!$C$16),OR(Dashboard!$C$17="All",J141=Dashboard!$C$17)),1,0)</f>
        <v>1</v>
      </c>
      <c r="P141" s="24">
        <f>IF(AND(L141=1,OR(Dashboard!$C$13="All",A141=Dashboard!$C$13),OR(Dashboard!$C$14="All",B141=Dashboard!$C$14),OR(Dashboard!$C$15="All",C141=Dashboard!$C$15),OR(Dashboard!$C$17="All",J141=Dashboard!$C$17)),1,0)</f>
        <v>1</v>
      </c>
      <c r="Q141" s="24">
        <f>IF(AND(L141=1,OR(Dashboard!$C$14="All",B141=Dashboard!$C$14),OR(Dashboard!$C$15="All",C141=Dashboard!$C$15),OR(Dashboard!$C$16="All",K141=Dashboard!$C$16),OR(Dashboard!$C$17="All",J141=Dashboard!$C$17)),1,0)</f>
        <v>1</v>
      </c>
      <c r="R141" s="24">
        <f>IF(AND(L141=1,OR(Dashboard!$C$13="All",A141=Dashboard!$C$13),OR(Dashboard!$C$14="All",B141=Dashboard!$C$14),OR(Dashboard!$C$15="All",C141=Dashboard!$C$15),OR(Dashboard!$C$16="All",K141=Dashboard!$C$16)),1,0)</f>
        <v>1</v>
      </c>
      <c r="S141" s="24">
        <f t="shared" si="3"/>
        <v>140</v>
      </c>
      <c r="T141" s="24" t="s">
        <v>407</v>
      </c>
      <c r="V141" s="24" t="s">
        <v>408</v>
      </c>
    </row>
    <row r="142" ht="15.75" customHeight="1">
      <c r="A142" s="3" t="s">
        <v>222</v>
      </c>
      <c r="B142" s="4"/>
      <c r="C142" s="3" t="s">
        <v>310</v>
      </c>
      <c r="D142" s="4">
        <v>100.0</v>
      </c>
      <c r="E142" s="17">
        <v>5554.0</v>
      </c>
      <c r="F142" s="5">
        <f t="shared" si="1"/>
        <v>555400</v>
      </c>
      <c r="G142" s="6">
        <v>46284.0</v>
      </c>
      <c r="H142" s="22">
        <v>22.0</v>
      </c>
      <c r="I142" s="7">
        <f t="shared" si="2"/>
        <v>46438</v>
      </c>
      <c r="J142" s="4" t="s">
        <v>25</v>
      </c>
      <c r="K142" s="4" t="s">
        <v>31</v>
      </c>
      <c r="L142" s="24">
        <f>IF(A142="","",IF(OR(G142="",AND(G142&gt;=Dashboard!$C$18,G142&lt;=Dashboard!$C$19)),1,0))</f>
        <v>1</v>
      </c>
      <c r="M142" s="24">
        <f>IF(AND(L142=1,OR(Dashboard!$C$13="All",A142=Dashboard!$C$13),OR(Dashboard!$C$14="All",B142=Dashboard!$C$14),OR(Dashboard!$C$15="All",C142=Dashboard!$C$15),OR(Dashboard!$C$16="All",K142=Dashboard!$C$16),OR(Dashboard!$C$17="All",J142=Dashboard!$C$17)),1,0)</f>
        <v>1</v>
      </c>
      <c r="N142" s="24">
        <f>IF(AND(L142=1,OR(Dashboard!$C$13="All",A142=Dashboard!$C$13),OR(Dashboard!$C$14="All",B142=Dashboard!$C$14),OR(Dashboard!$C$16="All",K142=Dashboard!$C$16),OR(Dashboard!$C$17="All",J142=Dashboard!$C$17)),1,0)</f>
        <v>1</v>
      </c>
      <c r="O142" s="24">
        <f>IF(AND(L142=1,OR(Dashboard!$C$13="All",A142=Dashboard!$C$13),OR(Dashboard!$C$15="All",C142=Dashboard!$C$15),OR(Dashboard!$C$16="All",K142=Dashboard!$C$16),OR(Dashboard!$C$17="All",J142=Dashboard!$C$17)),1,0)</f>
        <v>1</v>
      </c>
      <c r="P142" s="24">
        <f>IF(AND(L142=1,OR(Dashboard!$C$13="All",A142=Dashboard!$C$13),OR(Dashboard!$C$14="All",B142=Dashboard!$C$14),OR(Dashboard!$C$15="All",C142=Dashboard!$C$15),OR(Dashboard!$C$17="All",J142=Dashboard!$C$17)),1,0)</f>
        <v>1</v>
      </c>
      <c r="Q142" s="24">
        <f>IF(AND(L142=1,OR(Dashboard!$C$14="All",B142=Dashboard!$C$14),OR(Dashboard!$C$15="All",C142=Dashboard!$C$15),OR(Dashboard!$C$16="All",K142=Dashboard!$C$16),OR(Dashboard!$C$17="All",J142=Dashboard!$C$17)),1,0)</f>
        <v>1</v>
      </c>
      <c r="R142" s="24">
        <f>IF(AND(L142=1,OR(Dashboard!$C$13="All",A142=Dashboard!$C$13),OR(Dashboard!$C$14="All",B142=Dashboard!$C$14),OR(Dashboard!$C$15="All",C142=Dashboard!$C$15),OR(Dashboard!$C$16="All",K142=Dashboard!$C$16)),1,0)</f>
        <v>1</v>
      </c>
      <c r="S142" s="24">
        <f t="shared" si="3"/>
        <v>141</v>
      </c>
      <c r="T142" s="24" t="s">
        <v>409</v>
      </c>
      <c r="V142" s="24" t="s">
        <v>410</v>
      </c>
    </row>
    <row r="143" ht="15.75" customHeight="1">
      <c r="A143" s="10" t="s">
        <v>180</v>
      </c>
      <c r="B143" s="13"/>
      <c r="C143" s="10" t="s">
        <v>411</v>
      </c>
      <c r="D143" s="13">
        <v>100.0</v>
      </c>
      <c r="E143" s="14">
        <v>41.0</v>
      </c>
      <c r="F143" s="15">
        <f t="shared" si="1"/>
        <v>4100</v>
      </c>
      <c r="G143" s="6">
        <v>46285.0</v>
      </c>
      <c r="H143" s="22">
        <v>22.0</v>
      </c>
      <c r="I143" s="16">
        <f t="shared" si="2"/>
        <v>46439</v>
      </c>
      <c r="J143" s="13" t="s">
        <v>25</v>
      </c>
      <c r="K143" s="13" t="s">
        <v>31</v>
      </c>
      <c r="L143" s="24">
        <f>IF(A143="","",IF(OR(G143="",AND(G143&gt;=Dashboard!$C$18,G143&lt;=Dashboard!$C$19)),1,0))</f>
        <v>1</v>
      </c>
      <c r="M143" s="24">
        <f>IF(AND(L143=1,OR(Dashboard!$C$13="All",A143=Dashboard!$C$13),OR(Dashboard!$C$14="All",B143=Dashboard!$C$14),OR(Dashboard!$C$15="All",C143=Dashboard!$C$15),OR(Dashboard!$C$16="All",K143=Dashboard!$C$16),OR(Dashboard!$C$17="All",J143=Dashboard!$C$17)),1,0)</f>
        <v>1</v>
      </c>
      <c r="N143" s="24">
        <f>IF(AND(L143=1,OR(Dashboard!$C$13="All",A143=Dashboard!$C$13),OR(Dashboard!$C$14="All",B143=Dashboard!$C$14),OR(Dashboard!$C$16="All",K143=Dashboard!$C$16),OR(Dashboard!$C$17="All",J143=Dashboard!$C$17)),1,0)</f>
        <v>1</v>
      </c>
      <c r="O143" s="24">
        <f>IF(AND(L143=1,OR(Dashboard!$C$13="All",A143=Dashboard!$C$13),OR(Dashboard!$C$15="All",C143=Dashboard!$C$15),OR(Dashboard!$C$16="All",K143=Dashboard!$C$16),OR(Dashboard!$C$17="All",J143=Dashboard!$C$17)),1,0)</f>
        <v>1</v>
      </c>
      <c r="P143" s="24">
        <f>IF(AND(L143=1,OR(Dashboard!$C$13="All",A143=Dashboard!$C$13),OR(Dashboard!$C$14="All",B143=Dashboard!$C$14),OR(Dashboard!$C$15="All",C143=Dashboard!$C$15),OR(Dashboard!$C$17="All",J143=Dashboard!$C$17)),1,0)</f>
        <v>1</v>
      </c>
      <c r="Q143" s="24">
        <f>IF(AND(L143=1,OR(Dashboard!$C$14="All",B143=Dashboard!$C$14),OR(Dashboard!$C$15="All",C143=Dashboard!$C$15),OR(Dashboard!$C$16="All",K143=Dashboard!$C$16),OR(Dashboard!$C$17="All",J143=Dashboard!$C$17)),1,0)</f>
        <v>1</v>
      </c>
      <c r="R143" s="24">
        <f>IF(AND(L143=1,OR(Dashboard!$C$13="All",A143=Dashboard!$C$13),OR(Dashboard!$C$14="All",B143=Dashboard!$C$14),OR(Dashboard!$C$15="All",C143=Dashboard!$C$15),OR(Dashboard!$C$16="All",K143=Dashboard!$C$16)),1,0)</f>
        <v>1</v>
      </c>
      <c r="S143" s="24">
        <f t="shared" si="3"/>
        <v>142</v>
      </c>
      <c r="T143" s="24" t="s">
        <v>412</v>
      </c>
      <c r="V143" s="24" t="s">
        <v>413</v>
      </c>
    </row>
    <row r="144" ht="15.75" customHeight="1">
      <c r="A144" s="3" t="s">
        <v>224</v>
      </c>
      <c r="B144" s="4"/>
      <c r="C144" s="3" t="s">
        <v>414</v>
      </c>
      <c r="D144" s="4">
        <v>1.0</v>
      </c>
      <c r="E144" s="17">
        <v>231.0</v>
      </c>
      <c r="F144" s="5">
        <f t="shared" si="1"/>
        <v>231</v>
      </c>
      <c r="G144" s="6">
        <v>46286.0</v>
      </c>
      <c r="H144" s="22">
        <v>21.0</v>
      </c>
      <c r="I144" s="7">
        <f t="shared" si="2"/>
        <v>46433</v>
      </c>
      <c r="J144" s="4" t="s">
        <v>25</v>
      </c>
      <c r="K144" s="4" t="s">
        <v>31</v>
      </c>
      <c r="L144" s="24">
        <f>IF(A144="","",IF(OR(G144="",AND(G144&gt;=Dashboard!$C$18,G144&lt;=Dashboard!$C$19)),1,0))</f>
        <v>1</v>
      </c>
      <c r="M144" s="24">
        <f>IF(AND(L144=1,OR(Dashboard!$C$13="All",A144=Dashboard!$C$13),OR(Dashboard!$C$14="All",B144=Dashboard!$C$14),OR(Dashboard!$C$15="All",C144=Dashboard!$C$15),OR(Dashboard!$C$16="All",K144=Dashboard!$C$16),OR(Dashboard!$C$17="All",J144=Dashboard!$C$17)),1,0)</f>
        <v>1</v>
      </c>
      <c r="N144" s="24">
        <f>IF(AND(L144=1,OR(Dashboard!$C$13="All",A144=Dashboard!$C$13),OR(Dashboard!$C$14="All",B144=Dashboard!$C$14),OR(Dashboard!$C$16="All",K144=Dashboard!$C$16),OR(Dashboard!$C$17="All",J144=Dashboard!$C$17)),1,0)</f>
        <v>1</v>
      </c>
      <c r="O144" s="24">
        <f>IF(AND(L144=1,OR(Dashboard!$C$13="All",A144=Dashboard!$C$13),OR(Dashboard!$C$15="All",C144=Dashboard!$C$15),OR(Dashboard!$C$16="All",K144=Dashboard!$C$16),OR(Dashboard!$C$17="All",J144=Dashboard!$C$17)),1,0)</f>
        <v>1</v>
      </c>
      <c r="P144" s="24">
        <f>IF(AND(L144=1,OR(Dashboard!$C$13="All",A144=Dashboard!$C$13),OR(Dashboard!$C$14="All",B144=Dashboard!$C$14),OR(Dashboard!$C$15="All",C144=Dashboard!$C$15),OR(Dashboard!$C$17="All",J144=Dashboard!$C$17)),1,0)</f>
        <v>1</v>
      </c>
      <c r="Q144" s="24">
        <f>IF(AND(L144=1,OR(Dashboard!$C$14="All",B144=Dashboard!$C$14),OR(Dashboard!$C$15="All",C144=Dashboard!$C$15),OR(Dashboard!$C$16="All",K144=Dashboard!$C$16),OR(Dashboard!$C$17="All",J144=Dashboard!$C$17)),1,0)</f>
        <v>1</v>
      </c>
      <c r="R144" s="24">
        <f>IF(AND(L144=1,OR(Dashboard!$C$13="All",A144=Dashboard!$C$13),OR(Dashboard!$C$14="All",B144=Dashboard!$C$14),OR(Dashboard!$C$15="All",C144=Dashboard!$C$15),OR(Dashboard!$C$16="All",K144=Dashboard!$C$16)),1,0)</f>
        <v>1</v>
      </c>
      <c r="S144" s="24">
        <f t="shared" si="3"/>
        <v>143</v>
      </c>
      <c r="T144" s="24" t="s">
        <v>415</v>
      </c>
      <c r="V144" s="24" t="s">
        <v>416</v>
      </c>
    </row>
    <row r="145" ht="15.75" customHeight="1">
      <c r="A145" s="10" t="s">
        <v>224</v>
      </c>
      <c r="B145" s="13"/>
      <c r="C145" s="10" t="s">
        <v>417</v>
      </c>
      <c r="D145" s="13">
        <v>2.0</v>
      </c>
      <c r="E145" s="14">
        <v>25.0</v>
      </c>
      <c r="F145" s="15">
        <f t="shared" si="1"/>
        <v>50</v>
      </c>
      <c r="G145" s="6">
        <v>46287.0</v>
      </c>
      <c r="H145" s="22">
        <v>20.0</v>
      </c>
      <c r="I145" s="16">
        <f t="shared" si="2"/>
        <v>46427</v>
      </c>
      <c r="J145" s="13" t="s">
        <v>25</v>
      </c>
      <c r="K145" s="13" t="s">
        <v>31</v>
      </c>
      <c r="L145" s="24">
        <f>IF(A145="","",IF(OR(G145="",AND(G145&gt;=Dashboard!$C$18,G145&lt;=Dashboard!$C$19)),1,0))</f>
        <v>1</v>
      </c>
      <c r="M145" s="24">
        <f>IF(AND(L145=1,OR(Dashboard!$C$13="All",A145=Dashboard!$C$13),OR(Dashboard!$C$14="All",B145=Dashboard!$C$14),OR(Dashboard!$C$15="All",C145=Dashboard!$C$15),OR(Dashboard!$C$16="All",K145=Dashboard!$C$16),OR(Dashboard!$C$17="All",J145=Dashboard!$C$17)),1,0)</f>
        <v>1</v>
      </c>
      <c r="N145" s="24">
        <f>IF(AND(L145=1,OR(Dashboard!$C$13="All",A145=Dashboard!$C$13),OR(Dashboard!$C$14="All",B145=Dashboard!$C$14),OR(Dashboard!$C$16="All",K145=Dashboard!$C$16),OR(Dashboard!$C$17="All",J145=Dashboard!$C$17)),1,0)</f>
        <v>1</v>
      </c>
      <c r="O145" s="24">
        <f>IF(AND(L145=1,OR(Dashboard!$C$13="All",A145=Dashboard!$C$13),OR(Dashboard!$C$15="All",C145=Dashboard!$C$15),OR(Dashboard!$C$16="All",K145=Dashboard!$C$16),OR(Dashboard!$C$17="All",J145=Dashboard!$C$17)),1,0)</f>
        <v>1</v>
      </c>
      <c r="P145" s="24">
        <f>IF(AND(L145=1,OR(Dashboard!$C$13="All",A145=Dashboard!$C$13),OR(Dashboard!$C$14="All",B145=Dashboard!$C$14),OR(Dashboard!$C$15="All",C145=Dashboard!$C$15),OR(Dashboard!$C$17="All",J145=Dashboard!$C$17)),1,0)</f>
        <v>1</v>
      </c>
      <c r="Q145" s="24">
        <f>IF(AND(L145=1,OR(Dashboard!$C$14="All",B145=Dashboard!$C$14),OR(Dashboard!$C$15="All",C145=Dashboard!$C$15),OR(Dashboard!$C$16="All",K145=Dashboard!$C$16),OR(Dashboard!$C$17="All",J145=Dashboard!$C$17)),1,0)</f>
        <v>1</v>
      </c>
      <c r="R145" s="24">
        <f>IF(AND(L145=1,OR(Dashboard!$C$13="All",A145=Dashboard!$C$13),OR(Dashboard!$C$14="All",B145=Dashboard!$C$14),OR(Dashboard!$C$15="All",C145=Dashboard!$C$15),OR(Dashboard!$C$16="All",K145=Dashboard!$C$16)),1,0)</f>
        <v>1</v>
      </c>
      <c r="S145" s="24">
        <f t="shared" si="3"/>
        <v>144</v>
      </c>
      <c r="T145" s="24" t="s">
        <v>418</v>
      </c>
      <c r="V145" s="24" t="s">
        <v>419</v>
      </c>
    </row>
    <row r="146" ht="15.75" customHeight="1">
      <c r="A146" s="3" t="s">
        <v>224</v>
      </c>
      <c r="B146" s="4"/>
      <c r="C146" s="3" t="s">
        <v>420</v>
      </c>
      <c r="D146" s="4">
        <v>1.0</v>
      </c>
      <c r="E146" s="17">
        <v>245.0</v>
      </c>
      <c r="F146" s="5">
        <f t="shared" si="1"/>
        <v>245</v>
      </c>
      <c r="G146" s="6">
        <v>46288.0</v>
      </c>
      <c r="H146" s="22">
        <v>21.0</v>
      </c>
      <c r="I146" s="7">
        <f t="shared" si="2"/>
        <v>46435</v>
      </c>
      <c r="J146" s="4" t="s">
        <v>25</v>
      </c>
      <c r="K146" s="4" t="s">
        <v>31</v>
      </c>
      <c r="L146" s="24">
        <f>IF(A146="","",IF(OR(G146="",AND(G146&gt;=Dashboard!$C$18,G146&lt;=Dashboard!$C$19)),1,0))</f>
        <v>1</v>
      </c>
      <c r="M146" s="24">
        <f>IF(AND(L146=1,OR(Dashboard!$C$13="All",A146=Dashboard!$C$13),OR(Dashboard!$C$14="All",B146=Dashboard!$C$14),OR(Dashboard!$C$15="All",C146=Dashboard!$C$15),OR(Dashboard!$C$16="All",K146=Dashboard!$C$16),OR(Dashboard!$C$17="All",J146=Dashboard!$C$17)),1,0)</f>
        <v>1</v>
      </c>
      <c r="N146" s="24">
        <f>IF(AND(L146=1,OR(Dashboard!$C$13="All",A146=Dashboard!$C$13),OR(Dashboard!$C$14="All",B146=Dashboard!$C$14),OR(Dashboard!$C$16="All",K146=Dashboard!$C$16),OR(Dashboard!$C$17="All",J146=Dashboard!$C$17)),1,0)</f>
        <v>1</v>
      </c>
      <c r="O146" s="24">
        <f>IF(AND(L146=1,OR(Dashboard!$C$13="All",A146=Dashboard!$C$13),OR(Dashboard!$C$15="All",C146=Dashboard!$C$15),OR(Dashboard!$C$16="All",K146=Dashboard!$C$16),OR(Dashboard!$C$17="All",J146=Dashboard!$C$17)),1,0)</f>
        <v>1</v>
      </c>
      <c r="P146" s="24">
        <f>IF(AND(L146=1,OR(Dashboard!$C$13="All",A146=Dashboard!$C$13),OR(Dashboard!$C$14="All",B146=Dashboard!$C$14),OR(Dashboard!$C$15="All",C146=Dashboard!$C$15),OR(Dashboard!$C$17="All",J146=Dashboard!$C$17)),1,0)</f>
        <v>1</v>
      </c>
      <c r="Q146" s="24">
        <f>IF(AND(L146=1,OR(Dashboard!$C$14="All",B146=Dashboard!$C$14),OR(Dashboard!$C$15="All",C146=Dashboard!$C$15),OR(Dashboard!$C$16="All",K146=Dashboard!$C$16),OR(Dashboard!$C$17="All",J146=Dashboard!$C$17)),1,0)</f>
        <v>1</v>
      </c>
      <c r="R146" s="24">
        <f>IF(AND(L146=1,OR(Dashboard!$C$13="All",A146=Dashboard!$C$13),OR(Dashboard!$C$14="All",B146=Dashboard!$C$14),OR(Dashboard!$C$15="All",C146=Dashboard!$C$15),OR(Dashboard!$C$16="All",K146=Dashboard!$C$16)),1,0)</f>
        <v>1</v>
      </c>
      <c r="S146" s="24">
        <f t="shared" si="3"/>
        <v>145</v>
      </c>
      <c r="T146" s="24" t="s">
        <v>421</v>
      </c>
      <c r="V146" s="24" t="s">
        <v>422</v>
      </c>
    </row>
    <row r="147" ht="15.75" customHeight="1">
      <c r="A147" s="10" t="s">
        <v>224</v>
      </c>
      <c r="B147" s="13"/>
      <c r="C147" s="10" t="s">
        <v>423</v>
      </c>
      <c r="D147" s="13">
        <v>1.0</v>
      </c>
      <c r="E147" s="14">
        <v>2555.0</v>
      </c>
      <c r="F147" s="15">
        <f t="shared" si="1"/>
        <v>2555</v>
      </c>
      <c r="G147" s="6">
        <v>46289.0</v>
      </c>
      <c r="H147" s="22">
        <v>18.0</v>
      </c>
      <c r="I147" s="16">
        <f t="shared" si="2"/>
        <v>46415</v>
      </c>
      <c r="J147" s="13" t="s">
        <v>25</v>
      </c>
      <c r="K147" s="13" t="s">
        <v>31</v>
      </c>
      <c r="L147" s="24">
        <f>IF(A147="","",IF(OR(G147="",AND(G147&gt;=Dashboard!$C$18,G147&lt;=Dashboard!$C$19)),1,0))</f>
        <v>1</v>
      </c>
      <c r="M147" s="24">
        <f>IF(AND(L147=1,OR(Dashboard!$C$13="All",A147=Dashboard!$C$13),OR(Dashboard!$C$14="All",B147=Dashboard!$C$14),OR(Dashboard!$C$15="All",C147=Dashboard!$C$15),OR(Dashboard!$C$16="All",K147=Dashboard!$C$16),OR(Dashboard!$C$17="All",J147=Dashboard!$C$17)),1,0)</f>
        <v>1</v>
      </c>
      <c r="N147" s="24">
        <f>IF(AND(L147=1,OR(Dashboard!$C$13="All",A147=Dashboard!$C$13),OR(Dashboard!$C$14="All",B147=Dashboard!$C$14),OR(Dashboard!$C$16="All",K147=Dashboard!$C$16),OR(Dashboard!$C$17="All",J147=Dashboard!$C$17)),1,0)</f>
        <v>1</v>
      </c>
      <c r="O147" s="24">
        <f>IF(AND(L147=1,OR(Dashboard!$C$13="All",A147=Dashboard!$C$13),OR(Dashboard!$C$15="All",C147=Dashboard!$C$15),OR(Dashboard!$C$16="All",K147=Dashboard!$C$16),OR(Dashboard!$C$17="All",J147=Dashboard!$C$17)),1,0)</f>
        <v>1</v>
      </c>
      <c r="P147" s="24">
        <f>IF(AND(L147=1,OR(Dashboard!$C$13="All",A147=Dashboard!$C$13),OR(Dashboard!$C$14="All",B147=Dashboard!$C$14),OR(Dashboard!$C$15="All",C147=Dashboard!$C$15),OR(Dashboard!$C$17="All",J147=Dashboard!$C$17)),1,0)</f>
        <v>1</v>
      </c>
      <c r="Q147" s="24">
        <f>IF(AND(L147=1,OR(Dashboard!$C$14="All",B147=Dashboard!$C$14),OR(Dashboard!$C$15="All",C147=Dashboard!$C$15),OR(Dashboard!$C$16="All",K147=Dashboard!$C$16),OR(Dashboard!$C$17="All",J147=Dashboard!$C$17)),1,0)</f>
        <v>1</v>
      </c>
      <c r="R147" s="24">
        <f>IF(AND(L147=1,OR(Dashboard!$C$13="All",A147=Dashboard!$C$13),OR(Dashboard!$C$14="All",B147=Dashboard!$C$14),OR(Dashboard!$C$15="All",C147=Dashboard!$C$15),OR(Dashboard!$C$16="All",K147=Dashboard!$C$16)),1,0)</f>
        <v>1</v>
      </c>
      <c r="S147" s="24">
        <f t="shared" si="3"/>
        <v>146</v>
      </c>
      <c r="T147" s="24" t="s">
        <v>424</v>
      </c>
      <c r="V147" s="24" t="s">
        <v>47</v>
      </c>
    </row>
    <row r="148" ht="15.75" customHeight="1">
      <c r="A148" s="3" t="s">
        <v>226</v>
      </c>
      <c r="B148" s="4"/>
      <c r="C148" s="3" t="s">
        <v>425</v>
      </c>
      <c r="D148" s="4">
        <v>1.0</v>
      </c>
      <c r="E148" s="17">
        <v>255.0</v>
      </c>
      <c r="F148" s="5">
        <f t="shared" si="1"/>
        <v>255</v>
      </c>
      <c r="G148" s="6">
        <v>46290.0</v>
      </c>
      <c r="H148" s="22">
        <v>22.0</v>
      </c>
      <c r="I148" s="7">
        <f t="shared" si="2"/>
        <v>46444</v>
      </c>
      <c r="J148" s="4" t="s">
        <v>25</v>
      </c>
      <c r="K148" s="4" t="s">
        <v>31</v>
      </c>
      <c r="L148" s="24">
        <f>IF(A148="","",IF(OR(G148="",AND(G148&gt;=Dashboard!$C$18,G148&lt;=Dashboard!$C$19)),1,0))</f>
        <v>1</v>
      </c>
      <c r="M148" s="24">
        <f>IF(AND(L148=1,OR(Dashboard!$C$13="All",A148=Dashboard!$C$13),OR(Dashboard!$C$14="All",B148=Dashboard!$C$14),OR(Dashboard!$C$15="All",C148=Dashboard!$C$15),OR(Dashboard!$C$16="All",K148=Dashboard!$C$16),OR(Dashboard!$C$17="All",J148=Dashboard!$C$17)),1,0)</f>
        <v>1</v>
      </c>
      <c r="N148" s="24">
        <f>IF(AND(L148=1,OR(Dashboard!$C$13="All",A148=Dashboard!$C$13),OR(Dashboard!$C$14="All",B148=Dashboard!$C$14),OR(Dashboard!$C$16="All",K148=Dashboard!$C$16),OR(Dashboard!$C$17="All",J148=Dashboard!$C$17)),1,0)</f>
        <v>1</v>
      </c>
      <c r="O148" s="24">
        <f>IF(AND(L148=1,OR(Dashboard!$C$13="All",A148=Dashboard!$C$13),OR(Dashboard!$C$15="All",C148=Dashboard!$C$15),OR(Dashboard!$C$16="All",K148=Dashboard!$C$16),OR(Dashboard!$C$17="All",J148=Dashboard!$C$17)),1,0)</f>
        <v>1</v>
      </c>
      <c r="P148" s="24">
        <f>IF(AND(L148=1,OR(Dashboard!$C$13="All",A148=Dashboard!$C$13),OR(Dashboard!$C$14="All",B148=Dashboard!$C$14),OR(Dashboard!$C$15="All",C148=Dashboard!$C$15),OR(Dashboard!$C$17="All",J148=Dashboard!$C$17)),1,0)</f>
        <v>1</v>
      </c>
      <c r="Q148" s="24">
        <f>IF(AND(L148=1,OR(Dashboard!$C$14="All",B148=Dashboard!$C$14),OR(Dashboard!$C$15="All",C148=Dashboard!$C$15),OR(Dashboard!$C$16="All",K148=Dashboard!$C$16),OR(Dashboard!$C$17="All",J148=Dashboard!$C$17)),1,0)</f>
        <v>1</v>
      </c>
      <c r="R148" s="24">
        <f>IF(AND(L148=1,OR(Dashboard!$C$13="All",A148=Dashboard!$C$13),OR(Dashboard!$C$14="All",B148=Dashboard!$C$14),OR(Dashboard!$C$15="All",C148=Dashboard!$C$15),OR(Dashboard!$C$16="All",K148=Dashboard!$C$16)),1,0)</f>
        <v>1</v>
      </c>
      <c r="S148" s="24">
        <f t="shared" si="3"/>
        <v>147</v>
      </c>
      <c r="T148" s="24" t="s">
        <v>426</v>
      </c>
      <c r="V148" s="24" t="s">
        <v>299</v>
      </c>
    </row>
    <row r="149" ht="15.75" customHeight="1">
      <c r="A149" s="10" t="s">
        <v>128</v>
      </c>
      <c r="B149" s="13"/>
      <c r="C149" s="10" t="s">
        <v>427</v>
      </c>
      <c r="D149" s="13">
        <v>4000.0</v>
      </c>
      <c r="E149" s="14">
        <v>45.0</v>
      </c>
      <c r="F149" s="15">
        <f t="shared" si="1"/>
        <v>180000</v>
      </c>
      <c r="G149" s="6">
        <v>46291.0</v>
      </c>
      <c r="H149" s="22">
        <v>21.0</v>
      </c>
      <c r="I149" s="16">
        <f t="shared" si="2"/>
        <v>46438</v>
      </c>
      <c r="J149" s="13" t="s">
        <v>25</v>
      </c>
      <c r="K149" s="13" t="s">
        <v>31</v>
      </c>
      <c r="L149" s="24">
        <f>IF(A149="","",IF(OR(G149="",AND(G149&gt;=Dashboard!$C$18,G149&lt;=Dashboard!$C$19)),1,0))</f>
        <v>1</v>
      </c>
      <c r="M149" s="24">
        <f>IF(AND(L149=1,OR(Dashboard!$C$13="All",A149=Dashboard!$C$13),OR(Dashboard!$C$14="All",B149=Dashboard!$C$14),OR(Dashboard!$C$15="All",C149=Dashboard!$C$15),OR(Dashboard!$C$16="All",K149=Dashboard!$C$16),OR(Dashboard!$C$17="All",J149=Dashboard!$C$17)),1,0)</f>
        <v>1</v>
      </c>
      <c r="N149" s="24">
        <f>IF(AND(L149=1,OR(Dashboard!$C$13="All",A149=Dashboard!$C$13),OR(Dashboard!$C$14="All",B149=Dashboard!$C$14),OR(Dashboard!$C$16="All",K149=Dashboard!$C$16),OR(Dashboard!$C$17="All",J149=Dashboard!$C$17)),1,0)</f>
        <v>1</v>
      </c>
      <c r="O149" s="24">
        <f>IF(AND(L149=1,OR(Dashboard!$C$13="All",A149=Dashboard!$C$13),OR(Dashboard!$C$15="All",C149=Dashboard!$C$15),OR(Dashboard!$C$16="All",K149=Dashboard!$C$16),OR(Dashboard!$C$17="All",J149=Dashboard!$C$17)),1,0)</f>
        <v>1</v>
      </c>
      <c r="P149" s="24">
        <f>IF(AND(L149=1,OR(Dashboard!$C$13="All",A149=Dashboard!$C$13),OR(Dashboard!$C$14="All",B149=Dashboard!$C$14),OR(Dashboard!$C$15="All",C149=Dashboard!$C$15),OR(Dashboard!$C$17="All",J149=Dashboard!$C$17)),1,0)</f>
        <v>1</v>
      </c>
      <c r="Q149" s="24">
        <f>IF(AND(L149=1,OR(Dashboard!$C$14="All",B149=Dashboard!$C$14),OR(Dashboard!$C$15="All",C149=Dashboard!$C$15),OR(Dashboard!$C$16="All",K149=Dashboard!$C$16),OR(Dashboard!$C$17="All",J149=Dashboard!$C$17)),1,0)</f>
        <v>1</v>
      </c>
      <c r="R149" s="24">
        <f>IF(AND(L149=1,OR(Dashboard!$C$13="All",A149=Dashboard!$C$13),OR(Dashboard!$C$14="All",B149=Dashboard!$C$14),OR(Dashboard!$C$15="All",C149=Dashboard!$C$15),OR(Dashboard!$C$16="All",K149=Dashboard!$C$16)),1,0)</f>
        <v>1</v>
      </c>
      <c r="S149" s="24">
        <f t="shared" si="3"/>
        <v>148</v>
      </c>
      <c r="T149" s="24" t="s">
        <v>428</v>
      </c>
      <c r="V149" s="24" t="s">
        <v>368</v>
      </c>
    </row>
    <row r="150" ht="15.75" customHeight="1">
      <c r="A150" s="3" t="s">
        <v>229</v>
      </c>
      <c r="B150" s="4"/>
      <c r="C150" s="3" t="s">
        <v>404</v>
      </c>
      <c r="D150" s="4">
        <v>2.0</v>
      </c>
      <c r="E150" s="17">
        <v>36.0</v>
      </c>
      <c r="F150" s="5">
        <f t="shared" si="1"/>
        <v>72</v>
      </c>
      <c r="G150" s="6">
        <v>46292.0</v>
      </c>
      <c r="H150" s="22">
        <v>20.0</v>
      </c>
      <c r="I150" s="7">
        <f t="shared" si="2"/>
        <v>46432</v>
      </c>
      <c r="J150" s="4" t="s">
        <v>25</v>
      </c>
      <c r="K150" s="4" t="s">
        <v>31</v>
      </c>
      <c r="L150" s="24">
        <f>IF(A150="","",IF(OR(G150="",AND(G150&gt;=Dashboard!$C$18,G150&lt;=Dashboard!$C$19)),1,0))</f>
        <v>1</v>
      </c>
      <c r="M150" s="24">
        <f>IF(AND(L150=1,OR(Dashboard!$C$13="All",A150=Dashboard!$C$13),OR(Dashboard!$C$14="All",B150=Dashboard!$C$14),OR(Dashboard!$C$15="All",C150=Dashboard!$C$15),OR(Dashboard!$C$16="All",K150=Dashboard!$C$16),OR(Dashboard!$C$17="All",J150=Dashboard!$C$17)),1,0)</f>
        <v>1</v>
      </c>
      <c r="N150" s="24">
        <f>IF(AND(L150=1,OR(Dashboard!$C$13="All",A150=Dashboard!$C$13),OR(Dashboard!$C$14="All",B150=Dashboard!$C$14),OR(Dashboard!$C$16="All",K150=Dashboard!$C$16),OR(Dashboard!$C$17="All",J150=Dashboard!$C$17)),1,0)</f>
        <v>1</v>
      </c>
      <c r="O150" s="24">
        <f>IF(AND(L150=1,OR(Dashboard!$C$13="All",A150=Dashboard!$C$13),OR(Dashboard!$C$15="All",C150=Dashboard!$C$15),OR(Dashboard!$C$16="All",K150=Dashboard!$C$16),OR(Dashboard!$C$17="All",J150=Dashboard!$C$17)),1,0)</f>
        <v>1</v>
      </c>
      <c r="P150" s="24">
        <f>IF(AND(L150=1,OR(Dashboard!$C$13="All",A150=Dashboard!$C$13),OR(Dashboard!$C$14="All",B150=Dashboard!$C$14),OR(Dashboard!$C$15="All",C150=Dashboard!$C$15),OR(Dashboard!$C$17="All",J150=Dashboard!$C$17)),1,0)</f>
        <v>1</v>
      </c>
      <c r="Q150" s="24">
        <f>IF(AND(L150=1,OR(Dashboard!$C$14="All",B150=Dashboard!$C$14),OR(Dashboard!$C$15="All",C150=Dashboard!$C$15),OR(Dashboard!$C$16="All",K150=Dashboard!$C$16),OR(Dashboard!$C$17="All",J150=Dashboard!$C$17)),1,0)</f>
        <v>1</v>
      </c>
      <c r="R150" s="24">
        <f>IF(AND(L150=1,OR(Dashboard!$C$13="All",A150=Dashboard!$C$13),OR(Dashboard!$C$14="All",B150=Dashboard!$C$14),OR(Dashboard!$C$15="All",C150=Dashboard!$C$15),OR(Dashboard!$C$16="All",K150=Dashboard!$C$16)),1,0)</f>
        <v>1</v>
      </c>
      <c r="S150" s="24">
        <f t="shared" si="3"/>
        <v>149</v>
      </c>
      <c r="T150" s="24" t="s">
        <v>429</v>
      </c>
      <c r="V150" s="24" t="s">
        <v>263</v>
      </c>
    </row>
    <row r="151" ht="15.75" customHeight="1">
      <c r="A151" s="10" t="s">
        <v>231</v>
      </c>
      <c r="B151" s="13"/>
      <c r="C151" s="10" t="s">
        <v>430</v>
      </c>
      <c r="D151" s="13">
        <v>1.0</v>
      </c>
      <c r="E151" s="14">
        <v>96.0</v>
      </c>
      <c r="F151" s="15">
        <f t="shared" si="1"/>
        <v>96</v>
      </c>
      <c r="G151" s="6">
        <v>46293.0</v>
      </c>
      <c r="H151" s="22">
        <v>18.0</v>
      </c>
      <c r="I151" s="16">
        <f t="shared" si="2"/>
        <v>46419</v>
      </c>
      <c r="J151" s="13" t="s">
        <v>25</v>
      </c>
      <c r="K151" s="13" t="s">
        <v>31</v>
      </c>
      <c r="L151" s="24">
        <f>IF(A151="","",IF(OR(G151="",AND(G151&gt;=Dashboard!$C$18,G151&lt;=Dashboard!$C$19)),1,0))</f>
        <v>1</v>
      </c>
      <c r="M151" s="24">
        <f>IF(AND(L151=1,OR(Dashboard!$C$13="All",A151=Dashboard!$C$13),OR(Dashboard!$C$14="All",B151=Dashboard!$C$14),OR(Dashboard!$C$15="All",C151=Dashboard!$C$15),OR(Dashboard!$C$16="All",K151=Dashboard!$C$16),OR(Dashboard!$C$17="All",J151=Dashboard!$C$17)),1,0)</f>
        <v>1</v>
      </c>
      <c r="N151" s="24">
        <f>IF(AND(L151=1,OR(Dashboard!$C$13="All",A151=Dashboard!$C$13),OR(Dashboard!$C$14="All",B151=Dashboard!$C$14),OR(Dashboard!$C$16="All",K151=Dashboard!$C$16),OR(Dashboard!$C$17="All",J151=Dashboard!$C$17)),1,0)</f>
        <v>1</v>
      </c>
      <c r="O151" s="24">
        <f>IF(AND(L151=1,OR(Dashboard!$C$13="All",A151=Dashboard!$C$13),OR(Dashboard!$C$15="All",C151=Dashboard!$C$15),OR(Dashboard!$C$16="All",K151=Dashboard!$C$16),OR(Dashboard!$C$17="All",J151=Dashboard!$C$17)),1,0)</f>
        <v>1</v>
      </c>
      <c r="P151" s="24">
        <f>IF(AND(L151=1,OR(Dashboard!$C$13="All",A151=Dashboard!$C$13),OR(Dashboard!$C$14="All",B151=Dashboard!$C$14),OR(Dashboard!$C$15="All",C151=Dashboard!$C$15),OR(Dashboard!$C$17="All",J151=Dashboard!$C$17)),1,0)</f>
        <v>1</v>
      </c>
      <c r="Q151" s="24">
        <f>IF(AND(L151=1,OR(Dashboard!$C$14="All",B151=Dashboard!$C$14),OR(Dashboard!$C$15="All",C151=Dashboard!$C$15),OR(Dashboard!$C$16="All",K151=Dashboard!$C$16),OR(Dashboard!$C$17="All",J151=Dashboard!$C$17)),1,0)</f>
        <v>1</v>
      </c>
      <c r="R151" s="24">
        <f>IF(AND(L151=1,OR(Dashboard!$C$13="All",A151=Dashboard!$C$13),OR(Dashboard!$C$14="All",B151=Dashboard!$C$14),OR(Dashboard!$C$15="All",C151=Dashboard!$C$15),OR(Dashboard!$C$16="All",K151=Dashboard!$C$16)),1,0)</f>
        <v>1</v>
      </c>
      <c r="S151" s="24">
        <f t="shared" si="3"/>
        <v>150</v>
      </c>
      <c r="T151" s="24" t="s">
        <v>431</v>
      </c>
      <c r="V151" s="24" t="s">
        <v>432</v>
      </c>
    </row>
    <row r="152" ht="15.75" customHeight="1">
      <c r="A152" s="3" t="s">
        <v>233</v>
      </c>
      <c r="B152" s="4"/>
      <c r="C152" s="3" t="s">
        <v>345</v>
      </c>
      <c r="D152" s="4">
        <v>2000.0</v>
      </c>
      <c r="E152" s="17">
        <v>8.0</v>
      </c>
      <c r="F152" s="5">
        <f t="shared" si="1"/>
        <v>16000</v>
      </c>
      <c r="G152" s="6">
        <v>46294.0</v>
      </c>
      <c r="H152" s="22">
        <v>19.0</v>
      </c>
      <c r="I152" s="7">
        <f t="shared" si="2"/>
        <v>46427</v>
      </c>
      <c r="J152" s="4" t="s">
        <v>25</v>
      </c>
      <c r="K152" s="4" t="s">
        <v>31</v>
      </c>
      <c r="L152" s="24">
        <f>IF(A152="","",IF(OR(G152="",AND(G152&gt;=Dashboard!$C$18,G152&lt;=Dashboard!$C$19)),1,0))</f>
        <v>1</v>
      </c>
      <c r="M152" s="24">
        <f>IF(AND(L152=1,OR(Dashboard!$C$13="All",A152=Dashboard!$C$13),OR(Dashboard!$C$14="All",B152=Dashboard!$C$14),OR(Dashboard!$C$15="All",C152=Dashboard!$C$15),OR(Dashboard!$C$16="All",K152=Dashboard!$C$16),OR(Dashboard!$C$17="All",J152=Dashboard!$C$17)),1,0)</f>
        <v>1</v>
      </c>
      <c r="N152" s="24">
        <f>IF(AND(L152=1,OR(Dashboard!$C$13="All",A152=Dashboard!$C$13),OR(Dashboard!$C$14="All",B152=Dashboard!$C$14),OR(Dashboard!$C$16="All",K152=Dashboard!$C$16),OR(Dashboard!$C$17="All",J152=Dashboard!$C$17)),1,0)</f>
        <v>1</v>
      </c>
      <c r="O152" s="24">
        <f>IF(AND(L152=1,OR(Dashboard!$C$13="All",A152=Dashboard!$C$13),OR(Dashboard!$C$15="All",C152=Dashboard!$C$15),OR(Dashboard!$C$16="All",K152=Dashboard!$C$16),OR(Dashboard!$C$17="All",J152=Dashboard!$C$17)),1,0)</f>
        <v>1</v>
      </c>
      <c r="P152" s="24">
        <f>IF(AND(L152=1,OR(Dashboard!$C$13="All",A152=Dashboard!$C$13),OR(Dashboard!$C$14="All",B152=Dashboard!$C$14),OR(Dashboard!$C$15="All",C152=Dashboard!$C$15),OR(Dashboard!$C$17="All",J152=Dashboard!$C$17)),1,0)</f>
        <v>1</v>
      </c>
      <c r="Q152" s="24">
        <f>IF(AND(L152=1,OR(Dashboard!$C$14="All",B152=Dashboard!$C$14),OR(Dashboard!$C$15="All",C152=Dashboard!$C$15),OR(Dashboard!$C$16="All",K152=Dashboard!$C$16),OR(Dashboard!$C$17="All",J152=Dashboard!$C$17)),1,0)</f>
        <v>1</v>
      </c>
      <c r="R152" s="24">
        <f>IF(AND(L152=1,OR(Dashboard!$C$13="All",A152=Dashboard!$C$13),OR(Dashboard!$C$14="All",B152=Dashboard!$C$14),OR(Dashboard!$C$15="All",C152=Dashboard!$C$15),OR(Dashboard!$C$16="All",K152=Dashboard!$C$16)),1,0)</f>
        <v>1</v>
      </c>
      <c r="S152" s="24">
        <f t="shared" si="3"/>
        <v>151</v>
      </c>
      <c r="T152" s="24" t="s">
        <v>433</v>
      </c>
      <c r="V152" s="24" t="s">
        <v>104</v>
      </c>
    </row>
    <row r="153" ht="15.75" customHeight="1">
      <c r="A153" s="10" t="s">
        <v>233</v>
      </c>
      <c r="B153" s="13"/>
      <c r="C153" s="10" t="s">
        <v>434</v>
      </c>
      <c r="D153" s="13">
        <v>1.0</v>
      </c>
      <c r="E153" s="14">
        <v>5.0</v>
      </c>
      <c r="F153" s="15">
        <f t="shared" si="1"/>
        <v>5</v>
      </c>
      <c r="G153" s="6">
        <v>46295.0</v>
      </c>
      <c r="H153" s="22">
        <v>5.0</v>
      </c>
      <c r="I153" s="16">
        <f t="shared" si="2"/>
        <v>46330</v>
      </c>
      <c r="J153" s="13" t="s">
        <v>25</v>
      </c>
      <c r="K153" s="13" t="s">
        <v>31</v>
      </c>
      <c r="L153" s="24">
        <f>IF(A153="","",IF(OR(G153="",AND(G153&gt;=Dashboard!$C$18,G153&lt;=Dashboard!$C$19)),1,0))</f>
        <v>1</v>
      </c>
      <c r="M153" s="24">
        <f>IF(AND(L153=1,OR(Dashboard!$C$13="All",A153=Dashboard!$C$13),OR(Dashboard!$C$14="All",B153=Dashboard!$C$14),OR(Dashboard!$C$15="All",C153=Dashboard!$C$15),OR(Dashboard!$C$16="All",K153=Dashboard!$C$16),OR(Dashboard!$C$17="All",J153=Dashboard!$C$17)),1,0)</f>
        <v>1</v>
      </c>
      <c r="N153" s="24">
        <f>IF(AND(L153=1,OR(Dashboard!$C$13="All",A153=Dashboard!$C$13),OR(Dashboard!$C$14="All",B153=Dashboard!$C$14),OR(Dashboard!$C$16="All",K153=Dashboard!$C$16),OR(Dashboard!$C$17="All",J153=Dashboard!$C$17)),1,0)</f>
        <v>1</v>
      </c>
      <c r="O153" s="24">
        <f>IF(AND(L153=1,OR(Dashboard!$C$13="All",A153=Dashboard!$C$13),OR(Dashboard!$C$15="All",C153=Dashboard!$C$15),OR(Dashboard!$C$16="All",K153=Dashboard!$C$16),OR(Dashboard!$C$17="All",J153=Dashboard!$C$17)),1,0)</f>
        <v>1</v>
      </c>
      <c r="P153" s="24">
        <f>IF(AND(L153=1,OR(Dashboard!$C$13="All",A153=Dashboard!$C$13),OR(Dashboard!$C$14="All",B153=Dashboard!$C$14),OR(Dashboard!$C$15="All",C153=Dashboard!$C$15),OR(Dashboard!$C$17="All",J153=Dashboard!$C$17)),1,0)</f>
        <v>1</v>
      </c>
      <c r="Q153" s="24">
        <f>IF(AND(L153=1,OR(Dashboard!$C$14="All",B153=Dashboard!$C$14),OR(Dashboard!$C$15="All",C153=Dashboard!$C$15),OR(Dashboard!$C$16="All",K153=Dashboard!$C$16),OR(Dashboard!$C$17="All",J153=Dashboard!$C$17)),1,0)</f>
        <v>1</v>
      </c>
      <c r="R153" s="24">
        <f>IF(AND(L153=1,OR(Dashboard!$C$13="All",A153=Dashboard!$C$13),OR(Dashboard!$C$14="All",B153=Dashboard!$C$14),OR(Dashboard!$C$15="All",C153=Dashboard!$C$15),OR(Dashboard!$C$16="All",K153=Dashboard!$C$16)),1,0)</f>
        <v>1</v>
      </c>
      <c r="S153" s="24">
        <f t="shared" si="3"/>
        <v>152</v>
      </c>
      <c r="T153" s="24" t="s">
        <v>435</v>
      </c>
      <c r="V153" s="24" t="s">
        <v>294</v>
      </c>
    </row>
    <row r="154" ht="15.75" customHeight="1">
      <c r="A154" s="3" t="s">
        <v>236</v>
      </c>
      <c r="B154" s="4"/>
      <c r="C154" s="3" t="s">
        <v>436</v>
      </c>
      <c r="D154" s="4">
        <v>70.0</v>
      </c>
      <c r="E154" s="17">
        <v>4.0</v>
      </c>
      <c r="F154" s="5">
        <f t="shared" si="1"/>
        <v>280</v>
      </c>
      <c r="G154" s="6">
        <v>46296.0</v>
      </c>
      <c r="H154" s="22">
        <v>4.0</v>
      </c>
      <c r="I154" s="7">
        <f t="shared" si="2"/>
        <v>46324</v>
      </c>
      <c r="J154" s="4" t="s">
        <v>25</v>
      </c>
      <c r="K154" s="4" t="s">
        <v>31</v>
      </c>
      <c r="L154" s="24">
        <f>IF(A154="","",IF(OR(G154="",AND(G154&gt;=Dashboard!$C$18,G154&lt;=Dashboard!$C$19)),1,0))</f>
        <v>1</v>
      </c>
      <c r="M154" s="24">
        <f>IF(AND(L154=1,OR(Dashboard!$C$13="All",A154=Dashboard!$C$13),OR(Dashboard!$C$14="All",B154=Dashboard!$C$14),OR(Dashboard!$C$15="All",C154=Dashboard!$C$15),OR(Dashboard!$C$16="All",K154=Dashboard!$C$16),OR(Dashboard!$C$17="All",J154=Dashboard!$C$17)),1,0)</f>
        <v>1</v>
      </c>
      <c r="N154" s="24">
        <f>IF(AND(L154=1,OR(Dashboard!$C$13="All",A154=Dashboard!$C$13),OR(Dashboard!$C$14="All",B154=Dashboard!$C$14),OR(Dashboard!$C$16="All",K154=Dashboard!$C$16),OR(Dashboard!$C$17="All",J154=Dashboard!$C$17)),1,0)</f>
        <v>1</v>
      </c>
      <c r="O154" s="24">
        <f>IF(AND(L154=1,OR(Dashboard!$C$13="All",A154=Dashboard!$C$13),OR(Dashboard!$C$15="All",C154=Dashboard!$C$15),OR(Dashboard!$C$16="All",K154=Dashboard!$C$16),OR(Dashboard!$C$17="All",J154=Dashboard!$C$17)),1,0)</f>
        <v>1</v>
      </c>
      <c r="P154" s="24">
        <f>IF(AND(L154=1,OR(Dashboard!$C$13="All",A154=Dashboard!$C$13),OR(Dashboard!$C$14="All",B154=Dashboard!$C$14),OR(Dashboard!$C$15="All",C154=Dashboard!$C$15),OR(Dashboard!$C$17="All",J154=Dashboard!$C$17)),1,0)</f>
        <v>1</v>
      </c>
      <c r="Q154" s="24">
        <f>IF(AND(L154=1,OR(Dashboard!$C$14="All",B154=Dashboard!$C$14),OR(Dashboard!$C$15="All",C154=Dashboard!$C$15),OR(Dashboard!$C$16="All",K154=Dashboard!$C$16),OR(Dashboard!$C$17="All",J154=Dashboard!$C$17)),1,0)</f>
        <v>1</v>
      </c>
      <c r="R154" s="24">
        <f>IF(AND(L154=1,OR(Dashboard!$C$13="All",A154=Dashboard!$C$13),OR(Dashboard!$C$14="All",B154=Dashboard!$C$14),OR(Dashboard!$C$15="All",C154=Dashboard!$C$15),OR(Dashboard!$C$16="All",K154=Dashboard!$C$16)),1,0)</f>
        <v>1</v>
      </c>
      <c r="S154" s="24">
        <f t="shared" si="3"/>
        <v>153</v>
      </c>
      <c r="T154" s="24" t="s">
        <v>437</v>
      </c>
      <c r="V154" s="24" t="s">
        <v>438</v>
      </c>
    </row>
    <row r="155" ht="15.75" customHeight="1">
      <c r="A155" s="10" t="s">
        <v>83</v>
      </c>
      <c r="B155" s="13"/>
      <c r="C155" s="10" t="s">
        <v>42</v>
      </c>
      <c r="D155" s="13">
        <v>6000.0</v>
      </c>
      <c r="E155" s="14">
        <v>2.0</v>
      </c>
      <c r="F155" s="15">
        <f t="shared" si="1"/>
        <v>12000</v>
      </c>
      <c r="G155" s="6">
        <v>46297.0</v>
      </c>
      <c r="H155" s="22">
        <v>6.0</v>
      </c>
      <c r="I155" s="16">
        <f t="shared" si="2"/>
        <v>46339</v>
      </c>
      <c r="J155" s="13" t="s">
        <v>25</v>
      </c>
      <c r="K155" s="13" t="s">
        <v>31</v>
      </c>
      <c r="L155" s="24">
        <f>IF(A155="","",IF(OR(G155="",AND(G155&gt;=Dashboard!$C$18,G155&lt;=Dashboard!$C$19)),1,0))</f>
        <v>1</v>
      </c>
      <c r="M155" s="24">
        <f>IF(AND(L155=1,OR(Dashboard!$C$13="All",A155=Dashboard!$C$13),OR(Dashboard!$C$14="All",B155=Dashboard!$C$14),OR(Dashboard!$C$15="All",C155=Dashboard!$C$15),OR(Dashboard!$C$16="All",K155=Dashboard!$C$16),OR(Dashboard!$C$17="All",J155=Dashboard!$C$17)),1,0)</f>
        <v>1</v>
      </c>
      <c r="N155" s="24">
        <f>IF(AND(L155=1,OR(Dashboard!$C$13="All",A155=Dashboard!$C$13),OR(Dashboard!$C$14="All",B155=Dashboard!$C$14),OR(Dashboard!$C$16="All",K155=Dashboard!$C$16),OR(Dashboard!$C$17="All",J155=Dashboard!$C$17)),1,0)</f>
        <v>1</v>
      </c>
      <c r="O155" s="24">
        <f>IF(AND(L155=1,OR(Dashboard!$C$13="All",A155=Dashboard!$C$13),OR(Dashboard!$C$15="All",C155=Dashboard!$C$15),OR(Dashboard!$C$16="All",K155=Dashboard!$C$16),OR(Dashboard!$C$17="All",J155=Dashboard!$C$17)),1,0)</f>
        <v>1</v>
      </c>
      <c r="P155" s="24">
        <f>IF(AND(L155=1,OR(Dashboard!$C$13="All",A155=Dashboard!$C$13),OR(Dashboard!$C$14="All",B155=Dashboard!$C$14),OR(Dashboard!$C$15="All",C155=Dashboard!$C$15),OR(Dashboard!$C$17="All",J155=Dashboard!$C$17)),1,0)</f>
        <v>1</v>
      </c>
      <c r="Q155" s="24">
        <f>IF(AND(L155=1,OR(Dashboard!$C$14="All",B155=Dashboard!$C$14),OR(Dashboard!$C$15="All",C155=Dashboard!$C$15),OR(Dashboard!$C$16="All",K155=Dashboard!$C$16),OR(Dashboard!$C$17="All",J155=Dashboard!$C$17)),1,0)</f>
        <v>1</v>
      </c>
      <c r="R155" s="24">
        <f>IF(AND(L155=1,OR(Dashboard!$C$13="All",A155=Dashboard!$C$13),OR(Dashboard!$C$14="All",B155=Dashboard!$C$14),OR(Dashboard!$C$15="All",C155=Dashboard!$C$15),OR(Dashboard!$C$16="All",K155=Dashboard!$C$16)),1,0)</f>
        <v>1</v>
      </c>
      <c r="S155" s="24">
        <f t="shared" si="3"/>
        <v>154</v>
      </c>
      <c r="T155" s="24" t="s">
        <v>439</v>
      </c>
      <c r="V155" s="24" t="s">
        <v>440</v>
      </c>
    </row>
    <row r="156" ht="15.75" customHeight="1">
      <c r="A156" s="3" t="s">
        <v>83</v>
      </c>
      <c r="B156" s="4"/>
      <c r="C156" s="3" t="s">
        <v>441</v>
      </c>
      <c r="D156" s="4">
        <v>6000.0</v>
      </c>
      <c r="E156" s="17">
        <v>36.0</v>
      </c>
      <c r="F156" s="5">
        <f t="shared" si="1"/>
        <v>216000</v>
      </c>
      <c r="G156" s="6">
        <v>46298.0</v>
      </c>
      <c r="H156" s="22">
        <v>5.0</v>
      </c>
      <c r="I156" s="7">
        <f t="shared" si="2"/>
        <v>46333</v>
      </c>
      <c r="J156" s="4" t="s">
        <v>25</v>
      </c>
      <c r="K156" s="4" t="s">
        <v>31</v>
      </c>
      <c r="L156" s="24">
        <f>IF(A156="","",IF(OR(G156="",AND(G156&gt;=Dashboard!$C$18,G156&lt;=Dashboard!$C$19)),1,0))</f>
        <v>1</v>
      </c>
      <c r="M156" s="24">
        <f>IF(AND(L156=1,OR(Dashboard!$C$13="All",A156=Dashboard!$C$13),OR(Dashboard!$C$14="All",B156=Dashboard!$C$14),OR(Dashboard!$C$15="All",C156=Dashboard!$C$15),OR(Dashboard!$C$16="All",K156=Dashboard!$C$16),OR(Dashboard!$C$17="All",J156=Dashboard!$C$17)),1,0)</f>
        <v>1</v>
      </c>
      <c r="N156" s="24">
        <f>IF(AND(L156=1,OR(Dashboard!$C$13="All",A156=Dashboard!$C$13),OR(Dashboard!$C$14="All",B156=Dashboard!$C$14),OR(Dashboard!$C$16="All",K156=Dashboard!$C$16),OR(Dashboard!$C$17="All",J156=Dashboard!$C$17)),1,0)</f>
        <v>1</v>
      </c>
      <c r="O156" s="24">
        <f>IF(AND(L156=1,OR(Dashboard!$C$13="All",A156=Dashboard!$C$13),OR(Dashboard!$C$15="All",C156=Dashboard!$C$15),OR(Dashboard!$C$16="All",K156=Dashboard!$C$16),OR(Dashboard!$C$17="All",J156=Dashboard!$C$17)),1,0)</f>
        <v>1</v>
      </c>
      <c r="P156" s="24">
        <f>IF(AND(L156=1,OR(Dashboard!$C$13="All",A156=Dashboard!$C$13),OR(Dashboard!$C$14="All",B156=Dashboard!$C$14),OR(Dashboard!$C$15="All",C156=Dashboard!$C$15),OR(Dashboard!$C$17="All",J156=Dashboard!$C$17)),1,0)</f>
        <v>1</v>
      </c>
      <c r="Q156" s="24">
        <f>IF(AND(L156=1,OR(Dashboard!$C$14="All",B156=Dashboard!$C$14),OR(Dashboard!$C$15="All",C156=Dashboard!$C$15),OR(Dashboard!$C$16="All",K156=Dashboard!$C$16),OR(Dashboard!$C$17="All",J156=Dashboard!$C$17)),1,0)</f>
        <v>1</v>
      </c>
      <c r="R156" s="24">
        <f>IF(AND(L156=1,OR(Dashboard!$C$13="All",A156=Dashboard!$C$13),OR(Dashboard!$C$14="All",B156=Dashboard!$C$14),OR(Dashboard!$C$15="All",C156=Dashboard!$C$15),OR(Dashboard!$C$16="All",K156=Dashboard!$C$16)),1,0)</f>
        <v>1</v>
      </c>
      <c r="S156" s="24">
        <f t="shared" si="3"/>
        <v>155</v>
      </c>
      <c r="T156" s="24" t="s">
        <v>442</v>
      </c>
      <c r="V156" s="24" t="s">
        <v>443</v>
      </c>
    </row>
    <row r="157" ht="15.75" customHeight="1">
      <c r="A157" s="10" t="s">
        <v>238</v>
      </c>
      <c r="B157" s="13"/>
      <c r="C157" s="10" t="s">
        <v>349</v>
      </c>
      <c r="D157" s="13">
        <v>20000.0</v>
      </c>
      <c r="E157" s="5">
        <v>2.0</v>
      </c>
      <c r="F157" s="15">
        <f t="shared" si="1"/>
        <v>40000</v>
      </c>
      <c r="G157" s="6">
        <v>46299.0</v>
      </c>
      <c r="H157" s="22">
        <v>2.0</v>
      </c>
      <c r="I157" s="16">
        <f t="shared" si="2"/>
        <v>46313</v>
      </c>
      <c r="J157" s="13" t="s">
        <v>25</v>
      </c>
      <c r="K157" s="13" t="s">
        <v>31</v>
      </c>
      <c r="L157" s="24">
        <f>IF(A157="","",IF(OR(G157="",AND(G157&gt;=Dashboard!$C$18,G157&lt;=Dashboard!$C$19)),1,0))</f>
        <v>1</v>
      </c>
      <c r="M157" s="24">
        <f>IF(AND(L157=1,OR(Dashboard!$C$13="All",A157=Dashboard!$C$13),OR(Dashboard!$C$14="All",B157=Dashboard!$C$14),OR(Dashboard!$C$15="All",C157=Dashboard!$C$15),OR(Dashboard!$C$16="All",K157=Dashboard!$C$16),OR(Dashboard!$C$17="All",J157=Dashboard!$C$17)),1,0)</f>
        <v>1</v>
      </c>
      <c r="N157" s="24">
        <f>IF(AND(L157=1,OR(Dashboard!$C$13="All",A157=Dashboard!$C$13),OR(Dashboard!$C$14="All",B157=Dashboard!$C$14),OR(Dashboard!$C$16="All",K157=Dashboard!$C$16),OR(Dashboard!$C$17="All",J157=Dashboard!$C$17)),1,0)</f>
        <v>1</v>
      </c>
      <c r="O157" s="24">
        <f>IF(AND(L157=1,OR(Dashboard!$C$13="All",A157=Dashboard!$C$13),OR(Dashboard!$C$15="All",C157=Dashboard!$C$15),OR(Dashboard!$C$16="All",K157=Dashboard!$C$16),OR(Dashboard!$C$17="All",J157=Dashboard!$C$17)),1,0)</f>
        <v>1</v>
      </c>
      <c r="P157" s="24">
        <f>IF(AND(L157=1,OR(Dashboard!$C$13="All",A157=Dashboard!$C$13),OR(Dashboard!$C$14="All",B157=Dashboard!$C$14),OR(Dashboard!$C$15="All",C157=Dashboard!$C$15),OR(Dashboard!$C$17="All",J157=Dashboard!$C$17)),1,0)</f>
        <v>1</v>
      </c>
      <c r="Q157" s="24">
        <f>IF(AND(L157=1,OR(Dashboard!$C$14="All",B157=Dashboard!$C$14),OR(Dashboard!$C$15="All",C157=Dashboard!$C$15),OR(Dashboard!$C$16="All",K157=Dashboard!$C$16),OR(Dashboard!$C$17="All",J157=Dashboard!$C$17)),1,0)</f>
        <v>1</v>
      </c>
      <c r="R157" s="24">
        <f>IF(AND(L157=1,OR(Dashboard!$C$13="All",A157=Dashboard!$C$13),OR(Dashboard!$C$14="All",B157=Dashboard!$C$14),OR(Dashboard!$C$15="All",C157=Dashboard!$C$15),OR(Dashboard!$C$16="All",K157=Dashboard!$C$16)),1,0)</f>
        <v>1</v>
      </c>
      <c r="S157" s="24">
        <f t="shared" si="3"/>
        <v>156</v>
      </c>
      <c r="T157" s="24" t="s">
        <v>444</v>
      </c>
      <c r="V157" s="24" t="s">
        <v>445</v>
      </c>
    </row>
    <row r="158" ht="15.75" customHeight="1">
      <c r="A158" s="3" t="s">
        <v>238</v>
      </c>
      <c r="B158" s="4"/>
      <c r="C158" s="3" t="s">
        <v>446</v>
      </c>
      <c r="D158" s="4">
        <v>7000.0</v>
      </c>
      <c r="E158" s="14">
        <v>5.0</v>
      </c>
      <c r="F158" s="5">
        <f t="shared" si="1"/>
        <v>35000</v>
      </c>
      <c r="G158" s="6">
        <v>46300.0</v>
      </c>
      <c r="H158" s="22">
        <v>5.0</v>
      </c>
      <c r="I158" s="7">
        <f t="shared" si="2"/>
        <v>46335</v>
      </c>
      <c r="J158" s="4" t="s">
        <v>25</v>
      </c>
      <c r="K158" s="4" t="s">
        <v>31</v>
      </c>
      <c r="L158" s="24">
        <f>IF(A158="","",IF(OR(G158="",AND(G158&gt;=Dashboard!$C$18,G158&lt;=Dashboard!$C$19)),1,0))</f>
        <v>1</v>
      </c>
      <c r="M158" s="24">
        <f>IF(AND(L158=1,OR(Dashboard!$C$13="All",A158=Dashboard!$C$13),OR(Dashboard!$C$14="All",B158=Dashboard!$C$14),OR(Dashboard!$C$15="All",C158=Dashboard!$C$15),OR(Dashboard!$C$16="All",K158=Dashboard!$C$16),OR(Dashboard!$C$17="All",J158=Dashboard!$C$17)),1,0)</f>
        <v>1</v>
      </c>
      <c r="N158" s="24">
        <f>IF(AND(L158=1,OR(Dashboard!$C$13="All",A158=Dashboard!$C$13),OR(Dashboard!$C$14="All",B158=Dashboard!$C$14),OR(Dashboard!$C$16="All",K158=Dashboard!$C$16),OR(Dashboard!$C$17="All",J158=Dashboard!$C$17)),1,0)</f>
        <v>1</v>
      </c>
      <c r="O158" s="24">
        <f>IF(AND(L158=1,OR(Dashboard!$C$13="All",A158=Dashboard!$C$13),OR(Dashboard!$C$15="All",C158=Dashboard!$C$15),OR(Dashboard!$C$16="All",K158=Dashboard!$C$16),OR(Dashboard!$C$17="All",J158=Dashboard!$C$17)),1,0)</f>
        <v>1</v>
      </c>
      <c r="P158" s="24">
        <f>IF(AND(L158=1,OR(Dashboard!$C$13="All",A158=Dashboard!$C$13),OR(Dashboard!$C$14="All",B158=Dashboard!$C$14),OR(Dashboard!$C$15="All",C158=Dashboard!$C$15),OR(Dashboard!$C$17="All",J158=Dashboard!$C$17)),1,0)</f>
        <v>1</v>
      </c>
      <c r="Q158" s="24">
        <f>IF(AND(L158=1,OR(Dashboard!$C$14="All",B158=Dashboard!$C$14),OR(Dashboard!$C$15="All",C158=Dashboard!$C$15),OR(Dashboard!$C$16="All",K158=Dashboard!$C$16),OR(Dashboard!$C$17="All",J158=Dashboard!$C$17)),1,0)</f>
        <v>1</v>
      </c>
      <c r="R158" s="24">
        <f>IF(AND(L158=1,OR(Dashboard!$C$13="All",A158=Dashboard!$C$13),OR(Dashboard!$C$14="All",B158=Dashboard!$C$14),OR(Dashboard!$C$15="All",C158=Dashboard!$C$15),OR(Dashboard!$C$16="All",K158=Dashboard!$C$16)),1,0)</f>
        <v>1</v>
      </c>
      <c r="S158" s="24">
        <f t="shared" si="3"/>
        <v>157</v>
      </c>
      <c r="T158" s="24" t="s">
        <v>447</v>
      </c>
      <c r="V158" s="24" t="s">
        <v>448</v>
      </c>
    </row>
    <row r="159" ht="15.75" customHeight="1">
      <c r="A159" s="10" t="s">
        <v>238</v>
      </c>
      <c r="B159" s="13"/>
      <c r="C159" s="10" t="s">
        <v>82</v>
      </c>
      <c r="D159" s="13">
        <v>3.0</v>
      </c>
      <c r="E159" s="17">
        <v>6.0</v>
      </c>
      <c r="F159" s="15">
        <f t="shared" si="1"/>
        <v>18</v>
      </c>
      <c r="G159" s="6">
        <v>46301.0</v>
      </c>
      <c r="H159" s="22">
        <v>2.0</v>
      </c>
      <c r="I159" s="16">
        <f t="shared" si="2"/>
        <v>46315</v>
      </c>
      <c r="J159" s="13" t="s">
        <v>25</v>
      </c>
      <c r="K159" s="13" t="s">
        <v>31</v>
      </c>
      <c r="L159" s="24">
        <f>IF(A159="","",IF(OR(G159="",AND(G159&gt;=Dashboard!$C$18,G159&lt;=Dashboard!$C$19)),1,0))</f>
        <v>1</v>
      </c>
      <c r="M159" s="24">
        <f>IF(AND(L159=1,OR(Dashboard!$C$13="All",A159=Dashboard!$C$13),OR(Dashboard!$C$14="All",B159=Dashboard!$C$14),OR(Dashboard!$C$15="All",C159=Dashboard!$C$15),OR(Dashboard!$C$16="All",K159=Dashboard!$C$16),OR(Dashboard!$C$17="All",J159=Dashboard!$C$17)),1,0)</f>
        <v>1</v>
      </c>
      <c r="N159" s="24">
        <f>IF(AND(L159=1,OR(Dashboard!$C$13="All",A159=Dashboard!$C$13),OR(Dashboard!$C$14="All",B159=Dashboard!$C$14),OR(Dashboard!$C$16="All",K159=Dashboard!$C$16),OR(Dashboard!$C$17="All",J159=Dashboard!$C$17)),1,0)</f>
        <v>1</v>
      </c>
      <c r="O159" s="24">
        <f>IF(AND(L159=1,OR(Dashboard!$C$13="All",A159=Dashboard!$C$13),OR(Dashboard!$C$15="All",C159=Dashboard!$C$15),OR(Dashboard!$C$16="All",K159=Dashboard!$C$16),OR(Dashboard!$C$17="All",J159=Dashboard!$C$17)),1,0)</f>
        <v>1</v>
      </c>
      <c r="P159" s="24">
        <f>IF(AND(L159=1,OR(Dashboard!$C$13="All",A159=Dashboard!$C$13),OR(Dashboard!$C$14="All",B159=Dashboard!$C$14),OR(Dashboard!$C$15="All",C159=Dashboard!$C$15),OR(Dashboard!$C$17="All",J159=Dashboard!$C$17)),1,0)</f>
        <v>1</v>
      </c>
      <c r="Q159" s="24">
        <f>IF(AND(L159=1,OR(Dashboard!$C$14="All",B159=Dashboard!$C$14),OR(Dashboard!$C$15="All",C159=Dashboard!$C$15),OR(Dashboard!$C$16="All",K159=Dashboard!$C$16),OR(Dashboard!$C$17="All",J159=Dashboard!$C$17)),1,0)</f>
        <v>1</v>
      </c>
      <c r="R159" s="24">
        <f>IF(AND(L159=1,OR(Dashboard!$C$13="All",A159=Dashboard!$C$13),OR(Dashboard!$C$14="All",B159=Dashboard!$C$14),OR(Dashboard!$C$15="All",C159=Dashboard!$C$15),OR(Dashboard!$C$16="All",K159=Dashboard!$C$16)),1,0)</f>
        <v>1</v>
      </c>
      <c r="S159" s="24">
        <f t="shared" si="3"/>
        <v>158</v>
      </c>
      <c r="T159" s="24" t="s">
        <v>449</v>
      </c>
      <c r="V159" s="24" t="s">
        <v>450</v>
      </c>
    </row>
    <row r="160" ht="15.75" customHeight="1">
      <c r="A160" s="3" t="s">
        <v>240</v>
      </c>
      <c r="B160" s="4"/>
      <c r="C160" s="3" t="s">
        <v>404</v>
      </c>
      <c r="D160" s="4">
        <v>3.0</v>
      </c>
      <c r="E160" s="14">
        <v>7.0</v>
      </c>
      <c r="F160" s="5">
        <f t="shared" si="1"/>
        <v>21</v>
      </c>
      <c r="G160" s="6">
        <v>46302.0</v>
      </c>
      <c r="H160" s="22">
        <v>4.0</v>
      </c>
      <c r="I160" s="7">
        <f t="shared" si="2"/>
        <v>46330</v>
      </c>
      <c r="J160" s="4" t="s">
        <v>25</v>
      </c>
      <c r="K160" s="4" t="s">
        <v>31</v>
      </c>
      <c r="L160" s="24">
        <f>IF(A160="","",IF(OR(G160="",AND(G160&gt;=Dashboard!$C$18,G160&lt;=Dashboard!$C$19)),1,0))</f>
        <v>1</v>
      </c>
      <c r="M160" s="24">
        <f>IF(AND(L160=1,OR(Dashboard!$C$13="All",A160=Dashboard!$C$13),OR(Dashboard!$C$14="All",B160=Dashboard!$C$14),OR(Dashboard!$C$15="All",C160=Dashboard!$C$15),OR(Dashboard!$C$16="All",K160=Dashboard!$C$16),OR(Dashboard!$C$17="All",J160=Dashboard!$C$17)),1,0)</f>
        <v>1</v>
      </c>
      <c r="N160" s="24">
        <f>IF(AND(L160=1,OR(Dashboard!$C$13="All",A160=Dashboard!$C$13),OR(Dashboard!$C$14="All",B160=Dashboard!$C$14),OR(Dashboard!$C$16="All",K160=Dashboard!$C$16),OR(Dashboard!$C$17="All",J160=Dashboard!$C$17)),1,0)</f>
        <v>1</v>
      </c>
      <c r="O160" s="24">
        <f>IF(AND(L160=1,OR(Dashboard!$C$13="All",A160=Dashboard!$C$13),OR(Dashboard!$C$15="All",C160=Dashboard!$C$15),OR(Dashboard!$C$16="All",K160=Dashboard!$C$16),OR(Dashboard!$C$17="All",J160=Dashboard!$C$17)),1,0)</f>
        <v>1</v>
      </c>
      <c r="P160" s="24">
        <f>IF(AND(L160=1,OR(Dashboard!$C$13="All",A160=Dashboard!$C$13),OR(Dashboard!$C$14="All",B160=Dashboard!$C$14),OR(Dashboard!$C$15="All",C160=Dashboard!$C$15),OR(Dashboard!$C$17="All",J160=Dashboard!$C$17)),1,0)</f>
        <v>1</v>
      </c>
      <c r="Q160" s="24">
        <f>IF(AND(L160=1,OR(Dashboard!$C$14="All",B160=Dashboard!$C$14),OR(Dashboard!$C$15="All",C160=Dashboard!$C$15),OR(Dashboard!$C$16="All",K160=Dashboard!$C$16),OR(Dashboard!$C$17="All",J160=Dashboard!$C$17)),1,0)</f>
        <v>1</v>
      </c>
      <c r="R160" s="24">
        <f>IF(AND(L160=1,OR(Dashboard!$C$13="All",A160=Dashboard!$C$13),OR(Dashboard!$C$14="All",B160=Dashboard!$C$14),OR(Dashboard!$C$15="All",C160=Dashboard!$C$15),OR(Dashboard!$C$16="All",K160=Dashboard!$C$16)),1,0)</f>
        <v>1</v>
      </c>
      <c r="S160" s="24">
        <f t="shared" si="3"/>
        <v>159</v>
      </c>
      <c r="T160" s="24" t="s">
        <v>451</v>
      </c>
      <c r="V160" s="24" t="s">
        <v>452</v>
      </c>
    </row>
    <row r="161" ht="15.75" customHeight="1">
      <c r="A161" s="10" t="s">
        <v>243</v>
      </c>
      <c r="B161" s="13"/>
      <c r="C161" s="10" t="s">
        <v>307</v>
      </c>
      <c r="D161" s="13">
        <v>1000.0</v>
      </c>
      <c r="E161" s="17">
        <v>8.0</v>
      </c>
      <c r="F161" s="15">
        <f t="shared" si="1"/>
        <v>8000</v>
      </c>
      <c r="G161" s="6">
        <v>46303.0</v>
      </c>
      <c r="H161" s="22">
        <v>3.0</v>
      </c>
      <c r="I161" s="16">
        <f t="shared" si="2"/>
        <v>46324</v>
      </c>
      <c r="J161" s="13" t="s">
        <v>25</v>
      </c>
      <c r="K161" s="13" t="s">
        <v>31</v>
      </c>
      <c r="L161" s="24">
        <f>IF(A161="","",IF(OR(G161="",AND(G161&gt;=Dashboard!$C$18,G161&lt;=Dashboard!$C$19)),1,0))</f>
        <v>1</v>
      </c>
      <c r="M161" s="24">
        <f>IF(AND(L161=1,OR(Dashboard!$C$13="All",A161=Dashboard!$C$13),OR(Dashboard!$C$14="All",B161=Dashboard!$C$14),OR(Dashboard!$C$15="All",C161=Dashboard!$C$15),OR(Dashboard!$C$16="All",K161=Dashboard!$C$16),OR(Dashboard!$C$17="All",J161=Dashboard!$C$17)),1,0)</f>
        <v>1</v>
      </c>
      <c r="N161" s="24">
        <f>IF(AND(L161=1,OR(Dashboard!$C$13="All",A161=Dashboard!$C$13),OR(Dashboard!$C$14="All",B161=Dashboard!$C$14),OR(Dashboard!$C$16="All",K161=Dashboard!$C$16),OR(Dashboard!$C$17="All",J161=Dashboard!$C$17)),1,0)</f>
        <v>1</v>
      </c>
      <c r="O161" s="24">
        <f>IF(AND(L161=1,OR(Dashboard!$C$13="All",A161=Dashboard!$C$13),OR(Dashboard!$C$15="All",C161=Dashboard!$C$15),OR(Dashboard!$C$16="All",K161=Dashboard!$C$16),OR(Dashboard!$C$17="All",J161=Dashboard!$C$17)),1,0)</f>
        <v>1</v>
      </c>
      <c r="P161" s="24">
        <f>IF(AND(L161=1,OR(Dashboard!$C$13="All",A161=Dashboard!$C$13),OR(Dashboard!$C$14="All",B161=Dashboard!$C$14),OR(Dashboard!$C$15="All",C161=Dashboard!$C$15),OR(Dashboard!$C$17="All",J161=Dashboard!$C$17)),1,0)</f>
        <v>1</v>
      </c>
      <c r="Q161" s="24">
        <f>IF(AND(L161=1,OR(Dashboard!$C$14="All",B161=Dashboard!$C$14),OR(Dashboard!$C$15="All",C161=Dashboard!$C$15),OR(Dashboard!$C$16="All",K161=Dashboard!$C$16),OR(Dashboard!$C$17="All",J161=Dashboard!$C$17)),1,0)</f>
        <v>1</v>
      </c>
      <c r="R161" s="24">
        <f>IF(AND(L161=1,OR(Dashboard!$C$13="All",A161=Dashboard!$C$13),OR(Dashboard!$C$14="All",B161=Dashboard!$C$14),OR(Dashboard!$C$15="All",C161=Dashboard!$C$15),OR(Dashboard!$C$16="All",K161=Dashboard!$C$16)),1,0)</f>
        <v>1</v>
      </c>
      <c r="S161" s="24">
        <f t="shared" si="3"/>
        <v>160</v>
      </c>
      <c r="T161" s="24" t="s">
        <v>453</v>
      </c>
      <c r="V161" s="24" t="s">
        <v>454</v>
      </c>
    </row>
    <row r="162" ht="15.75" customHeight="1">
      <c r="A162" s="3" t="s">
        <v>202</v>
      </c>
      <c r="B162" s="4"/>
      <c r="C162" s="3" t="s">
        <v>76</v>
      </c>
      <c r="D162" s="4">
        <v>2.0</v>
      </c>
      <c r="E162" s="14">
        <v>2.0</v>
      </c>
      <c r="F162" s="5">
        <f t="shared" si="1"/>
        <v>4</v>
      </c>
      <c r="G162" s="6">
        <v>46304.0</v>
      </c>
      <c r="H162" s="22">
        <v>6.0</v>
      </c>
      <c r="I162" s="7">
        <f t="shared" si="2"/>
        <v>46346</v>
      </c>
      <c r="J162" s="4" t="s">
        <v>25</v>
      </c>
      <c r="K162" s="4" t="s">
        <v>31</v>
      </c>
      <c r="L162" s="24">
        <f>IF(A162="","",IF(OR(G162="",AND(G162&gt;=Dashboard!$C$18,G162&lt;=Dashboard!$C$19)),1,0))</f>
        <v>1</v>
      </c>
      <c r="M162" s="24">
        <f>IF(AND(L162=1,OR(Dashboard!$C$13="All",A162=Dashboard!$C$13),OR(Dashboard!$C$14="All",B162=Dashboard!$C$14),OR(Dashboard!$C$15="All",C162=Dashboard!$C$15),OR(Dashboard!$C$16="All",K162=Dashboard!$C$16),OR(Dashboard!$C$17="All",J162=Dashboard!$C$17)),1,0)</f>
        <v>1</v>
      </c>
      <c r="N162" s="24">
        <f>IF(AND(L162=1,OR(Dashboard!$C$13="All",A162=Dashboard!$C$13),OR(Dashboard!$C$14="All",B162=Dashboard!$C$14),OR(Dashboard!$C$16="All",K162=Dashboard!$C$16),OR(Dashboard!$C$17="All",J162=Dashboard!$C$17)),1,0)</f>
        <v>1</v>
      </c>
      <c r="O162" s="24">
        <f>IF(AND(L162=1,OR(Dashboard!$C$13="All",A162=Dashboard!$C$13),OR(Dashboard!$C$15="All",C162=Dashboard!$C$15),OR(Dashboard!$C$16="All",K162=Dashboard!$C$16),OR(Dashboard!$C$17="All",J162=Dashboard!$C$17)),1,0)</f>
        <v>1</v>
      </c>
      <c r="P162" s="24">
        <f>IF(AND(L162=1,OR(Dashboard!$C$13="All",A162=Dashboard!$C$13),OR(Dashboard!$C$14="All",B162=Dashboard!$C$14),OR(Dashboard!$C$15="All",C162=Dashboard!$C$15),OR(Dashboard!$C$17="All",J162=Dashboard!$C$17)),1,0)</f>
        <v>1</v>
      </c>
      <c r="Q162" s="24">
        <f>IF(AND(L162=1,OR(Dashboard!$C$14="All",B162=Dashboard!$C$14),OR(Dashboard!$C$15="All",C162=Dashboard!$C$15),OR(Dashboard!$C$16="All",K162=Dashboard!$C$16),OR(Dashboard!$C$17="All",J162=Dashboard!$C$17)),1,0)</f>
        <v>1</v>
      </c>
      <c r="R162" s="24">
        <f>IF(AND(L162=1,OR(Dashboard!$C$13="All",A162=Dashboard!$C$13),OR(Dashboard!$C$14="All",B162=Dashboard!$C$14),OR(Dashboard!$C$15="All",C162=Dashboard!$C$15),OR(Dashboard!$C$16="All",K162=Dashboard!$C$16)),1,0)</f>
        <v>1</v>
      </c>
      <c r="S162" s="24">
        <f t="shared" si="3"/>
        <v>161</v>
      </c>
      <c r="T162" s="24" t="s">
        <v>455</v>
      </c>
      <c r="V162" s="24" t="s">
        <v>198</v>
      </c>
    </row>
    <row r="163" ht="15.75" customHeight="1">
      <c r="A163" s="10" t="s">
        <v>202</v>
      </c>
      <c r="B163" s="13"/>
      <c r="C163" s="10" t="s">
        <v>79</v>
      </c>
      <c r="D163" s="13">
        <v>8.0</v>
      </c>
      <c r="E163" s="17">
        <v>15.0</v>
      </c>
      <c r="F163" s="15">
        <f t="shared" si="1"/>
        <v>120</v>
      </c>
      <c r="G163" s="6">
        <v>46305.0</v>
      </c>
      <c r="H163" s="22">
        <v>22.0</v>
      </c>
      <c r="I163" s="16">
        <f t="shared" si="2"/>
        <v>46459</v>
      </c>
      <c r="J163" s="13" t="s">
        <v>25</v>
      </c>
      <c r="K163" s="13" t="s">
        <v>31</v>
      </c>
      <c r="L163" s="24">
        <f>IF(A163="","",IF(OR(G163="",AND(G163&gt;=Dashboard!$C$18,G163&lt;=Dashboard!$C$19)),1,0))</f>
        <v>1</v>
      </c>
      <c r="M163" s="24">
        <f>IF(AND(L163=1,OR(Dashboard!$C$13="All",A163=Dashboard!$C$13),OR(Dashboard!$C$14="All",B163=Dashboard!$C$14),OR(Dashboard!$C$15="All",C163=Dashboard!$C$15),OR(Dashboard!$C$16="All",K163=Dashboard!$C$16),OR(Dashboard!$C$17="All",J163=Dashboard!$C$17)),1,0)</f>
        <v>1</v>
      </c>
      <c r="N163" s="24">
        <f>IF(AND(L163=1,OR(Dashboard!$C$13="All",A163=Dashboard!$C$13),OR(Dashboard!$C$14="All",B163=Dashboard!$C$14),OR(Dashboard!$C$16="All",K163=Dashboard!$C$16),OR(Dashboard!$C$17="All",J163=Dashboard!$C$17)),1,0)</f>
        <v>1</v>
      </c>
      <c r="O163" s="24">
        <f>IF(AND(L163=1,OR(Dashboard!$C$13="All",A163=Dashboard!$C$13),OR(Dashboard!$C$15="All",C163=Dashboard!$C$15),OR(Dashboard!$C$16="All",K163=Dashboard!$C$16),OR(Dashboard!$C$17="All",J163=Dashboard!$C$17)),1,0)</f>
        <v>1</v>
      </c>
      <c r="P163" s="24">
        <f>IF(AND(L163=1,OR(Dashboard!$C$13="All",A163=Dashboard!$C$13),OR(Dashboard!$C$14="All",B163=Dashboard!$C$14),OR(Dashboard!$C$15="All",C163=Dashboard!$C$15),OR(Dashboard!$C$17="All",J163=Dashboard!$C$17)),1,0)</f>
        <v>1</v>
      </c>
      <c r="Q163" s="24">
        <f>IF(AND(L163=1,OR(Dashboard!$C$14="All",B163=Dashboard!$C$14),OR(Dashboard!$C$15="All",C163=Dashboard!$C$15),OR(Dashboard!$C$16="All",K163=Dashboard!$C$16),OR(Dashboard!$C$17="All",J163=Dashboard!$C$17)),1,0)</f>
        <v>1</v>
      </c>
      <c r="R163" s="24">
        <f>IF(AND(L163=1,OR(Dashboard!$C$13="All",A163=Dashboard!$C$13),OR(Dashboard!$C$14="All",B163=Dashboard!$C$14),OR(Dashboard!$C$15="All",C163=Dashboard!$C$15),OR(Dashboard!$C$16="All",K163=Dashboard!$C$16)),1,0)</f>
        <v>1</v>
      </c>
      <c r="S163" s="24">
        <f t="shared" si="3"/>
        <v>162</v>
      </c>
      <c r="T163" s="24" t="s">
        <v>456</v>
      </c>
      <c r="V163" s="24" t="s">
        <v>457</v>
      </c>
    </row>
    <row r="164" ht="15.75" customHeight="1">
      <c r="A164" s="3" t="s">
        <v>202</v>
      </c>
      <c r="B164" s="4"/>
      <c r="C164" s="3" t="s">
        <v>57</v>
      </c>
      <c r="D164" s="4">
        <v>2.0</v>
      </c>
      <c r="E164" s="14">
        <v>45.0</v>
      </c>
      <c r="F164" s="5">
        <f t="shared" si="1"/>
        <v>90</v>
      </c>
      <c r="G164" s="6">
        <v>46306.0</v>
      </c>
      <c r="H164" s="22">
        <v>24.0</v>
      </c>
      <c r="I164" s="7">
        <f t="shared" si="2"/>
        <v>46474</v>
      </c>
      <c r="J164" s="4" t="s">
        <v>25</v>
      </c>
      <c r="K164" s="4" t="s">
        <v>31</v>
      </c>
      <c r="L164" s="24">
        <f>IF(A164="","",IF(OR(G164="",AND(G164&gt;=Dashboard!$C$18,G164&lt;=Dashboard!$C$19)),1,0))</f>
        <v>1</v>
      </c>
      <c r="M164" s="24">
        <f>IF(AND(L164=1,OR(Dashboard!$C$13="All",A164=Dashboard!$C$13),OR(Dashboard!$C$14="All",B164=Dashboard!$C$14),OR(Dashboard!$C$15="All",C164=Dashboard!$C$15),OR(Dashboard!$C$16="All",K164=Dashboard!$C$16),OR(Dashboard!$C$17="All",J164=Dashboard!$C$17)),1,0)</f>
        <v>1</v>
      </c>
      <c r="N164" s="24">
        <f>IF(AND(L164=1,OR(Dashboard!$C$13="All",A164=Dashboard!$C$13),OR(Dashboard!$C$14="All",B164=Dashboard!$C$14),OR(Dashboard!$C$16="All",K164=Dashboard!$C$16),OR(Dashboard!$C$17="All",J164=Dashboard!$C$17)),1,0)</f>
        <v>1</v>
      </c>
      <c r="O164" s="24">
        <f>IF(AND(L164=1,OR(Dashboard!$C$13="All",A164=Dashboard!$C$13),OR(Dashboard!$C$15="All",C164=Dashboard!$C$15),OR(Dashboard!$C$16="All",K164=Dashboard!$C$16),OR(Dashboard!$C$17="All",J164=Dashboard!$C$17)),1,0)</f>
        <v>1</v>
      </c>
      <c r="P164" s="24">
        <f>IF(AND(L164=1,OR(Dashboard!$C$13="All",A164=Dashboard!$C$13),OR(Dashboard!$C$14="All",B164=Dashboard!$C$14),OR(Dashboard!$C$15="All",C164=Dashboard!$C$15),OR(Dashboard!$C$17="All",J164=Dashboard!$C$17)),1,0)</f>
        <v>1</v>
      </c>
      <c r="Q164" s="24">
        <f>IF(AND(L164=1,OR(Dashboard!$C$14="All",B164=Dashboard!$C$14),OR(Dashboard!$C$15="All",C164=Dashboard!$C$15),OR(Dashboard!$C$16="All",K164=Dashboard!$C$16),OR(Dashboard!$C$17="All",J164=Dashboard!$C$17)),1,0)</f>
        <v>1</v>
      </c>
      <c r="R164" s="24">
        <f>IF(AND(L164=1,OR(Dashboard!$C$13="All",A164=Dashboard!$C$13),OR(Dashboard!$C$14="All",B164=Dashboard!$C$14),OR(Dashboard!$C$15="All",C164=Dashboard!$C$15),OR(Dashboard!$C$16="All",K164=Dashboard!$C$16)),1,0)</f>
        <v>1</v>
      </c>
      <c r="S164" s="24">
        <f t="shared" si="3"/>
        <v>163</v>
      </c>
      <c r="T164" s="24" t="s">
        <v>458</v>
      </c>
      <c r="V164" s="24" t="s">
        <v>389</v>
      </c>
    </row>
    <row r="165" ht="15.75" customHeight="1">
      <c r="A165" s="10" t="s">
        <v>188</v>
      </c>
      <c r="B165" s="13"/>
      <c r="C165" s="10" t="s">
        <v>248</v>
      </c>
      <c r="D165" s="13">
        <v>6.0</v>
      </c>
      <c r="E165" s="17">
        <v>24.0</v>
      </c>
      <c r="F165" s="15">
        <f t="shared" si="1"/>
        <v>144</v>
      </c>
      <c r="G165" s="6">
        <v>46307.0</v>
      </c>
      <c r="H165" s="22">
        <v>24.0</v>
      </c>
      <c r="I165" s="16">
        <f t="shared" si="2"/>
        <v>46475</v>
      </c>
      <c r="J165" s="13" t="s">
        <v>25</v>
      </c>
      <c r="K165" s="13" t="s">
        <v>31</v>
      </c>
      <c r="L165" s="24">
        <f>IF(A165="","",IF(OR(G165="",AND(G165&gt;=Dashboard!$C$18,G165&lt;=Dashboard!$C$19)),1,0))</f>
        <v>1</v>
      </c>
      <c r="M165" s="24">
        <f>IF(AND(L165=1,OR(Dashboard!$C$13="All",A165=Dashboard!$C$13),OR(Dashboard!$C$14="All",B165=Dashboard!$C$14),OR(Dashboard!$C$15="All",C165=Dashboard!$C$15),OR(Dashboard!$C$16="All",K165=Dashboard!$C$16),OR(Dashboard!$C$17="All",J165=Dashboard!$C$17)),1,0)</f>
        <v>1</v>
      </c>
      <c r="N165" s="24">
        <f>IF(AND(L165=1,OR(Dashboard!$C$13="All",A165=Dashboard!$C$13),OR(Dashboard!$C$14="All",B165=Dashboard!$C$14),OR(Dashboard!$C$16="All",K165=Dashboard!$C$16),OR(Dashboard!$C$17="All",J165=Dashboard!$C$17)),1,0)</f>
        <v>1</v>
      </c>
      <c r="O165" s="24">
        <f>IF(AND(L165=1,OR(Dashboard!$C$13="All",A165=Dashboard!$C$13),OR(Dashboard!$C$15="All",C165=Dashboard!$C$15),OR(Dashboard!$C$16="All",K165=Dashboard!$C$16),OR(Dashboard!$C$17="All",J165=Dashboard!$C$17)),1,0)</f>
        <v>1</v>
      </c>
      <c r="P165" s="24">
        <f>IF(AND(L165=1,OR(Dashboard!$C$13="All",A165=Dashboard!$C$13),OR(Dashboard!$C$14="All",B165=Dashboard!$C$14),OR(Dashboard!$C$15="All",C165=Dashboard!$C$15),OR(Dashboard!$C$17="All",J165=Dashboard!$C$17)),1,0)</f>
        <v>1</v>
      </c>
      <c r="Q165" s="24">
        <f>IF(AND(L165=1,OR(Dashboard!$C$14="All",B165=Dashboard!$C$14),OR(Dashboard!$C$15="All",C165=Dashboard!$C$15),OR(Dashboard!$C$16="All",K165=Dashboard!$C$16),OR(Dashboard!$C$17="All",J165=Dashboard!$C$17)),1,0)</f>
        <v>1</v>
      </c>
      <c r="R165" s="24">
        <f>IF(AND(L165=1,OR(Dashboard!$C$13="All",A165=Dashboard!$C$13),OR(Dashboard!$C$14="All",B165=Dashboard!$C$14),OR(Dashboard!$C$15="All",C165=Dashboard!$C$15),OR(Dashboard!$C$16="All",K165=Dashboard!$C$16)),1,0)</f>
        <v>1</v>
      </c>
      <c r="S165" s="24">
        <f t="shared" si="3"/>
        <v>164</v>
      </c>
      <c r="T165" s="24" t="s">
        <v>459</v>
      </c>
      <c r="V165" s="24" t="s">
        <v>460</v>
      </c>
    </row>
    <row r="166" ht="15.75" customHeight="1">
      <c r="A166" s="3" t="s">
        <v>94</v>
      </c>
      <c r="B166" s="4"/>
      <c r="C166" s="3" t="s">
        <v>307</v>
      </c>
      <c r="D166" s="4">
        <v>500.0</v>
      </c>
      <c r="E166" s="14">
        <v>25.0</v>
      </c>
      <c r="F166" s="5">
        <f t="shared" si="1"/>
        <v>12500</v>
      </c>
      <c r="G166" s="6">
        <v>46308.0</v>
      </c>
      <c r="H166" s="22">
        <v>23.0</v>
      </c>
      <c r="I166" s="7">
        <f t="shared" si="2"/>
        <v>46469</v>
      </c>
      <c r="J166" s="4" t="s">
        <v>25</v>
      </c>
      <c r="K166" s="4" t="s">
        <v>31</v>
      </c>
      <c r="L166" s="24">
        <f>IF(A166="","",IF(OR(G166="",AND(G166&gt;=Dashboard!$C$18,G166&lt;=Dashboard!$C$19)),1,0))</f>
        <v>1</v>
      </c>
      <c r="M166" s="24">
        <f>IF(AND(L166=1,OR(Dashboard!$C$13="All",A166=Dashboard!$C$13),OR(Dashboard!$C$14="All",B166=Dashboard!$C$14),OR(Dashboard!$C$15="All",C166=Dashboard!$C$15),OR(Dashboard!$C$16="All",K166=Dashboard!$C$16),OR(Dashboard!$C$17="All",J166=Dashboard!$C$17)),1,0)</f>
        <v>1</v>
      </c>
      <c r="N166" s="24">
        <f>IF(AND(L166=1,OR(Dashboard!$C$13="All",A166=Dashboard!$C$13),OR(Dashboard!$C$14="All",B166=Dashboard!$C$14),OR(Dashboard!$C$16="All",K166=Dashboard!$C$16),OR(Dashboard!$C$17="All",J166=Dashboard!$C$17)),1,0)</f>
        <v>1</v>
      </c>
      <c r="O166" s="24">
        <f>IF(AND(L166=1,OR(Dashboard!$C$13="All",A166=Dashboard!$C$13),OR(Dashboard!$C$15="All",C166=Dashboard!$C$15),OR(Dashboard!$C$16="All",K166=Dashboard!$C$16),OR(Dashboard!$C$17="All",J166=Dashboard!$C$17)),1,0)</f>
        <v>1</v>
      </c>
      <c r="P166" s="24">
        <f>IF(AND(L166=1,OR(Dashboard!$C$13="All",A166=Dashboard!$C$13),OR(Dashboard!$C$14="All",B166=Dashboard!$C$14),OR(Dashboard!$C$15="All",C166=Dashboard!$C$15),OR(Dashboard!$C$17="All",J166=Dashboard!$C$17)),1,0)</f>
        <v>1</v>
      </c>
      <c r="Q166" s="24">
        <f>IF(AND(L166=1,OR(Dashboard!$C$14="All",B166=Dashboard!$C$14),OR(Dashboard!$C$15="All",C166=Dashboard!$C$15),OR(Dashboard!$C$16="All",K166=Dashboard!$C$16),OR(Dashboard!$C$17="All",J166=Dashboard!$C$17)),1,0)</f>
        <v>1</v>
      </c>
      <c r="R166" s="24">
        <f>IF(AND(L166=1,OR(Dashboard!$C$13="All",A166=Dashboard!$C$13),OR(Dashboard!$C$14="All",B166=Dashboard!$C$14),OR(Dashboard!$C$15="All",C166=Dashboard!$C$15),OR(Dashboard!$C$16="All",K166=Dashboard!$C$16)),1,0)</f>
        <v>1</v>
      </c>
      <c r="S166" s="24">
        <f t="shared" si="3"/>
        <v>165</v>
      </c>
      <c r="T166" s="24" t="s">
        <v>461</v>
      </c>
      <c r="V166" s="24" t="s">
        <v>462</v>
      </c>
    </row>
    <row r="167" ht="15.75" customHeight="1">
      <c r="A167" s="10" t="s">
        <v>94</v>
      </c>
      <c r="B167" s="13"/>
      <c r="C167" s="10" t="s">
        <v>186</v>
      </c>
      <c r="D167" s="13">
        <v>1.0</v>
      </c>
      <c r="E167" s="17">
        <v>36.0</v>
      </c>
      <c r="F167" s="15">
        <f t="shared" si="1"/>
        <v>36</v>
      </c>
      <c r="G167" s="6">
        <v>46309.0</v>
      </c>
      <c r="H167" s="22">
        <v>24.0</v>
      </c>
      <c r="I167" s="16">
        <f t="shared" si="2"/>
        <v>46477</v>
      </c>
      <c r="J167" s="13" t="s">
        <v>25</v>
      </c>
      <c r="K167" s="13" t="s">
        <v>31</v>
      </c>
      <c r="L167" s="24">
        <f>IF(A167="","",IF(OR(G167="",AND(G167&gt;=Dashboard!$C$18,G167&lt;=Dashboard!$C$19)),1,0))</f>
        <v>1</v>
      </c>
      <c r="M167" s="24">
        <f>IF(AND(L167=1,OR(Dashboard!$C$13="All",A167=Dashboard!$C$13),OR(Dashboard!$C$14="All",B167=Dashboard!$C$14),OR(Dashboard!$C$15="All",C167=Dashboard!$C$15),OR(Dashboard!$C$16="All",K167=Dashboard!$C$16),OR(Dashboard!$C$17="All",J167=Dashboard!$C$17)),1,0)</f>
        <v>1</v>
      </c>
      <c r="N167" s="24">
        <f>IF(AND(L167=1,OR(Dashboard!$C$13="All",A167=Dashboard!$C$13),OR(Dashboard!$C$14="All",B167=Dashboard!$C$14),OR(Dashboard!$C$16="All",K167=Dashboard!$C$16),OR(Dashboard!$C$17="All",J167=Dashboard!$C$17)),1,0)</f>
        <v>1</v>
      </c>
      <c r="O167" s="24">
        <f>IF(AND(L167=1,OR(Dashboard!$C$13="All",A167=Dashboard!$C$13),OR(Dashboard!$C$15="All",C167=Dashboard!$C$15),OR(Dashboard!$C$16="All",K167=Dashboard!$C$16),OR(Dashboard!$C$17="All",J167=Dashboard!$C$17)),1,0)</f>
        <v>1</v>
      </c>
      <c r="P167" s="24">
        <f>IF(AND(L167=1,OR(Dashboard!$C$13="All",A167=Dashboard!$C$13),OR(Dashboard!$C$14="All",B167=Dashboard!$C$14),OR(Dashboard!$C$15="All",C167=Dashboard!$C$15),OR(Dashboard!$C$17="All",J167=Dashboard!$C$17)),1,0)</f>
        <v>1</v>
      </c>
      <c r="Q167" s="24">
        <f>IF(AND(L167=1,OR(Dashboard!$C$14="All",B167=Dashboard!$C$14),OR(Dashboard!$C$15="All",C167=Dashboard!$C$15),OR(Dashboard!$C$16="All",K167=Dashboard!$C$16),OR(Dashboard!$C$17="All",J167=Dashboard!$C$17)),1,0)</f>
        <v>1</v>
      </c>
      <c r="R167" s="24">
        <f>IF(AND(L167=1,OR(Dashboard!$C$13="All",A167=Dashboard!$C$13),OR(Dashboard!$C$14="All",B167=Dashboard!$C$14),OR(Dashboard!$C$15="All",C167=Dashboard!$C$15),OR(Dashboard!$C$16="All",K167=Dashboard!$C$16)),1,0)</f>
        <v>1</v>
      </c>
      <c r="S167" s="24">
        <f t="shared" si="3"/>
        <v>166</v>
      </c>
      <c r="T167" s="24" t="s">
        <v>463</v>
      </c>
      <c r="V167" s="24" t="s">
        <v>212</v>
      </c>
    </row>
    <row r="168" ht="15.75" customHeight="1">
      <c r="A168" s="3" t="s">
        <v>94</v>
      </c>
      <c r="B168" s="4"/>
      <c r="C168" s="3" t="s">
        <v>417</v>
      </c>
      <c r="D168" s="4">
        <v>1.0</v>
      </c>
      <c r="E168" s="14">
        <v>95.0</v>
      </c>
      <c r="F168" s="5">
        <f t="shared" si="1"/>
        <v>95</v>
      </c>
      <c r="G168" s="6">
        <v>46310.0</v>
      </c>
      <c r="H168" s="22">
        <v>23.0</v>
      </c>
      <c r="I168" s="7">
        <f t="shared" si="2"/>
        <v>46471</v>
      </c>
      <c r="J168" s="4" t="s">
        <v>25</v>
      </c>
      <c r="K168" s="4" t="s">
        <v>31</v>
      </c>
      <c r="L168" s="24">
        <f>IF(A168="","",IF(OR(G168="",AND(G168&gt;=Dashboard!$C$18,G168&lt;=Dashboard!$C$19)),1,0))</f>
        <v>1</v>
      </c>
      <c r="M168" s="24">
        <f>IF(AND(L168=1,OR(Dashboard!$C$13="All",A168=Dashboard!$C$13),OR(Dashboard!$C$14="All",B168=Dashboard!$C$14),OR(Dashboard!$C$15="All",C168=Dashboard!$C$15),OR(Dashboard!$C$16="All",K168=Dashboard!$C$16),OR(Dashboard!$C$17="All",J168=Dashboard!$C$17)),1,0)</f>
        <v>1</v>
      </c>
      <c r="N168" s="24">
        <f>IF(AND(L168=1,OR(Dashboard!$C$13="All",A168=Dashboard!$C$13),OR(Dashboard!$C$14="All",B168=Dashboard!$C$14),OR(Dashboard!$C$16="All",K168=Dashboard!$C$16),OR(Dashboard!$C$17="All",J168=Dashboard!$C$17)),1,0)</f>
        <v>1</v>
      </c>
      <c r="O168" s="24">
        <f>IF(AND(L168=1,OR(Dashboard!$C$13="All",A168=Dashboard!$C$13),OR(Dashboard!$C$15="All",C168=Dashboard!$C$15),OR(Dashboard!$C$16="All",K168=Dashboard!$C$16),OR(Dashboard!$C$17="All",J168=Dashboard!$C$17)),1,0)</f>
        <v>1</v>
      </c>
      <c r="P168" s="24">
        <f>IF(AND(L168=1,OR(Dashboard!$C$13="All",A168=Dashboard!$C$13),OR(Dashboard!$C$14="All",B168=Dashboard!$C$14),OR(Dashboard!$C$15="All",C168=Dashboard!$C$15),OR(Dashboard!$C$17="All",J168=Dashboard!$C$17)),1,0)</f>
        <v>1</v>
      </c>
      <c r="Q168" s="24">
        <f>IF(AND(L168=1,OR(Dashboard!$C$14="All",B168=Dashboard!$C$14),OR(Dashboard!$C$15="All",C168=Dashboard!$C$15),OR(Dashboard!$C$16="All",K168=Dashboard!$C$16),OR(Dashboard!$C$17="All",J168=Dashboard!$C$17)),1,0)</f>
        <v>1</v>
      </c>
      <c r="R168" s="24">
        <f>IF(AND(L168=1,OR(Dashboard!$C$13="All",A168=Dashboard!$C$13),OR(Dashboard!$C$14="All",B168=Dashboard!$C$14),OR(Dashboard!$C$15="All",C168=Dashboard!$C$15),OR(Dashboard!$C$16="All",K168=Dashboard!$C$16)),1,0)</f>
        <v>1</v>
      </c>
      <c r="S168" s="24">
        <f t="shared" si="3"/>
        <v>167</v>
      </c>
      <c r="T168" s="24" t="s">
        <v>464</v>
      </c>
      <c r="V168" s="24" t="s">
        <v>465</v>
      </c>
    </row>
    <row r="169" ht="15.75" customHeight="1">
      <c r="A169" s="10" t="s">
        <v>94</v>
      </c>
      <c r="B169" s="13"/>
      <c r="C169" s="10" t="s">
        <v>466</v>
      </c>
      <c r="D169" s="13">
        <v>2.0</v>
      </c>
      <c r="E169" s="17">
        <v>574.0</v>
      </c>
      <c r="F169" s="15">
        <f t="shared" si="1"/>
        <v>1148</v>
      </c>
      <c r="G169" s="6">
        <v>46311.0</v>
      </c>
      <c r="H169" s="22">
        <v>24.0</v>
      </c>
      <c r="I169" s="16">
        <f t="shared" si="2"/>
        <v>46479</v>
      </c>
      <c r="J169" s="13" t="s">
        <v>25</v>
      </c>
      <c r="K169" s="13" t="s">
        <v>31</v>
      </c>
      <c r="L169" s="24">
        <f>IF(A169="","",IF(OR(G169="",AND(G169&gt;=Dashboard!$C$18,G169&lt;=Dashboard!$C$19)),1,0))</f>
        <v>1</v>
      </c>
      <c r="M169" s="24">
        <f>IF(AND(L169=1,OR(Dashboard!$C$13="All",A169=Dashboard!$C$13),OR(Dashboard!$C$14="All",B169=Dashboard!$C$14),OR(Dashboard!$C$15="All",C169=Dashboard!$C$15),OR(Dashboard!$C$16="All",K169=Dashboard!$C$16),OR(Dashboard!$C$17="All",J169=Dashboard!$C$17)),1,0)</f>
        <v>1</v>
      </c>
      <c r="N169" s="24">
        <f>IF(AND(L169=1,OR(Dashboard!$C$13="All",A169=Dashboard!$C$13),OR(Dashboard!$C$14="All",B169=Dashboard!$C$14),OR(Dashboard!$C$16="All",K169=Dashboard!$C$16),OR(Dashboard!$C$17="All",J169=Dashboard!$C$17)),1,0)</f>
        <v>1</v>
      </c>
      <c r="O169" s="24">
        <f>IF(AND(L169=1,OR(Dashboard!$C$13="All",A169=Dashboard!$C$13),OR(Dashboard!$C$15="All",C169=Dashboard!$C$15),OR(Dashboard!$C$16="All",K169=Dashboard!$C$16),OR(Dashboard!$C$17="All",J169=Dashboard!$C$17)),1,0)</f>
        <v>1</v>
      </c>
      <c r="P169" s="24">
        <f>IF(AND(L169=1,OR(Dashboard!$C$13="All",A169=Dashboard!$C$13),OR(Dashboard!$C$14="All",B169=Dashboard!$C$14),OR(Dashboard!$C$15="All",C169=Dashboard!$C$15),OR(Dashboard!$C$17="All",J169=Dashboard!$C$17)),1,0)</f>
        <v>1</v>
      </c>
      <c r="Q169" s="24">
        <f>IF(AND(L169=1,OR(Dashboard!$C$14="All",B169=Dashboard!$C$14),OR(Dashboard!$C$15="All",C169=Dashboard!$C$15),OR(Dashboard!$C$16="All",K169=Dashboard!$C$16),OR(Dashboard!$C$17="All",J169=Dashboard!$C$17)),1,0)</f>
        <v>1</v>
      </c>
      <c r="R169" s="24">
        <f>IF(AND(L169=1,OR(Dashboard!$C$13="All",A169=Dashboard!$C$13),OR(Dashboard!$C$14="All",B169=Dashboard!$C$14),OR(Dashboard!$C$15="All",C169=Dashboard!$C$15),OR(Dashboard!$C$16="All",K169=Dashboard!$C$16)),1,0)</f>
        <v>1</v>
      </c>
      <c r="S169" s="24">
        <f t="shared" si="3"/>
        <v>168</v>
      </c>
      <c r="T169" s="24" t="s">
        <v>467</v>
      </c>
      <c r="V169" s="24" t="s">
        <v>269</v>
      </c>
    </row>
    <row r="170" ht="15.75" customHeight="1">
      <c r="A170" s="3" t="s">
        <v>244</v>
      </c>
      <c r="B170" s="4"/>
      <c r="C170" s="3" t="s">
        <v>468</v>
      </c>
      <c r="D170" s="4">
        <v>12.0</v>
      </c>
      <c r="E170" s="14">
        <v>558.0</v>
      </c>
      <c r="F170" s="5">
        <f t="shared" si="1"/>
        <v>6696</v>
      </c>
      <c r="G170" s="6">
        <v>46312.0</v>
      </c>
      <c r="H170" s="22">
        <v>24.0</v>
      </c>
      <c r="I170" s="7">
        <f t="shared" si="2"/>
        <v>46480</v>
      </c>
      <c r="J170" s="4" t="s">
        <v>25</v>
      </c>
      <c r="K170" s="4" t="s">
        <v>31</v>
      </c>
      <c r="L170" s="24">
        <f>IF(A170="","",IF(OR(G170="",AND(G170&gt;=Dashboard!$C$18,G170&lt;=Dashboard!$C$19)),1,0))</f>
        <v>1</v>
      </c>
      <c r="M170" s="24">
        <f>IF(AND(L170=1,OR(Dashboard!$C$13="All",A170=Dashboard!$C$13),OR(Dashboard!$C$14="All",B170=Dashboard!$C$14),OR(Dashboard!$C$15="All",C170=Dashboard!$C$15),OR(Dashboard!$C$16="All",K170=Dashboard!$C$16),OR(Dashboard!$C$17="All",J170=Dashboard!$C$17)),1,0)</f>
        <v>1</v>
      </c>
      <c r="N170" s="24">
        <f>IF(AND(L170=1,OR(Dashboard!$C$13="All",A170=Dashboard!$C$13),OR(Dashboard!$C$14="All",B170=Dashboard!$C$14),OR(Dashboard!$C$16="All",K170=Dashboard!$C$16),OR(Dashboard!$C$17="All",J170=Dashboard!$C$17)),1,0)</f>
        <v>1</v>
      </c>
      <c r="O170" s="24">
        <f>IF(AND(L170=1,OR(Dashboard!$C$13="All",A170=Dashboard!$C$13),OR(Dashboard!$C$15="All",C170=Dashboard!$C$15),OR(Dashboard!$C$16="All",K170=Dashboard!$C$16),OR(Dashboard!$C$17="All",J170=Dashboard!$C$17)),1,0)</f>
        <v>1</v>
      </c>
      <c r="P170" s="24">
        <f>IF(AND(L170=1,OR(Dashboard!$C$13="All",A170=Dashboard!$C$13),OR(Dashboard!$C$14="All",B170=Dashboard!$C$14),OR(Dashboard!$C$15="All",C170=Dashboard!$C$15),OR(Dashboard!$C$17="All",J170=Dashboard!$C$17)),1,0)</f>
        <v>1</v>
      </c>
      <c r="Q170" s="24">
        <f>IF(AND(L170=1,OR(Dashboard!$C$14="All",B170=Dashboard!$C$14),OR(Dashboard!$C$15="All",C170=Dashboard!$C$15),OR(Dashboard!$C$16="All",K170=Dashboard!$C$16),OR(Dashboard!$C$17="All",J170=Dashboard!$C$17)),1,0)</f>
        <v>1</v>
      </c>
      <c r="R170" s="24">
        <f>IF(AND(L170=1,OR(Dashboard!$C$13="All",A170=Dashboard!$C$13),OR(Dashboard!$C$14="All",B170=Dashboard!$C$14),OR(Dashboard!$C$15="All",C170=Dashboard!$C$15),OR(Dashboard!$C$16="All",K170=Dashboard!$C$16)),1,0)</f>
        <v>1</v>
      </c>
      <c r="S170" s="24">
        <f t="shared" si="3"/>
        <v>169</v>
      </c>
      <c r="T170" s="24" t="s">
        <v>469</v>
      </c>
      <c r="V170" s="24" t="s">
        <v>470</v>
      </c>
    </row>
    <row r="171" ht="15.75" customHeight="1">
      <c r="A171" s="10" t="s">
        <v>244</v>
      </c>
      <c r="B171" s="13"/>
      <c r="C171" s="10" t="s">
        <v>471</v>
      </c>
      <c r="D171" s="13">
        <v>2.0</v>
      </c>
      <c r="E171" s="17">
        <v>2265.0</v>
      </c>
      <c r="F171" s="15">
        <f t="shared" si="1"/>
        <v>4530</v>
      </c>
      <c r="G171" s="6">
        <v>46313.0</v>
      </c>
      <c r="H171" s="22">
        <v>24.0</v>
      </c>
      <c r="I171" s="16">
        <f t="shared" si="2"/>
        <v>46481</v>
      </c>
      <c r="J171" s="13" t="s">
        <v>25</v>
      </c>
      <c r="K171" s="13" t="s">
        <v>31</v>
      </c>
      <c r="L171" s="24">
        <f>IF(A171="","",IF(OR(G171="",AND(G171&gt;=Dashboard!$C$18,G171&lt;=Dashboard!$C$19)),1,0))</f>
        <v>1</v>
      </c>
      <c r="M171" s="24">
        <f>IF(AND(L171=1,OR(Dashboard!$C$13="All",A171=Dashboard!$C$13),OR(Dashboard!$C$14="All",B171=Dashboard!$C$14),OR(Dashboard!$C$15="All",C171=Dashboard!$C$15),OR(Dashboard!$C$16="All",K171=Dashboard!$C$16),OR(Dashboard!$C$17="All",J171=Dashboard!$C$17)),1,0)</f>
        <v>1</v>
      </c>
      <c r="N171" s="24">
        <f>IF(AND(L171=1,OR(Dashboard!$C$13="All",A171=Dashboard!$C$13),OR(Dashboard!$C$14="All",B171=Dashboard!$C$14),OR(Dashboard!$C$16="All",K171=Dashboard!$C$16),OR(Dashboard!$C$17="All",J171=Dashboard!$C$17)),1,0)</f>
        <v>1</v>
      </c>
      <c r="O171" s="24">
        <f>IF(AND(L171=1,OR(Dashboard!$C$13="All",A171=Dashboard!$C$13),OR(Dashboard!$C$15="All",C171=Dashboard!$C$15),OR(Dashboard!$C$16="All",K171=Dashboard!$C$16),OR(Dashboard!$C$17="All",J171=Dashboard!$C$17)),1,0)</f>
        <v>1</v>
      </c>
      <c r="P171" s="24">
        <f>IF(AND(L171=1,OR(Dashboard!$C$13="All",A171=Dashboard!$C$13),OR(Dashboard!$C$14="All",B171=Dashboard!$C$14),OR(Dashboard!$C$15="All",C171=Dashboard!$C$15),OR(Dashboard!$C$17="All",J171=Dashboard!$C$17)),1,0)</f>
        <v>1</v>
      </c>
      <c r="Q171" s="24">
        <f>IF(AND(L171=1,OR(Dashboard!$C$14="All",B171=Dashboard!$C$14),OR(Dashboard!$C$15="All",C171=Dashboard!$C$15),OR(Dashboard!$C$16="All",K171=Dashboard!$C$16),OR(Dashboard!$C$17="All",J171=Dashboard!$C$17)),1,0)</f>
        <v>1</v>
      </c>
      <c r="R171" s="24">
        <f>IF(AND(L171=1,OR(Dashboard!$C$13="All",A171=Dashboard!$C$13),OR(Dashboard!$C$14="All",B171=Dashboard!$C$14),OR(Dashboard!$C$15="All",C171=Dashboard!$C$15),OR(Dashboard!$C$16="All",K171=Dashboard!$C$16)),1,0)</f>
        <v>1</v>
      </c>
      <c r="S171" s="24">
        <f t="shared" si="3"/>
        <v>170</v>
      </c>
      <c r="T171" s="24" t="s">
        <v>472</v>
      </c>
      <c r="V171" s="24" t="s">
        <v>473</v>
      </c>
    </row>
    <row r="172" ht="15.75" customHeight="1">
      <c r="A172" s="3" t="s">
        <v>244</v>
      </c>
      <c r="B172" s="4"/>
      <c r="C172" s="3" t="s">
        <v>474</v>
      </c>
      <c r="D172" s="4">
        <v>4.0</v>
      </c>
      <c r="E172" s="14">
        <v>45.0</v>
      </c>
      <c r="F172" s="5">
        <f t="shared" si="1"/>
        <v>180</v>
      </c>
      <c r="G172" s="6">
        <v>46314.0</v>
      </c>
      <c r="H172" s="22">
        <v>24.0</v>
      </c>
      <c r="I172" s="7">
        <f t="shared" si="2"/>
        <v>46482</v>
      </c>
      <c r="J172" s="4" t="s">
        <v>25</v>
      </c>
      <c r="K172" s="4" t="s">
        <v>31</v>
      </c>
      <c r="L172" s="24">
        <f>IF(A172="","",IF(OR(G172="",AND(G172&gt;=Dashboard!$C$18,G172&lt;=Dashboard!$C$19)),1,0))</f>
        <v>1</v>
      </c>
      <c r="M172" s="24">
        <f>IF(AND(L172=1,OR(Dashboard!$C$13="All",A172=Dashboard!$C$13),OR(Dashboard!$C$14="All",B172=Dashboard!$C$14),OR(Dashboard!$C$15="All",C172=Dashboard!$C$15),OR(Dashboard!$C$16="All",K172=Dashboard!$C$16),OR(Dashboard!$C$17="All",J172=Dashboard!$C$17)),1,0)</f>
        <v>1</v>
      </c>
      <c r="N172" s="24">
        <f>IF(AND(L172=1,OR(Dashboard!$C$13="All",A172=Dashboard!$C$13),OR(Dashboard!$C$14="All",B172=Dashboard!$C$14),OR(Dashboard!$C$16="All",K172=Dashboard!$C$16),OR(Dashboard!$C$17="All",J172=Dashboard!$C$17)),1,0)</f>
        <v>1</v>
      </c>
      <c r="O172" s="24">
        <f>IF(AND(L172=1,OR(Dashboard!$C$13="All",A172=Dashboard!$C$13),OR(Dashboard!$C$15="All",C172=Dashboard!$C$15),OR(Dashboard!$C$16="All",K172=Dashboard!$C$16),OR(Dashboard!$C$17="All",J172=Dashboard!$C$17)),1,0)</f>
        <v>1</v>
      </c>
      <c r="P172" s="24">
        <f>IF(AND(L172=1,OR(Dashboard!$C$13="All",A172=Dashboard!$C$13),OR(Dashboard!$C$14="All",B172=Dashboard!$C$14),OR(Dashboard!$C$15="All",C172=Dashboard!$C$15),OR(Dashboard!$C$17="All",J172=Dashboard!$C$17)),1,0)</f>
        <v>1</v>
      </c>
      <c r="Q172" s="24">
        <f>IF(AND(L172=1,OR(Dashboard!$C$14="All",B172=Dashboard!$C$14),OR(Dashboard!$C$15="All",C172=Dashboard!$C$15),OR(Dashboard!$C$16="All",K172=Dashboard!$C$16),OR(Dashboard!$C$17="All",J172=Dashboard!$C$17)),1,0)</f>
        <v>1</v>
      </c>
      <c r="R172" s="24">
        <f>IF(AND(L172=1,OR(Dashboard!$C$13="All",A172=Dashboard!$C$13),OR(Dashboard!$C$14="All",B172=Dashboard!$C$14),OR(Dashboard!$C$15="All",C172=Dashboard!$C$15),OR(Dashboard!$C$16="All",K172=Dashboard!$C$16)),1,0)</f>
        <v>1</v>
      </c>
      <c r="S172" s="24">
        <f t="shared" si="3"/>
        <v>171</v>
      </c>
      <c r="T172" s="24" t="s">
        <v>475</v>
      </c>
      <c r="V172" s="24" t="s">
        <v>476</v>
      </c>
    </row>
    <row r="173" ht="15.75" customHeight="1">
      <c r="A173" s="10" t="s">
        <v>244</v>
      </c>
      <c r="B173" s="13"/>
      <c r="C173" s="10" t="s">
        <v>477</v>
      </c>
      <c r="D173" s="13">
        <v>4.0</v>
      </c>
      <c r="E173" s="17">
        <v>5554.0</v>
      </c>
      <c r="F173" s="15">
        <f t="shared" si="1"/>
        <v>22216</v>
      </c>
      <c r="G173" s="6">
        <v>46315.0</v>
      </c>
      <c r="H173" s="22">
        <v>23.0</v>
      </c>
      <c r="I173" s="16">
        <f t="shared" si="2"/>
        <v>46476</v>
      </c>
      <c r="J173" s="13" t="s">
        <v>25</v>
      </c>
      <c r="K173" s="13" t="s">
        <v>31</v>
      </c>
      <c r="L173" s="24">
        <f>IF(A173="","",IF(OR(G173="",AND(G173&gt;=Dashboard!$C$18,G173&lt;=Dashboard!$C$19)),1,0))</f>
        <v>1</v>
      </c>
      <c r="M173" s="24">
        <f>IF(AND(L173=1,OR(Dashboard!$C$13="All",A173=Dashboard!$C$13),OR(Dashboard!$C$14="All",B173=Dashboard!$C$14),OR(Dashboard!$C$15="All",C173=Dashboard!$C$15),OR(Dashboard!$C$16="All",K173=Dashboard!$C$16),OR(Dashboard!$C$17="All",J173=Dashboard!$C$17)),1,0)</f>
        <v>1</v>
      </c>
      <c r="N173" s="24">
        <f>IF(AND(L173=1,OR(Dashboard!$C$13="All",A173=Dashboard!$C$13),OR(Dashboard!$C$14="All",B173=Dashboard!$C$14),OR(Dashboard!$C$16="All",K173=Dashboard!$C$16),OR(Dashboard!$C$17="All",J173=Dashboard!$C$17)),1,0)</f>
        <v>1</v>
      </c>
      <c r="O173" s="24">
        <f>IF(AND(L173=1,OR(Dashboard!$C$13="All",A173=Dashboard!$C$13),OR(Dashboard!$C$15="All",C173=Dashboard!$C$15),OR(Dashboard!$C$16="All",K173=Dashboard!$C$16),OR(Dashboard!$C$17="All",J173=Dashboard!$C$17)),1,0)</f>
        <v>1</v>
      </c>
      <c r="P173" s="24">
        <f>IF(AND(L173=1,OR(Dashboard!$C$13="All",A173=Dashboard!$C$13),OR(Dashboard!$C$14="All",B173=Dashboard!$C$14),OR(Dashboard!$C$15="All",C173=Dashboard!$C$15),OR(Dashboard!$C$17="All",J173=Dashboard!$C$17)),1,0)</f>
        <v>1</v>
      </c>
      <c r="Q173" s="24">
        <f>IF(AND(L173=1,OR(Dashboard!$C$14="All",B173=Dashboard!$C$14),OR(Dashboard!$C$15="All",C173=Dashboard!$C$15),OR(Dashboard!$C$16="All",K173=Dashboard!$C$16),OR(Dashboard!$C$17="All",J173=Dashboard!$C$17)),1,0)</f>
        <v>1</v>
      </c>
      <c r="R173" s="24">
        <f>IF(AND(L173=1,OR(Dashboard!$C$13="All",A173=Dashboard!$C$13),OR(Dashboard!$C$14="All",B173=Dashboard!$C$14),OR(Dashboard!$C$15="All",C173=Dashboard!$C$15),OR(Dashboard!$C$16="All",K173=Dashboard!$C$16)),1,0)</f>
        <v>1</v>
      </c>
      <c r="S173" s="24">
        <f t="shared" si="3"/>
        <v>172</v>
      </c>
      <c r="T173" s="24" t="s">
        <v>478</v>
      </c>
      <c r="V173" s="24" t="s">
        <v>479</v>
      </c>
    </row>
    <row r="174" ht="15.75" customHeight="1">
      <c r="A174" s="3" t="s">
        <v>80</v>
      </c>
      <c r="B174" s="4"/>
      <c r="C174" s="3" t="s">
        <v>377</v>
      </c>
      <c r="D174" s="4">
        <v>1.0</v>
      </c>
      <c r="E174" s="14">
        <v>41.0</v>
      </c>
      <c r="F174" s="5">
        <f t="shared" si="1"/>
        <v>41</v>
      </c>
      <c r="G174" s="6">
        <v>46316.0</v>
      </c>
      <c r="H174" s="22">
        <v>21.0</v>
      </c>
      <c r="I174" s="7">
        <f t="shared" si="2"/>
        <v>46463</v>
      </c>
      <c r="J174" s="4" t="s">
        <v>25</v>
      </c>
      <c r="K174" s="4" t="s">
        <v>31</v>
      </c>
      <c r="L174" s="24">
        <f>IF(A174="","",IF(OR(G174="",AND(G174&gt;=Dashboard!$C$18,G174&lt;=Dashboard!$C$19)),1,0))</f>
        <v>1</v>
      </c>
      <c r="M174" s="24">
        <f>IF(AND(L174=1,OR(Dashboard!$C$13="All",A174=Dashboard!$C$13),OR(Dashboard!$C$14="All",B174=Dashboard!$C$14),OR(Dashboard!$C$15="All",C174=Dashboard!$C$15),OR(Dashboard!$C$16="All",K174=Dashboard!$C$16),OR(Dashboard!$C$17="All",J174=Dashboard!$C$17)),1,0)</f>
        <v>1</v>
      </c>
      <c r="N174" s="24">
        <f>IF(AND(L174=1,OR(Dashboard!$C$13="All",A174=Dashboard!$C$13),OR(Dashboard!$C$14="All",B174=Dashboard!$C$14),OR(Dashboard!$C$16="All",K174=Dashboard!$C$16),OR(Dashboard!$C$17="All",J174=Dashboard!$C$17)),1,0)</f>
        <v>1</v>
      </c>
      <c r="O174" s="24">
        <f>IF(AND(L174=1,OR(Dashboard!$C$13="All",A174=Dashboard!$C$13),OR(Dashboard!$C$15="All",C174=Dashboard!$C$15),OR(Dashboard!$C$16="All",K174=Dashboard!$C$16),OR(Dashboard!$C$17="All",J174=Dashboard!$C$17)),1,0)</f>
        <v>1</v>
      </c>
      <c r="P174" s="24">
        <f>IF(AND(L174=1,OR(Dashboard!$C$13="All",A174=Dashboard!$C$13),OR(Dashboard!$C$14="All",B174=Dashboard!$C$14),OR(Dashboard!$C$15="All",C174=Dashboard!$C$15),OR(Dashboard!$C$17="All",J174=Dashboard!$C$17)),1,0)</f>
        <v>1</v>
      </c>
      <c r="Q174" s="24">
        <f>IF(AND(L174=1,OR(Dashboard!$C$14="All",B174=Dashboard!$C$14),OR(Dashboard!$C$15="All",C174=Dashboard!$C$15),OR(Dashboard!$C$16="All",K174=Dashboard!$C$16),OR(Dashboard!$C$17="All",J174=Dashboard!$C$17)),1,0)</f>
        <v>1</v>
      </c>
      <c r="R174" s="24">
        <f>IF(AND(L174=1,OR(Dashboard!$C$13="All",A174=Dashboard!$C$13),OR(Dashboard!$C$14="All",B174=Dashboard!$C$14),OR(Dashboard!$C$15="All",C174=Dashboard!$C$15),OR(Dashboard!$C$16="All",K174=Dashboard!$C$16)),1,0)</f>
        <v>1</v>
      </c>
      <c r="S174" s="24">
        <f t="shared" si="3"/>
        <v>173</v>
      </c>
      <c r="T174" s="24" t="s">
        <v>480</v>
      </c>
      <c r="V174" s="24" t="s">
        <v>481</v>
      </c>
    </row>
    <row r="175" ht="15.75" customHeight="1">
      <c r="A175" s="10" t="s">
        <v>113</v>
      </c>
      <c r="B175" s="13"/>
      <c r="C175" s="10" t="s">
        <v>298</v>
      </c>
      <c r="D175" s="13">
        <v>11.0</v>
      </c>
      <c r="E175" s="17">
        <v>231.0</v>
      </c>
      <c r="F175" s="15">
        <f t="shared" si="1"/>
        <v>2541</v>
      </c>
      <c r="G175" s="6">
        <v>46317.0</v>
      </c>
      <c r="H175" s="22">
        <v>20.0</v>
      </c>
      <c r="I175" s="16">
        <f t="shared" si="2"/>
        <v>46457</v>
      </c>
      <c r="J175" s="13" t="s">
        <v>25</v>
      </c>
      <c r="K175" s="13" t="s">
        <v>31</v>
      </c>
      <c r="L175" s="24">
        <f>IF(A175="","",IF(OR(G175="",AND(G175&gt;=Dashboard!$C$18,G175&lt;=Dashboard!$C$19)),1,0))</f>
        <v>1</v>
      </c>
      <c r="M175" s="24">
        <f>IF(AND(L175=1,OR(Dashboard!$C$13="All",A175=Dashboard!$C$13),OR(Dashboard!$C$14="All",B175=Dashboard!$C$14),OR(Dashboard!$C$15="All",C175=Dashboard!$C$15),OR(Dashboard!$C$16="All",K175=Dashboard!$C$16),OR(Dashboard!$C$17="All",J175=Dashboard!$C$17)),1,0)</f>
        <v>1</v>
      </c>
      <c r="N175" s="24">
        <f>IF(AND(L175=1,OR(Dashboard!$C$13="All",A175=Dashboard!$C$13),OR(Dashboard!$C$14="All",B175=Dashboard!$C$14),OR(Dashboard!$C$16="All",K175=Dashboard!$C$16),OR(Dashboard!$C$17="All",J175=Dashboard!$C$17)),1,0)</f>
        <v>1</v>
      </c>
      <c r="O175" s="24">
        <f>IF(AND(L175=1,OR(Dashboard!$C$13="All",A175=Dashboard!$C$13),OR(Dashboard!$C$15="All",C175=Dashboard!$C$15),OR(Dashboard!$C$16="All",K175=Dashboard!$C$16),OR(Dashboard!$C$17="All",J175=Dashboard!$C$17)),1,0)</f>
        <v>1</v>
      </c>
      <c r="P175" s="24">
        <f>IF(AND(L175=1,OR(Dashboard!$C$13="All",A175=Dashboard!$C$13),OR(Dashboard!$C$14="All",B175=Dashboard!$C$14),OR(Dashboard!$C$15="All",C175=Dashboard!$C$15),OR(Dashboard!$C$17="All",J175=Dashboard!$C$17)),1,0)</f>
        <v>1</v>
      </c>
      <c r="Q175" s="24">
        <f>IF(AND(L175=1,OR(Dashboard!$C$14="All",B175=Dashboard!$C$14),OR(Dashboard!$C$15="All",C175=Dashboard!$C$15),OR(Dashboard!$C$16="All",K175=Dashboard!$C$16),OR(Dashboard!$C$17="All",J175=Dashboard!$C$17)),1,0)</f>
        <v>1</v>
      </c>
      <c r="R175" s="24">
        <f>IF(AND(L175=1,OR(Dashboard!$C$13="All",A175=Dashboard!$C$13),OR(Dashboard!$C$14="All",B175=Dashboard!$C$14),OR(Dashboard!$C$15="All",C175=Dashboard!$C$15),OR(Dashboard!$C$16="All",K175=Dashboard!$C$16)),1,0)</f>
        <v>1</v>
      </c>
      <c r="S175" s="24">
        <f t="shared" si="3"/>
        <v>174</v>
      </c>
      <c r="T175" s="24" t="s">
        <v>482</v>
      </c>
      <c r="V175" s="24" t="s">
        <v>232</v>
      </c>
    </row>
    <row r="176" ht="15.75" customHeight="1">
      <c r="A176" s="3" t="s">
        <v>247</v>
      </c>
      <c r="B176" s="4"/>
      <c r="C176" s="3" t="s">
        <v>315</v>
      </c>
      <c r="D176" s="4">
        <v>1000.0</v>
      </c>
      <c r="E176" s="14">
        <v>25.0</v>
      </c>
      <c r="F176" s="5">
        <f t="shared" si="1"/>
        <v>25000</v>
      </c>
      <c r="G176" s="6">
        <v>46318.0</v>
      </c>
      <c r="H176" s="22">
        <v>23.0</v>
      </c>
      <c r="I176" s="7">
        <f t="shared" si="2"/>
        <v>46479</v>
      </c>
      <c r="J176" s="4" t="s">
        <v>25</v>
      </c>
      <c r="K176" s="4" t="s">
        <v>31</v>
      </c>
      <c r="L176" s="24">
        <f>IF(A176="","",IF(OR(G176="",AND(G176&gt;=Dashboard!$C$18,G176&lt;=Dashboard!$C$19)),1,0))</f>
        <v>1</v>
      </c>
      <c r="M176" s="24">
        <f>IF(AND(L176=1,OR(Dashboard!$C$13="All",A176=Dashboard!$C$13),OR(Dashboard!$C$14="All",B176=Dashboard!$C$14),OR(Dashboard!$C$15="All",C176=Dashboard!$C$15),OR(Dashboard!$C$16="All",K176=Dashboard!$C$16),OR(Dashboard!$C$17="All",J176=Dashboard!$C$17)),1,0)</f>
        <v>1</v>
      </c>
      <c r="N176" s="24">
        <f>IF(AND(L176=1,OR(Dashboard!$C$13="All",A176=Dashboard!$C$13),OR(Dashboard!$C$14="All",B176=Dashboard!$C$14),OR(Dashboard!$C$16="All",K176=Dashboard!$C$16),OR(Dashboard!$C$17="All",J176=Dashboard!$C$17)),1,0)</f>
        <v>1</v>
      </c>
      <c r="O176" s="24">
        <f>IF(AND(L176=1,OR(Dashboard!$C$13="All",A176=Dashboard!$C$13),OR(Dashboard!$C$15="All",C176=Dashboard!$C$15),OR(Dashboard!$C$16="All",K176=Dashboard!$C$16),OR(Dashboard!$C$17="All",J176=Dashboard!$C$17)),1,0)</f>
        <v>1</v>
      </c>
      <c r="P176" s="24">
        <f>IF(AND(L176=1,OR(Dashboard!$C$13="All",A176=Dashboard!$C$13),OR(Dashboard!$C$14="All",B176=Dashboard!$C$14),OR(Dashboard!$C$15="All",C176=Dashboard!$C$15),OR(Dashboard!$C$17="All",J176=Dashboard!$C$17)),1,0)</f>
        <v>1</v>
      </c>
      <c r="Q176" s="24">
        <f>IF(AND(L176=1,OR(Dashboard!$C$14="All",B176=Dashboard!$C$14),OR(Dashboard!$C$15="All",C176=Dashboard!$C$15),OR(Dashboard!$C$16="All",K176=Dashboard!$C$16),OR(Dashboard!$C$17="All",J176=Dashboard!$C$17)),1,0)</f>
        <v>1</v>
      </c>
      <c r="R176" s="24">
        <f>IF(AND(L176=1,OR(Dashboard!$C$13="All",A176=Dashboard!$C$13),OR(Dashboard!$C$14="All",B176=Dashboard!$C$14),OR(Dashboard!$C$15="All",C176=Dashboard!$C$15),OR(Dashboard!$C$16="All",K176=Dashboard!$C$16)),1,0)</f>
        <v>1</v>
      </c>
      <c r="S176" s="24">
        <f t="shared" si="3"/>
        <v>175</v>
      </c>
      <c r="T176" s="24" t="s">
        <v>483</v>
      </c>
      <c r="V176" s="24" t="s">
        <v>484</v>
      </c>
    </row>
    <row r="177" ht="15.75" customHeight="1">
      <c r="A177" s="10" t="s">
        <v>247</v>
      </c>
      <c r="B177" s="13"/>
      <c r="C177" s="10" t="s">
        <v>388</v>
      </c>
      <c r="D177" s="13">
        <v>2.0</v>
      </c>
      <c r="E177" s="17">
        <v>245.0</v>
      </c>
      <c r="F177" s="15">
        <f t="shared" si="1"/>
        <v>490</v>
      </c>
      <c r="G177" s="6">
        <v>46319.0</v>
      </c>
      <c r="H177" s="22">
        <v>23.0</v>
      </c>
      <c r="I177" s="16">
        <f t="shared" si="2"/>
        <v>46480</v>
      </c>
      <c r="J177" s="13" t="s">
        <v>25</v>
      </c>
      <c r="K177" s="13" t="s">
        <v>31</v>
      </c>
      <c r="L177" s="24">
        <f>IF(A177="","",IF(OR(G177="",AND(G177&gt;=Dashboard!$C$18,G177&lt;=Dashboard!$C$19)),1,0))</f>
        <v>1</v>
      </c>
      <c r="M177" s="24">
        <f>IF(AND(L177=1,OR(Dashboard!$C$13="All",A177=Dashboard!$C$13),OR(Dashboard!$C$14="All",B177=Dashboard!$C$14),OR(Dashboard!$C$15="All",C177=Dashboard!$C$15),OR(Dashboard!$C$16="All",K177=Dashboard!$C$16),OR(Dashboard!$C$17="All",J177=Dashboard!$C$17)),1,0)</f>
        <v>1</v>
      </c>
      <c r="N177" s="24">
        <f>IF(AND(L177=1,OR(Dashboard!$C$13="All",A177=Dashboard!$C$13),OR(Dashboard!$C$14="All",B177=Dashboard!$C$14),OR(Dashboard!$C$16="All",K177=Dashboard!$C$16),OR(Dashboard!$C$17="All",J177=Dashboard!$C$17)),1,0)</f>
        <v>1</v>
      </c>
      <c r="O177" s="24">
        <f>IF(AND(L177=1,OR(Dashboard!$C$13="All",A177=Dashboard!$C$13),OR(Dashboard!$C$15="All",C177=Dashboard!$C$15),OR(Dashboard!$C$16="All",K177=Dashboard!$C$16),OR(Dashboard!$C$17="All",J177=Dashboard!$C$17)),1,0)</f>
        <v>1</v>
      </c>
      <c r="P177" s="24">
        <f>IF(AND(L177=1,OR(Dashboard!$C$13="All",A177=Dashboard!$C$13),OR(Dashboard!$C$14="All",B177=Dashboard!$C$14),OR(Dashboard!$C$15="All",C177=Dashboard!$C$15),OR(Dashboard!$C$17="All",J177=Dashboard!$C$17)),1,0)</f>
        <v>1</v>
      </c>
      <c r="Q177" s="24">
        <f>IF(AND(L177=1,OR(Dashboard!$C$14="All",B177=Dashboard!$C$14),OR(Dashboard!$C$15="All",C177=Dashboard!$C$15),OR(Dashboard!$C$16="All",K177=Dashboard!$C$16),OR(Dashboard!$C$17="All",J177=Dashboard!$C$17)),1,0)</f>
        <v>1</v>
      </c>
      <c r="R177" s="24">
        <f>IF(AND(L177=1,OR(Dashboard!$C$13="All",A177=Dashboard!$C$13),OR(Dashboard!$C$14="All",B177=Dashboard!$C$14),OR(Dashboard!$C$15="All",C177=Dashboard!$C$15),OR(Dashboard!$C$16="All",K177=Dashboard!$C$16)),1,0)</f>
        <v>1</v>
      </c>
      <c r="S177" s="24">
        <f t="shared" si="3"/>
        <v>176</v>
      </c>
      <c r="T177" s="24" t="s">
        <v>485</v>
      </c>
      <c r="V177" s="24" t="s">
        <v>258</v>
      </c>
    </row>
    <row r="178" ht="15.75" customHeight="1">
      <c r="A178" s="3" t="s">
        <v>247</v>
      </c>
      <c r="B178" s="4"/>
      <c r="C178" s="3" t="s">
        <v>76</v>
      </c>
      <c r="D178" s="4">
        <v>1.0</v>
      </c>
      <c r="E178" s="14">
        <v>2555.0</v>
      </c>
      <c r="F178" s="5">
        <f t="shared" si="1"/>
        <v>2555</v>
      </c>
      <c r="G178" s="6">
        <v>46320.0</v>
      </c>
      <c r="H178" s="22">
        <v>22.0</v>
      </c>
      <c r="I178" s="7">
        <f t="shared" si="2"/>
        <v>46474</v>
      </c>
      <c r="J178" s="4" t="s">
        <v>25</v>
      </c>
      <c r="K178" s="4" t="s">
        <v>31</v>
      </c>
      <c r="L178" s="24">
        <f>IF(A178="","",IF(OR(G178="",AND(G178&gt;=Dashboard!$C$18,G178&lt;=Dashboard!$C$19)),1,0))</f>
        <v>1</v>
      </c>
      <c r="M178" s="24">
        <f>IF(AND(L178=1,OR(Dashboard!$C$13="All",A178=Dashboard!$C$13),OR(Dashboard!$C$14="All",B178=Dashboard!$C$14),OR(Dashboard!$C$15="All",C178=Dashboard!$C$15),OR(Dashboard!$C$16="All",K178=Dashboard!$C$16),OR(Dashboard!$C$17="All",J178=Dashboard!$C$17)),1,0)</f>
        <v>1</v>
      </c>
      <c r="N178" s="24">
        <f>IF(AND(L178=1,OR(Dashboard!$C$13="All",A178=Dashboard!$C$13),OR(Dashboard!$C$14="All",B178=Dashboard!$C$14),OR(Dashboard!$C$16="All",K178=Dashboard!$C$16),OR(Dashboard!$C$17="All",J178=Dashboard!$C$17)),1,0)</f>
        <v>1</v>
      </c>
      <c r="O178" s="24">
        <f>IF(AND(L178=1,OR(Dashboard!$C$13="All",A178=Dashboard!$C$13),OR(Dashboard!$C$15="All",C178=Dashboard!$C$15),OR(Dashboard!$C$16="All",K178=Dashboard!$C$16),OR(Dashboard!$C$17="All",J178=Dashboard!$C$17)),1,0)</f>
        <v>1</v>
      </c>
      <c r="P178" s="24">
        <f>IF(AND(L178=1,OR(Dashboard!$C$13="All",A178=Dashboard!$C$13),OR(Dashboard!$C$14="All",B178=Dashboard!$C$14),OR(Dashboard!$C$15="All",C178=Dashboard!$C$15),OR(Dashboard!$C$17="All",J178=Dashboard!$C$17)),1,0)</f>
        <v>1</v>
      </c>
      <c r="Q178" s="24">
        <f>IF(AND(L178=1,OR(Dashboard!$C$14="All",B178=Dashboard!$C$14),OR(Dashboard!$C$15="All",C178=Dashboard!$C$15),OR(Dashboard!$C$16="All",K178=Dashboard!$C$16),OR(Dashboard!$C$17="All",J178=Dashboard!$C$17)),1,0)</f>
        <v>1</v>
      </c>
      <c r="R178" s="24">
        <f>IF(AND(L178=1,OR(Dashboard!$C$13="All",A178=Dashboard!$C$13),OR(Dashboard!$C$14="All",B178=Dashboard!$C$14),OR(Dashboard!$C$15="All",C178=Dashboard!$C$15),OR(Dashboard!$C$16="All",K178=Dashboard!$C$16)),1,0)</f>
        <v>1</v>
      </c>
      <c r="S178" s="24">
        <f t="shared" si="3"/>
        <v>177</v>
      </c>
      <c r="T178" s="24" t="s">
        <v>486</v>
      </c>
      <c r="V178" s="24" t="s">
        <v>65</v>
      </c>
    </row>
    <row r="179" ht="15.75" customHeight="1">
      <c r="A179" s="10" t="s">
        <v>247</v>
      </c>
      <c r="B179" s="13"/>
      <c r="C179" s="10" t="s">
        <v>79</v>
      </c>
      <c r="D179" s="13">
        <v>2.0</v>
      </c>
      <c r="E179" s="17">
        <v>255.0</v>
      </c>
      <c r="F179" s="15">
        <f t="shared" si="1"/>
        <v>510</v>
      </c>
      <c r="G179" s="6">
        <v>46321.0</v>
      </c>
      <c r="H179" s="22">
        <v>22.0</v>
      </c>
      <c r="I179" s="16">
        <f t="shared" si="2"/>
        <v>46475</v>
      </c>
      <c r="J179" s="13" t="s">
        <v>25</v>
      </c>
      <c r="K179" s="13" t="s">
        <v>31</v>
      </c>
      <c r="L179" s="24">
        <f>IF(A179="","",IF(OR(G179="",AND(G179&gt;=Dashboard!$C$18,G179&lt;=Dashboard!$C$19)),1,0))</f>
        <v>1</v>
      </c>
      <c r="M179" s="24">
        <f>IF(AND(L179=1,OR(Dashboard!$C$13="All",A179=Dashboard!$C$13),OR(Dashboard!$C$14="All",B179=Dashboard!$C$14),OR(Dashboard!$C$15="All",C179=Dashboard!$C$15),OR(Dashboard!$C$16="All",K179=Dashboard!$C$16),OR(Dashboard!$C$17="All",J179=Dashboard!$C$17)),1,0)</f>
        <v>1</v>
      </c>
      <c r="N179" s="24">
        <f>IF(AND(L179=1,OR(Dashboard!$C$13="All",A179=Dashboard!$C$13),OR(Dashboard!$C$14="All",B179=Dashboard!$C$14),OR(Dashboard!$C$16="All",K179=Dashboard!$C$16),OR(Dashboard!$C$17="All",J179=Dashboard!$C$17)),1,0)</f>
        <v>1</v>
      </c>
      <c r="O179" s="24">
        <f>IF(AND(L179=1,OR(Dashboard!$C$13="All",A179=Dashboard!$C$13),OR(Dashboard!$C$15="All",C179=Dashboard!$C$15),OR(Dashboard!$C$16="All",K179=Dashboard!$C$16),OR(Dashboard!$C$17="All",J179=Dashboard!$C$17)),1,0)</f>
        <v>1</v>
      </c>
      <c r="P179" s="24">
        <f>IF(AND(L179=1,OR(Dashboard!$C$13="All",A179=Dashboard!$C$13),OR(Dashboard!$C$14="All",B179=Dashboard!$C$14),OR(Dashboard!$C$15="All",C179=Dashboard!$C$15),OR(Dashboard!$C$17="All",J179=Dashboard!$C$17)),1,0)</f>
        <v>1</v>
      </c>
      <c r="Q179" s="24">
        <f>IF(AND(L179=1,OR(Dashboard!$C$14="All",B179=Dashboard!$C$14),OR(Dashboard!$C$15="All",C179=Dashboard!$C$15),OR(Dashboard!$C$16="All",K179=Dashboard!$C$16),OR(Dashboard!$C$17="All",J179=Dashboard!$C$17)),1,0)</f>
        <v>1</v>
      </c>
      <c r="R179" s="24">
        <f>IF(AND(L179=1,OR(Dashboard!$C$13="All",A179=Dashboard!$C$13),OR(Dashboard!$C$14="All",B179=Dashboard!$C$14),OR(Dashboard!$C$15="All",C179=Dashboard!$C$15),OR(Dashboard!$C$16="All",K179=Dashboard!$C$16)),1,0)</f>
        <v>1</v>
      </c>
      <c r="S179" s="24">
        <f t="shared" si="3"/>
        <v>178</v>
      </c>
      <c r="T179" s="24" t="s">
        <v>487</v>
      </c>
      <c r="V179" s="24" t="s">
        <v>425</v>
      </c>
    </row>
    <row r="180" ht="15.75" customHeight="1">
      <c r="A180" s="3" t="s">
        <v>247</v>
      </c>
      <c r="B180" s="4"/>
      <c r="C180" s="3" t="s">
        <v>211</v>
      </c>
      <c r="D180" s="4">
        <v>2.0</v>
      </c>
      <c r="E180" s="14">
        <v>45.0</v>
      </c>
      <c r="F180" s="5">
        <f t="shared" si="1"/>
        <v>90</v>
      </c>
      <c r="G180" s="6">
        <v>46322.0</v>
      </c>
      <c r="H180" s="22">
        <v>22.0</v>
      </c>
      <c r="I180" s="7">
        <f t="shared" si="2"/>
        <v>46476</v>
      </c>
      <c r="J180" s="4" t="s">
        <v>25</v>
      </c>
      <c r="K180" s="4" t="s">
        <v>31</v>
      </c>
      <c r="L180" s="24">
        <f>IF(A180="","",IF(OR(G180="",AND(G180&gt;=Dashboard!$C$18,G180&lt;=Dashboard!$C$19)),1,0))</f>
        <v>1</v>
      </c>
      <c r="M180" s="24">
        <f>IF(AND(L180=1,OR(Dashboard!$C$13="All",A180=Dashboard!$C$13),OR(Dashboard!$C$14="All",B180=Dashboard!$C$14),OR(Dashboard!$C$15="All",C180=Dashboard!$C$15),OR(Dashboard!$C$16="All",K180=Dashboard!$C$16),OR(Dashboard!$C$17="All",J180=Dashboard!$C$17)),1,0)</f>
        <v>1</v>
      </c>
      <c r="N180" s="24">
        <f>IF(AND(L180=1,OR(Dashboard!$C$13="All",A180=Dashboard!$C$13),OR(Dashboard!$C$14="All",B180=Dashboard!$C$14),OR(Dashboard!$C$16="All",K180=Dashboard!$C$16),OR(Dashboard!$C$17="All",J180=Dashboard!$C$17)),1,0)</f>
        <v>1</v>
      </c>
      <c r="O180" s="24">
        <f>IF(AND(L180=1,OR(Dashboard!$C$13="All",A180=Dashboard!$C$13),OR(Dashboard!$C$15="All",C180=Dashboard!$C$15),OR(Dashboard!$C$16="All",K180=Dashboard!$C$16),OR(Dashboard!$C$17="All",J180=Dashboard!$C$17)),1,0)</f>
        <v>1</v>
      </c>
      <c r="P180" s="24">
        <f>IF(AND(L180=1,OR(Dashboard!$C$13="All",A180=Dashboard!$C$13),OR(Dashboard!$C$14="All",B180=Dashboard!$C$14),OR(Dashboard!$C$15="All",C180=Dashboard!$C$15),OR(Dashboard!$C$17="All",J180=Dashboard!$C$17)),1,0)</f>
        <v>1</v>
      </c>
      <c r="Q180" s="24">
        <f>IF(AND(L180=1,OR(Dashboard!$C$14="All",B180=Dashboard!$C$14),OR(Dashboard!$C$15="All",C180=Dashboard!$C$15),OR(Dashboard!$C$16="All",K180=Dashboard!$C$16),OR(Dashboard!$C$17="All",J180=Dashboard!$C$17)),1,0)</f>
        <v>1</v>
      </c>
      <c r="R180" s="24">
        <f>IF(AND(L180=1,OR(Dashboard!$C$13="All",A180=Dashboard!$C$13),OR(Dashboard!$C$14="All",B180=Dashboard!$C$14),OR(Dashboard!$C$15="All",C180=Dashboard!$C$15),OR(Dashboard!$C$16="All",K180=Dashboard!$C$16)),1,0)</f>
        <v>1</v>
      </c>
      <c r="S180" s="24">
        <f t="shared" si="3"/>
        <v>179</v>
      </c>
      <c r="T180" s="24" t="s">
        <v>488</v>
      </c>
      <c r="V180" s="24" t="s">
        <v>489</v>
      </c>
    </row>
    <row r="181" ht="15.75" customHeight="1">
      <c r="A181" s="10" t="s">
        <v>247</v>
      </c>
      <c r="B181" s="13"/>
      <c r="C181" s="10" t="s">
        <v>490</v>
      </c>
      <c r="D181" s="13">
        <v>1.0</v>
      </c>
      <c r="E181" s="17">
        <v>36.0</v>
      </c>
      <c r="F181" s="15">
        <f t="shared" si="1"/>
        <v>36</v>
      </c>
      <c r="G181" s="6">
        <v>46323.0</v>
      </c>
      <c r="H181" s="22">
        <v>22.0</v>
      </c>
      <c r="I181" s="16">
        <f t="shared" si="2"/>
        <v>46477</v>
      </c>
      <c r="J181" s="13" t="s">
        <v>25</v>
      </c>
      <c r="K181" s="13" t="s">
        <v>31</v>
      </c>
      <c r="L181" s="24">
        <f>IF(A181="","",IF(OR(G181="",AND(G181&gt;=Dashboard!$C$18,G181&lt;=Dashboard!$C$19)),1,0))</f>
        <v>1</v>
      </c>
      <c r="M181" s="24">
        <f>IF(AND(L181=1,OR(Dashboard!$C$13="All",A181=Dashboard!$C$13),OR(Dashboard!$C$14="All",B181=Dashboard!$C$14),OR(Dashboard!$C$15="All",C181=Dashboard!$C$15),OR(Dashboard!$C$16="All",K181=Dashboard!$C$16),OR(Dashboard!$C$17="All",J181=Dashboard!$C$17)),1,0)</f>
        <v>1</v>
      </c>
      <c r="N181" s="24">
        <f>IF(AND(L181=1,OR(Dashboard!$C$13="All",A181=Dashboard!$C$13),OR(Dashboard!$C$14="All",B181=Dashboard!$C$14),OR(Dashboard!$C$16="All",K181=Dashboard!$C$16),OR(Dashboard!$C$17="All",J181=Dashboard!$C$17)),1,0)</f>
        <v>1</v>
      </c>
      <c r="O181" s="24">
        <f>IF(AND(L181=1,OR(Dashboard!$C$13="All",A181=Dashboard!$C$13),OR(Dashboard!$C$15="All",C181=Dashboard!$C$15),OR(Dashboard!$C$16="All",K181=Dashboard!$C$16),OR(Dashboard!$C$17="All",J181=Dashboard!$C$17)),1,0)</f>
        <v>1</v>
      </c>
      <c r="P181" s="24">
        <f>IF(AND(L181=1,OR(Dashboard!$C$13="All",A181=Dashboard!$C$13),OR(Dashboard!$C$14="All",B181=Dashboard!$C$14),OR(Dashboard!$C$15="All",C181=Dashboard!$C$15),OR(Dashboard!$C$17="All",J181=Dashboard!$C$17)),1,0)</f>
        <v>1</v>
      </c>
      <c r="Q181" s="24">
        <f>IF(AND(L181=1,OR(Dashboard!$C$14="All",B181=Dashboard!$C$14),OR(Dashboard!$C$15="All",C181=Dashboard!$C$15),OR(Dashboard!$C$16="All",K181=Dashboard!$C$16),OR(Dashboard!$C$17="All",J181=Dashboard!$C$17)),1,0)</f>
        <v>1</v>
      </c>
      <c r="R181" s="24">
        <f>IF(AND(L181=1,OR(Dashboard!$C$13="All",A181=Dashboard!$C$13),OR(Dashboard!$C$14="All",B181=Dashboard!$C$14),OR(Dashboard!$C$15="All",C181=Dashboard!$C$15),OR(Dashboard!$C$16="All",K181=Dashboard!$C$16)),1,0)</f>
        <v>1</v>
      </c>
      <c r="S181" s="24">
        <f t="shared" si="3"/>
        <v>180</v>
      </c>
      <c r="T181" s="24" t="s">
        <v>491</v>
      </c>
      <c r="V181" s="24" t="s">
        <v>492</v>
      </c>
    </row>
    <row r="182" ht="15.75" customHeight="1">
      <c r="A182" s="3" t="s">
        <v>207</v>
      </c>
      <c r="B182" s="4" t="s">
        <v>137</v>
      </c>
      <c r="C182" s="3" t="s">
        <v>251</v>
      </c>
      <c r="D182" s="4">
        <v>2.0</v>
      </c>
      <c r="E182" s="14">
        <v>96.0</v>
      </c>
      <c r="F182" s="5">
        <f t="shared" si="1"/>
        <v>192</v>
      </c>
      <c r="G182" s="6">
        <v>46324.0</v>
      </c>
      <c r="H182" s="22">
        <v>24.0</v>
      </c>
      <c r="I182" s="7">
        <f t="shared" si="2"/>
        <v>46492</v>
      </c>
      <c r="J182" s="4" t="s">
        <v>25</v>
      </c>
      <c r="K182" s="4" t="s">
        <v>31</v>
      </c>
      <c r="L182" s="24">
        <f>IF(A182="","",IF(OR(G182="",AND(G182&gt;=Dashboard!$C$18,G182&lt;=Dashboard!$C$19)),1,0))</f>
        <v>1</v>
      </c>
      <c r="M182" s="24">
        <f>IF(AND(L182=1,OR(Dashboard!$C$13="All",A182=Dashboard!$C$13),OR(Dashboard!$C$14="All",B182=Dashboard!$C$14),OR(Dashboard!$C$15="All",C182=Dashboard!$C$15),OR(Dashboard!$C$16="All",K182=Dashboard!$C$16),OR(Dashboard!$C$17="All",J182=Dashboard!$C$17)),1,0)</f>
        <v>1</v>
      </c>
      <c r="N182" s="24">
        <f>IF(AND(L182=1,OR(Dashboard!$C$13="All",A182=Dashboard!$C$13),OR(Dashboard!$C$14="All",B182=Dashboard!$C$14),OR(Dashboard!$C$16="All",K182=Dashboard!$C$16),OR(Dashboard!$C$17="All",J182=Dashboard!$C$17)),1,0)</f>
        <v>1</v>
      </c>
      <c r="O182" s="24">
        <f>IF(AND(L182=1,OR(Dashboard!$C$13="All",A182=Dashboard!$C$13),OR(Dashboard!$C$15="All",C182=Dashboard!$C$15),OR(Dashboard!$C$16="All",K182=Dashboard!$C$16),OR(Dashboard!$C$17="All",J182=Dashboard!$C$17)),1,0)</f>
        <v>1</v>
      </c>
      <c r="P182" s="24">
        <f>IF(AND(L182=1,OR(Dashboard!$C$13="All",A182=Dashboard!$C$13),OR(Dashboard!$C$14="All",B182=Dashboard!$C$14),OR(Dashboard!$C$15="All",C182=Dashboard!$C$15),OR(Dashboard!$C$17="All",J182=Dashboard!$C$17)),1,0)</f>
        <v>1</v>
      </c>
      <c r="Q182" s="24">
        <f>IF(AND(L182=1,OR(Dashboard!$C$14="All",B182=Dashboard!$C$14),OR(Dashboard!$C$15="All",C182=Dashboard!$C$15),OR(Dashboard!$C$16="All",K182=Dashboard!$C$16),OR(Dashboard!$C$17="All",J182=Dashboard!$C$17)),1,0)</f>
        <v>1</v>
      </c>
      <c r="R182" s="24">
        <f>IF(AND(L182=1,OR(Dashboard!$C$13="All",A182=Dashboard!$C$13),OR(Dashboard!$C$14="All",B182=Dashboard!$C$14),OR(Dashboard!$C$15="All",C182=Dashboard!$C$15),OR(Dashboard!$C$16="All",K182=Dashboard!$C$16)),1,0)</f>
        <v>1</v>
      </c>
      <c r="S182" s="24">
        <f t="shared" si="3"/>
        <v>181</v>
      </c>
      <c r="T182" s="24" t="s">
        <v>493</v>
      </c>
      <c r="V182" s="24" t="s">
        <v>494</v>
      </c>
    </row>
    <row r="183" ht="15.75" customHeight="1">
      <c r="A183" s="10" t="s">
        <v>207</v>
      </c>
      <c r="B183" s="13"/>
      <c r="C183" s="10" t="s">
        <v>495</v>
      </c>
      <c r="D183" s="13">
        <v>100.0</v>
      </c>
      <c r="E183" s="17">
        <v>8.0</v>
      </c>
      <c r="F183" s="15">
        <f t="shared" si="1"/>
        <v>800</v>
      </c>
      <c r="G183" s="6">
        <v>46325.0</v>
      </c>
      <c r="H183" s="22">
        <v>15.0</v>
      </c>
      <c r="I183" s="16">
        <f t="shared" si="2"/>
        <v>46430</v>
      </c>
      <c r="J183" s="13" t="s">
        <v>25</v>
      </c>
      <c r="K183" s="13" t="s">
        <v>31</v>
      </c>
      <c r="L183" s="24">
        <f>IF(A183="","",IF(OR(G183="",AND(G183&gt;=Dashboard!$C$18,G183&lt;=Dashboard!$C$19)),1,0))</f>
        <v>1</v>
      </c>
      <c r="M183" s="24">
        <f>IF(AND(L183=1,OR(Dashboard!$C$13="All",A183=Dashboard!$C$13),OR(Dashboard!$C$14="All",B183=Dashboard!$C$14),OR(Dashboard!$C$15="All",C183=Dashboard!$C$15),OR(Dashboard!$C$16="All",K183=Dashboard!$C$16),OR(Dashboard!$C$17="All",J183=Dashboard!$C$17)),1,0)</f>
        <v>1</v>
      </c>
      <c r="N183" s="24">
        <f>IF(AND(L183=1,OR(Dashboard!$C$13="All",A183=Dashboard!$C$13),OR(Dashboard!$C$14="All",B183=Dashboard!$C$14),OR(Dashboard!$C$16="All",K183=Dashboard!$C$16),OR(Dashboard!$C$17="All",J183=Dashboard!$C$17)),1,0)</f>
        <v>1</v>
      </c>
      <c r="O183" s="24">
        <f>IF(AND(L183=1,OR(Dashboard!$C$13="All",A183=Dashboard!$C$13),OR(Dashboard!$C$15="All",C183=Dashboard!$C$15),OR(Dashboard!$C$16="All",K183=Dashboard!$C$16),OR(Dashboard!$C$17="All",J183=Dashboard!$C$17)),1,0)</f>
        <v>1</v>
      </c>
      <c r="P183" s="24">
        <f>IF(AND(L183=1,OR(Dashboard!$C$13="All",A183=Dashboard!$C$13),OR(Dashboard!$C$14="All",B183=Dashboard!$C$14),OR(Dashboard!$C$15="All",C183=Dashboard!$C$15),OR(Dashboard!$C$17="All",J183=Dashboard!$C$17)),1,0)</f>
        <v>1</v>
      </c>
      <c r="Q183" s="24">
        <f>IF(AND(L183=1,OR(Dashboard!$C$14="All",B183=Dashboard!$C$14),OR(Dashboard!$C$15="All",C183=Dashboard!$C$15),OR(Dashboard!$C$16="All",K183=Dashboard!$C$16),OR(Dashboard!$C$17="All",J183=Dashboard!$C$17)),1,0)</f>
        <v>1</v>
      </c>
      <c r="R183" s="24">
        <f>IF(AND(L183=1,OR(Dashboard!$C$13="All",A183=Dashboard!$C$13),OR(Dashboard!$C$14="All",B183=Dashboard!$C$14),OR(Dashboard!$C$15="All",C183=Dashboard!$C$15),OR(Dashboard!$C$16="All",K183=Dashboard!$C$16)),1,0)</f>
        <v>1</v>
      </c>
      <c r="S183" s="24">
        <f t="shared" si="3"/>
        <v>182</v>
      </c>
      <c r="T183" s="24" t="s">
        <v>496</v>
      </c>
      <c r="V183" s="24" t="s">
        <v>361</v>
      </c>
    </row>
    <row r="184" ht="15.75" customHeight="1">
      <c r="A184" s="3" t="s">
        <v>250</v>
      </c>
      <c r="B184" s="4"/>
      <c r="C184" s="3" t="s">
        <v>417</v>
      </c>
      <c r="D184" s="4">
        <v>1.0</v>
      </c>
      <c r="E184" s="14">
        <v>5.0</v>
      </c>
      <c r="F184" s="5">
        <f t="shared" si="1"/>
        <v>5</v>
      </c>
      <c r="G184" s="6">
        <v>46326.0</v>
      </c>
      <c r="H184" s="22">
        <v>12.0</v>
      </c>
      <c r="I184" s="7">
        <f t="shared" si="2"/>
        <v>46410</v>
      </c>
      <c r="J184" s="4" t="s">
        <v>25</v>
      </c>
      <c r="K184" s="4" t="s">
        <v>31</v>
      </c>
      <c r="L184" s="24">
        <f>IF(A184="","",IF(OR(G184="",AND(G184&gt;=Dashboard!$C$18,G184&lt;=Dashboard!$C$19)),1,0))</f>
        <v>1</v>
      </c>
      <c r="M184" s="24">
        <f>IF(AND(L184=1,OR(Dashboard!$C$13="All",A184=Dashboard!$C$13),OR(Dashboard!$C$14="All",B184=Dashboard!$C$14),OR(Dashboard!$C$15="All",C184=Dashboard!$C$15),OR(Dashboard!$C$16="All",K184=Dashboard!$C$16),OR(Dashboard!$C$17="All",J184=Dashboard!$C$17)),1,0)</f>
        <v>1</v>
      </c>
      <c r="N184" s="24">
        <f>IF(AND(L184=1,OR(Dashboard!$C$13="All",A184=Dashboard!$C$13),OR(Dashboard!$C$14="All",B184=Dashboard!$C$14),OR(Dashboard!$C$16="All",K184=Dashboard!$C$16),OR(Dashboard!$C$17="All",J184=Dashboard!$C$17)),1,0)</f>
        <v>1</v>
      </c>
      <c r="O184" s="24">
        <f>IF(AND(L184=1,OR(Dashboard!$C$13="All",A184=Dashboard!$C$13),OR(Dashboard!$C$15="All",C184=Dashboard!$C$15),OR(Dashboard!$C$16="All",K184=Dashboard!$C$16),OR(Dashboard!$C$17="All",J184=Dashboard!$C$17)),1,0)</f>
        <v>1</v>
      </c>
      <c r="P184" s="24">
        <f>IF(AND(L184=1,OR(Dashboard!$C$13="All",A184=Dashboard!$C$13),OR(Dashboard!$C$14="All",B184=Dashboard!$C$14),OR(Dashboard!$C$15="All",C184=Dashboard!$C$15),OR(Dashboard!$C$17="All",J184=Dashboard!$C$17)),1,0)</f>
        <v>1</v>
      </c>
      <c r="Q184" s="24">
        <f>IF(AND(L184=1,OR(Dashboard!$C$14="All",B184=Dashboard!$C$14),OR(Dashboard!$C$15="All",C184=Dashboard!$C$15),OR(Dashboard!$C$16="All",K184=Dashboard!$C$16),OR(Dashboard!$C$17="All",J184=Dashboard!$C$17)),1,0)</f>
        <v>1</v>
      </c>
      <c r="R184" s="24">
        <f>IF(AND(L184=1,OR(Dashboard!$C$13="All",A184=Dashboard!$C$13),OR(Dashboard!$C$14="All",B184=Dashboard!$C$14),OR(Dashboard!$C$15="All",C184=Dashboard!$C$15),OR(Dashboard!$C$16="All",K184=Dashboard!$C$16)),1,0)</f>
        <v>1</v>
      </c>
      <c r="S184" s="24">
        <f t="shared" si="3"/>
        <v>183</v>
      </c>
      <c r="T184" s="24" t="s">
        <v>497</v>
      </c>
      <c r="V184" s="24" t="s">
        <v>402</v>
      </c>
    </row>
    <row r="185" ht="15.75" customHeight="1">
      <c r="A185" s="10" t="s">
        <v>80</v>
      </c>
      <c r="B185" s="13"/>
      <c r="C185" s="10" t="s">
        <v>377</v>
      </c>
      <c r="D185" s="13">
        <v>4.0</v>
      </c>
      <c r="E185" s="17">
        <v>4.0</v>
      </c>
      <c r="F185" s="15">
        <f t="shared" si="1"/>
        <v>16</v>
      </c>
      <c r="G185" s="6">
        <v>46327.0</v>
      </c>
      <c r="H185" s="22">
        <v>12.0</v>
      </c>
      <c r="I185" s="16">
        <f t="shared" si="2"/>
        <v>46411</v>
      </c>
      <c r="J185" s="13" t="s">
        <v>25</v>
      </c>
      <c r="K185" s="13" t="s">
        <v>31</v>
      </c>
      <c r="L185" s="24">
        <f>IF(A185="","",IF(OR(G185="",AND(G185&gt;=Dashboard!$C$18,G185&lt;=Dashboard!$C$19)),1,0))</f>
        <v>1</v>
      </c>
      <c r="M185" s="24">
        <f>IF(AND(L185=1,OR(Dashboard!$C$13="All",A185=Dashboard!$C$13),OR(Dashboard!$C$14="All",B185=Dashboard!$C$14),OR(Dashboard!$C$15="All",C185=Dashboard!$C$15),OR(Dashboard!$C$16="All",K185=Dashboard!$C$16),OR(Dashboard!$C$17="All",J185=Dashboard!$C$17)),1,0)</f>
        <v>1</v>
      </c>
      <c r="N185" s="24">
        <f>IF(AND(L185=1,OR(Dashboard!$C$13="All",A185=Dashboard!$C$13),OR(Dashboard!$C$14="All",B185=Dashboard!$C$14),OR(Dashboard!$C$16="All",K185=Dashboard!$C$16),OR(Dashboard!$C$17="All",J185=Dashboard!$C$17)),1,0)</f>
        <v>1</v>
      </c>
      <c r="O185" s="24">
        <f>IF(AND(L185=1,OR(Dashboard!$C$13="All",A185=Dashboard!$C$13),OR(Dashboard!$C$15="All",C185=Dashboard!$C$15),OR(Dashboard!$C$16="All",K185=Dashboard!$C$16),OR(Dashboard!$C$17="All",J185=Dashboard!$C$17)),1,0)</f>
        <v>1</v>
      </c>
      <c r="P185" s="24">
        <f>IF(AND(L185=1,OR(Dashboard!$C$13="All",A185=Dashboard!$C$13),OR(Dashboard!$C$14="All",B185=Dashboard!$C$14),OR(Dashboard!$C$15="All",C185=Dashboard!$C$15),OR(Dashboard!$C$17="All",J185=Dashboard!$C$17)),1,0)</f>
        <v>1</v>
      </c>
      <c r="Q185" s="24">
        <f>IF(AND(L185=1,OR(Dashboard!$C$14="All",B185=Dashboard!$C$14),OR(Dashboard!$C$15="All",C185=Dashboard!$C$15),OR(Dashboard!$C$16="All",K185=Dashboard!$C$16),OR(Dashboard!$C$17="All",J185=Dashboard!$C$17)),1,0)</f>
        <v>1</v>
      </c>
      <c r="R185" s="24">
        <f>IF(AND(L185=1,OR(Dashboard!$C$13="All",A185=Dashboard!$C$13),OR(Dashboard!$C$14="All",B185=Dashboard!$C$14),OR(Dashboard!$C$15="All",C185=Dashboard!$C$15),OR(Dashboard!$C$16="All",K185=Dashboard!$C$16)),1,0)</f>
        <v>1</v>
      </c>
      <c r="S185" s="24">
        <f t="shared" si="3"/>
        <v>184</v>
      </c>
      <c r="T185" s="24" t="s">
        <v>498</v>
      </c>
      <c r="V185" s="24" t="s">
        <v>210</v>
      </c>
    </row>
    <row r="186" ht="15.75" customHeight="1">
      <c r="A186" s="3" t="s">
        <v>80</v>
      </c>
      <c r="B186" s="4"/>
      <c r="C186" s="3" t="s">
        <v>499</v>
      </c>
      <c r="D186" s="4">
        <v>1.0</v>
      </c>
      <c r="E186" s="14">
        <v>2.0</v>
      </c>
      <c r="F186" s="5">
        <f t="shared" si="1"/>
        <v>2</v>
      </c>
      <c r="G186" s="6">
        <v>46328.0</v>
      </c>
      <c r="H186" s="22">
        <v>14.0</v>
      </c>
      <c r="I186" s="7">
        <f t="shared" si="2"/>
        <v>46426</v>
      </c>
      <c r="J186" s="4" t="s">
        <v>25</v>
      </c>
      <c r="K186" s="4" t="s">
        <v>31</v>
      </c>
      <c r="L186" s="24">
        <f>IF(A186="","",IF(OR(G186="",AND(G186&gt;=Dashboard!$C$18,G186&lt;=Dashboard!$C$19)),1,0))</f>
        <v>1</v>
      </c>
      <c r="M186" s="24">
        <f>IF(AND(L186=1,OR(Dashboard!$C$13="All",A186=Dashboard!$C$13),OR(Dashboard!$C$14="All",B186=Dashboard!$C$14),OR(Dashboard!$C$15="All",C186=Dashboard!$C$15),OR(Dashboard!$C$16="All",K186=Dashboard!$C$16),OR(Dashboard!$C$17="All",J186=Dashboard!$C$17)),1,0)</f>
        <v>1</v>
      </c>
      <c r="N186" s="24">
        <f>IF(AND(L186=1,OR(Dashboard!$C$13="All",A186=Dashboard!$C$13),OR(Dashboard!$C$14="All",B186=Dashboard!$C$14),OR(Dashboard!$C$16="All",K186=Dashboard!$C$16),OR(Dashboard!$C$17="All",J186=Dashboard!$C$17)),1,0)</f>
        <v>1</v>
      </c>
      <c r="O186" s="24">
        <f>IF(AND(L186=1,OR(Dashboard!$C$13="All",A186=Dashboard!$C$13),OR(Dashboard!$C$15="All",C186=Dashboard!$C$15),OR(Dashboard!$C$16="All",K186=Dashboard!$C$16),OR(Dashboard!$C$17="All",J186=Dashboard!$C$17)),1,0)</f>
        <v>1</v>
      </c>
      <c r="P186" s="24">
        <f>IF(AND(L186=1,OR(Dashboard!$C$13="All",A186=Dashboard!$C$13),OR(Dashboard!$C$14="All",B186=Dashboard!$C$14),OR(Dashboard!$C$15="All",C186=Dashboard!$C$15),OR(Dashboard!$C$17="All",J186=Dashboard!$C$17)),1,0)</f>
        <v>1</v>
      </c>
      <c r="Q186" s="24">
        <f>IF(AND(L186=1,OR(Dashboard!$C$14="All",B186=Dashboard!$C$14),OR(Dashboard!$C$15="All",C186=Dashboard!$C$15),OR(Dashboard!$C$16="All",K186=Dashboard!$C$16),OR(Dashboard!$C$17="All",J186=Dashboard!$C$17)),1,0)</f>
        <v>1</v>
      </c>
      <c r="R186" s="24">
        <f>IF(AND(L186=1,OR(Dashboard!$C$13="All",A186=Dashboard!$C$13),OR(Dashboard!$C$14="All",B186=Dashboard!$C$14),OR(Dashboard!$C$15="All",C186=Dashboard!$C$15),OR(Dashboard!$C$16="All",K186=Dashboard!$C$16)),1,0)</f>
        <v>1</v>
      </c>
      <c r="S186" s="24">
        <f t="shared" si="3"/>
        <v>185</v>
      </c>
      <c r="T186" s="24" t="s">
        <v>500</v>
      </c>
      <c r="V186" s="24" t="s">
        <v>430</v>
      </c>
    </row>
    <row r="187" ht="15.75" customHeight="1">
      <c r="A187" s="10" t="s">
        <v>253</v>
      </c>
      <c r="B187" s="13"/>
      <c r="C187" s="10" t="s">
        <v>501</v>
      </c>
      <c r="D187" s="13">
        <v>2.0</v>
      </c>
      <c r="E187" s="17">
        <v>36.0</v>
      </c>
      <c r="F187" s="15">
        <f t="shared" si="1"/>
        <v>72</v>
      </c>
      <c r="G187" s="6">
        <v>46329.0</v>
      </c>
      <c r="H187" s="22">
        <v>12.0</v>
      </c>
      <c r="I187" s="16">
        <f t="shared" si="2"/>
        <v>46413</v>
      </c>
      <c r="J187" s="13" t="s">
        <v>25</v>
      </c>
      <c r="K187" s="13" t="s">
        <v>31</v>
      </c>
      <c r="L187" s="24">
        <f>IF(A187="","",IF(OR(G187="",AND(G187&gt;=Dashboard!$C$18,G187&lt;=Dashboard!$C$19)),1,0))</f>
        <v>1</v>
      </c>
      <c r="M187" s="24">
        <f>IF(AND(L187=1,OR(Dashboard!$C$13="All",A187=Dashboard!$C$13),OR(Dashboard!$C$14="All",B187=Dashboard!$C$14),OR(Dashboard!$C$15="All",C187=Dashboard!$C$15),OR(Dashboard!$C$16="All",K187=Dashboard!$C$16),OR(Dashboard!$C$17="All",J187=Dashboard!$C$17)),1,0)</f>
        <v>1</v>
      </c>
      <c r="N187" s="24">
        <f>IF(AND(L187=1,OR(Dashboard!$C$13="All",A187=Dashboard!$C$13),OR(Dashboard!$C$14="All",B187=Dashboard!$C$14),OR(Dashboard!$C$16="All",K187=Dashboard!$C$16),OR(Dashboard!$C$17="All",J187=Dashboard!$C$17)),1,0)</f>
        <v>1</v>
      </c>
      <c r="O187" s="24">
        <f>IF(AND(L187=1,OR(Dashboard!$C$13="All",A187=Dashboard!$C$13),OR(Dashboard!$C$15="All",C187=Dashboard!$C$15),OR(Dashboard!$C$16="All",K187=Dashboard!$C$16),OR(Dashboard!$C$17="All",J187=Dashboard!$C$17)),1,0)</f>
        <v>1</v>
      </c>
      <c r="P187" s="24">
        <f>IF(AND(L187=1,OR(Dashboard!$C$13="All",A187=Dashboard!$C$13),OR(Dashboard!$C$14="All",B187=Dashboard!$C$14),OR(Dashboard!$C$15="All",C187=Dashboard!$C$15),OR(Dashboard!$C$17="All",J187=Dashboard!$C$17)),1,0)</f>
        <v>1</v>
      </c>
      <c r="Q187" s="24">
        <f>IF(AND(L187=1,OR(Dashboard!$C$14="All",B187=Dashboard!$C$14),OR(Dashboard!$C$15="All",C187=Dashboard!$C$15),OR(Dashboard!$C$16="All",K187=Dashboard!$C$16),OR(Dashboard!$C$17="All",J187=Dashboard!$C$17)),1,0)</f>
        <v>1</v>
      </c>
      <c r="R187" s="24">
        <f>IF(AND(L187=1,OR(Dashboard!$C$13="All",A187=Dashboard!$C$13),OR(Dashboard!$C$14="All",B187=Dashboard!$C$14),OR(Dashboard!$C$15="All",C187=Dashboard!$C$15),OR(Dashboard!$C$16="All",K187=Dashboard!$C$16)),1,0)</f>
        <v>1</v>
      </c>
      <c r="S187" s="24">
        <f t="shared" si="3"/>
        <v>186</v>
      </c>
      <c r="T187" s="24" t="s">
        <v>502</v>
      </c>
      <c r="V187" s="24" t="s">
        <v>503</v>
      </c>
    </row>
    <row r="188" ht="15.75" customHeight="1">
      <c r="A188" s="3" t="s">
        <v>253</v>
      </c>
      <c r="B188" s="4"/>
      <c r="C188" s="3" t="s">
        <v>504</v>
      </c>
      <c r="D188" s="4">
        <v>1.0</v>
      </c>
      <c r="E188" s="5">
        <v>2.0</v>
      </c>
      <c r="F188" s="5">
        <f t="shared" si="1"/>
        <v>2</v>
      </c>
      <c r="G188" s="6">
        <v>46330.0</v>
      </c>
      <c r="H188" s="22">
        <v>12.0</v>
      </c>
      <c r="I188" s="7">
        <f t="shared" si="2"/>
        <v>46414</v>
      </c>
      <c r="J188" s="4" t="s">
        <v>25</v>
      </c>
      <c r="K188" s="4" t="s">
        <v>31</v>
      </c>
      <c r="L188" s="24">
        <f>IF(A188="","",IF(OR(G188="",AND(G188&gt;=Dashboard!$C$18,G188&lt;=Dashboard!$C$19)),1,0))</f>
        <v>1</v>
      </c>
      <c r="M188" s="24">
        <f>IF(AND(L188=1,OR(Dashboard!$C$13="All",A188=Dashboard!$C$13),OR(Dashboard!$C$14="All",B188=Dashboard!$C$14),OR(Dashboard!$C$15="All",C188=Dashboard!$C$15),OR(Dashboard!$C$16="All",K188=Dashboard!$C$16),OR(Dashboard!$C$17="All",J188=Dashboard!$C$17)),1,0)</f>
        <v>1</v>
      </c>
      <c r="N188" s="24">
        <f>IF(AND(L188=1,OR(Dashboard!$C$13="All",A188=Dashboard!$C$13),OR(Dashboard!$C$14="All",B188=Dashboard!$C$14),OR(Dashboard!$C$16="All",K188=Dashboard!$C$16),OR(Dashboard!$C$17="All",J188=Dashboard!$C$17)),1,0)</f>
        <v>1</v>
      </c>
      <c r="O188" s="24">
        <f>IF(AND(L188=1,OR(Dashboard!$C$13="All",A188=Dashboard!$C$13),OR(Dashboard!$C$15="All",C188=Dashboard!$C$15),OR(Dashboard!$C$16="All",K188=Dashboard!$C$16),OR(Dashboard!$C$17="All",J188=Dashboard!$C$17)),1,0)</f>
        <v>1</v>
      </c>
      <c r="P188" s="24">
        <f>IF(AND(L188=1,OR(Dashboard!$C$13="All",A188=Dashboard!$C$13),OR(Dashboard!$C$14="All",B188=Dashboard!$C$14),OR(Dashboard!$C$15="All",C188=Dashboard!$C$15),OR(Dashboard!$C$17="All",J188=Dashboard!$C$17)),1,0)</f>
        <v>1</v>
      </c>
      <c r="Q188" s="24">
        <f>IF(AND(L188=1,OR(Dashboard!$C$14="All",B188=Dashboard!$C$14),OR(Dashboard!$C$15="All",C188=Dashboard!$C$15),OR(Dashboard!$C$16="All",K188=Dashboard!$C$16),OR(Dashboard!$C$17="All",J188=Dashboard!$C$17)),1,0)</f>
        <v>1</v>
      </c>
      <c r="R188" s="24">
        <f>IF(AND(L188=1,OR(Dashboard!$C$13="All",A188=Dashboard!$C$13),OR(Dashboard!$C$14="All",B188=Dashboard!$C$14),OR(Dashboard!$C$15="All",C188=Dashboard!$C$15),OR(Dashboard!$C$16="All",K188=Dashboard!$C$16)),1,0)</f>
        <v>1</v>
      </c>
      <c r="S188" s="24">
        <f t="shared" si="3"/>
        <v>187</v>
      </c>
      <c r="T188" s="24" t="s">
        <v>505</v>
      </c>
      <c r="V188" s="24" t="s">
        <v>506</v>
      </c>
    </row>
    <row r="189" ht="15.75" customHeight="1">
      <c r="A189" s="10" t="s">
        <v>256</v>
      </c>
      <c r="B189" s="13"/>
      <c r="C189" s="10" t="s">
        <v>254</v>
      </c>
      <c r="D189" s="13">
        <v>31000.0</v>
      </c>
      <c r="E189" s="14">
        <v>5.0</v>
      </c>
      <c r="F189" s="15">
        <f t="shared" si="1"/>
        <v>155000</v>
      </c>
      <c r="G189" s="6">
        <v>46331.0</v>
      </c>
      <c r="H189" s="22">
        <v>15.0</v>
      </c>
      <c r="I189" s="16">
        <f t="shared" si="2"/>
        <v>46436</v>
      </c>
      <c r="J189" s="13" t="s">
        <v>25</v>
      </c>
      <c r="K189" s="13" t="s">
        <v>31</v>
      </c>
      <c r="L189" s="24">
        <f>IF(A189="","",IF(OR(G189="",AND(G189&gt;=Dashboard!$C$18,G189&lt;=Dashboard!$C$19)),1,0))</f>
        <v>1</v>
      </c>
      <c r="M189" s="24">
        <f>IF(AND(L189=1,OR(Dashboard!$C$13="All",A189=Dashboard!$C$13),OR(Dashboard!$C$14="All",B189=Dashboard!$C$14),OR(Dashboard!$C$15="All",C189=Dashboard!$C$15),OR(Dashboard!$C$16="All",K189=Dashboard!$C$16),OR(Dashboard!$C$17="All",J189=Dashboard!$C$17)),1,0)</f>
        <v>1</v>
      </c>
      <c r="N189" s="24">
        <f>IF(AND(L189=1,OR(Dashboard!$C$13="All",A189=Dashboard!$C$13),OR(Dashboard!$C$14="All",B189=Dashboard!$C$14),OR(Dashboard!$C$16="All",K189=Dashboard!$C$16),OR(Dashboard!$C$17="All",J189=Dashboard!$C$17)),1,0)</f>
        <v>1</v>
      </c>
      <c r="O189" s="24">
        <f>IF(AND(L189=1,OR(Dashboard!$C$13="All",A189=Dashboard!$C$13),OR(Dashboard!$C$15="All",C189=Dashboard!$C$15),OR(Dashboard!$C$16="All",K189=Dashboard!$C$16),OR(Dashboard!$C$17="All",J189=Dashboard!$C$17)),1,0)</f>
        <v>1</v>
      </c>
      <c r="P189" s="24">
        <f>IF(AND(L189=1,OR(Dashboard!$C$13="All",A189=Dashboard!$C$13),OR(Dashboard!$C$14="All",B189=Dashboard!$C$14),OR(Dashboard!$C$15="All",C189=Dashboard!$C$15),OR(Dashboard!$C$17="All",J189=Dashboard!$C$17)),1,0)</f>
        <v>1</v>
      </c>
      <c r="Q189" s="24">
        <f>IF(AND(L189=1,OR(Dashboard!$C$14="All",B189=Dashboard!$C$14),OR(Dashboard!$C$15="All",C189=Dashboard!$C$15),OR(Dashboard!$C$16="All",K189=Dashboard!$C$16),OR(Dashboard!$C$17="All",J189=Dashboard!$C$17)),1,0)</f>
        <v>1</v>
      </c>
      <c r="R189" s="24">
        <f>IF(AND(L189=1,OR(Dashboard!$C$13="All",A189=Dashboard!$C$13),OR(Dashboard!$C$14="All",B189=Dashboard!$C$14),OR(Dashboard!$C$15="All",C189=Dashboard!$C$15),OR(Dashboard!$C$16="All",K189=Dashboard!$C$16)),1,0)</f>
        <v>1</v>
      </c>
      <c r="S189" s="24">
        <f t="shared" si="3"/>
        <v>188</v>
      </c>
      <c r="T189" s="24" t="s">
        <v>507</v>
      </c>
      <c r="V189" s="24" t="s">
        <v>508</v>
      </c>
    </row>
    <row r="190" ht="15.75" customHeight="1">
      <c r="A190" s="3" t="s">
        <v>256</v>
      </c>
      <c r="B190" s="4"/>
      <c r="C190" s="3" t="s">
        <v>509</v>
      </c>
      <c r="D190" s="4">
        <v>1.0</v>
      </c>
      <c r="E190" s="17">
        <v>6.0</v>
      </c>
      <c r="F190" s="5">
        <f t="shared" si="1"/>
        <v>6</v>
      </c>
      <c r="G190" s="6">
        <v>46332.0</v>
      </c>
      <c r="H190" s="22">
        <v>15.0</v>
      </c>
      <c r="I190" s="7">
        <f t="shared" si="2"/>
        <v>46437</v>
      </c>
      <c r="J190" s="4" t="s">
        <v>25</v>
      </c>
      <c r="K190" s="4" t="s">
        <v>31</v>
      </c>
      <c r="L190" s="24">
        <f>IF(A190="","",IF(OR(G190="",AND(G190&gt;=Dashboard!$C$18,G190&lt;=Dashboard!$C$19)),1,0))</f>
        <v>1</v>
      </c>
      <c r="M190" s="24">
        <f>IF(AND(L190=1,OR(Dashboard!$C$13="All",A190=Dashboard!$C$13),OR(Dashboard!$C$14="All",B190=Dashboard!$C$14),OR(Dashboard!$C$15="All",C190=Dashboard!$C$15),OR(Dashboard!$C$16="All",K190=Dashboard!$C$16),OR(Dashboard!$C$17="All",J190=Dashboard!$C$17)),1,0)</f>
        <v>1</v>
      </c>
      <c r="N190" s="24">
        <f>IF(AND(L190=1,OR(Dashboard!$C$13="All",A190=Dashboard!$C$13),OR(Dashboard!$C$14="All",B190=Dashboard!$C$14),OR(Dashboard!$C$16="All",K190=Dashboard!$C$16),OR(Dashboard!$C$17="All",J190=Dashboard!$C$17)),1,0)</f>
        <v>1</v>
      </c>
      <c r="O190" s="24">
        <f>IF(AND(L190=1,OR(Dashboard!$C$13="All",A190=Dashboard!$C$13),OR(Dashboard!$C$15="All",C190=Dashboard!$C$15),OR(Dashboard!$C$16="All",K190=Dashboard!$C$16),OR(Dashboard!$C$17="All",J190=Dashboard!$C$17)),1,0)</f>
        <v>1</v>
      </c>
      <c r="P190" s="24">
        <f>IF(AND(L190=1,OR(Dashboard!$C$13="All",A190=Dashboard!$C$13),OR(Dashboard!$C$14="All",B190=Dashboard!$C$14),OR(Dashboard!$C$15="All",C190=Dashboard!$C$15),OR(Dashboard!$C$17="All",J190=Dashboard!$C$17)),1,0)</f>
        <v>1</v>
      </c>
      <c r="Q190" s="24">
        <f>IF(AND(L190=1,OR(Dashboard!$C$14="All",B190=Dashboard!$C$14),OR(Dashboard!$C$15="All",C190=Dashboard!$C$15),OR(Dashboard!$C$16="All",K190=Dashboard!$C$16),OR(Dashboard!$C$17="All",J190=Dashboard!$C$17)),1,0)</f>
        <v>1</v>
      </c>
      <c r="R190" s="24">
        <f>IF(AND(L190=1,OR(Dashboard!$C$13="All",A190=Dashboard!$C$13),OR(Dashboard!$C$14="All",B190=Dashboard!$C$14),OR(Dashboard!$C$15="All",C190=Dashboard!$C$15),OR(Dashboard!$C$16="All",K190=Dashboard!$C$16)),1,0)</f>
        <v>1</v>
      </c>
      <c r="S190" s="24">
        <f t="shared" si="3"/>
        <v>189</v>
      </c>
      <c r="T190" s="24" t="s">
        <v>510</v>
      </c>
      <c r="V190" s="24" t="s">
        <v>511</v>
      </c>
    </row>
    <row r="191" ht="15.75" customHeight="1">
      <c r="A191" s="10" t="s">
        <v>259</v>
      </c>
      <c r="B191" s="13" t="s">
        <v>34</v>
      </c>
      <c r="C191" s="10" t="s">
        <v>312</v>
      </c>
      <c r="D191" s="13">
        <v>300.0</v>
      </c>
      <c r="E191" s="14">
        <v>7.0</v>
      </c>
      <c r="F191" s="15">
        <f t="shared" si="1"/>
        <v>2100</v>
      </c>
      <c r="G191" s="6">
        <v>46333.0</v>
      </c>
      <c r="H191" s="22">
        <v>15.0</v>
      </c>
      <c r="I191" s="16">
        <f t="shared" si="2"/>
        <v>46438</v>
      </c>
      <c r="J191" s="13" t="s">
        <v>25</v>
      </c>
      <c r="K191" s="13" t="s">
        <v>31</v>
      </c>
      <c r="L191" s="24">
        <f>IF(A191="","",IF(OR(G191="",AND(G191&gt;=Dashboard!$C$18,G191&lt;=Dashboard!$C$19)),1,0))</f>
        <v>1</v>
      </c>
      <c r="M191" s="24">
        <f>IF(AND(L191=1,OR(Dashboard!$C$13="All",A191=Dashboard!$C$13),OR(Dashboard!$C$14="All",B191=Dashboard!$C$14),OR(Dashboard!$C$15="All",C191=Dashboard!$C$15),OR(Dashboard!$C$16="All",K191=Dashboard!$C$16),OR(Dashboard!$C$17="All",J191=Dashboard!$C$17)),1,0)</f>
        <v>1</v>
      </c>
      <c r="N191" s="24">
        <f>IF(AND(L191=1,OR(Dashboard!$C$13="All",A191=Dashboard!$C$13),OR(Dashboard!$C$14="All",B191=Dashboard!$C$14),OR(Dashboard!$C$16="All",K191=Dashboard!$C$16),OR(Dashboard!$C$17="All",J191=Dashboard!$C$17)),1,0)</f>
        <v>1</v>
      </c>
      <c r="O191" s="24">
        <f>IF(AND(L191=1,OR(Dashboard!$C$13="All",A191=Dashboard!$C$13),OR(Dashboard!$C$15="All",C191=Dashboard!$C$15),OR(Dashboard!$C$16="All",K191=Dashboard!$C$16),OR(Dashboard!$C$17="All",J191=Dashboard!$C$17)),1,0)</f>
        <v>1</v>
      </c>
      <c r="P191" s="24">
        <f>IF(AND(L191=1,OR(Dashboard!$C$13="All",A191=Dashboard!$C$13),OR(Dashboard!$C$14="All",B191=Dashboard!$C$14),OR(Dashboard!$C$15="All",C191=Dashboard!$C$15),OR(Dashboard!$C$17="All",J191=Dashboard!$C$17)),1,0)</f>
        <v>1</v>
      </c>
      <c r="Q191" s="24">
        <f>IF(AND(L191=1,OR(Dashboard!$C$14="All",B191=Dashboard!$C$14),OR(Dashboard!$C$15="All",C191=Dashboard!$C$15),OR(Dashboard!$C$16="All",K191=Dashboard!$C$16),OR(Dashboard!$C$17="All",J191=Dashboard!$C$17)),1,0)</f>
        <v>1</v>
      </c>
      <c r="R191" s="24">
        <f>IF(AND(L191=1,OR(Dashboard!$C$13="All",A191=Dashboard!$C$13),OR(Dashboard!$C$14="All",B191=Dashboard!$C$14),OR(Dashboard!$C$15="All",C191=Dashboard!$C$15),OR(Dashboard!$C$16="All",K191=Dashboard!$C$16)),1,0)</f>
        <v>1</v>
      </c>
      <c r="S191" s="24">
        <f t="shared" si="3"/>
        <v>190</v>
      </c>
      <c r="T191" s="24" t="s">
        <v>512</v>
      </c>
      <c r="V191" s="24" t="s">
        <v>513</v>
      </c>
    </row>
    <row r="192" ht="15.75" customHeight="1">
      <c r="A192" s="3" t="s">
        <v>261</v>
      </c>
      <c r="B192" s="4"/>
      <c r="C192" s="3" t="s">
        <v>417</v>
      </c>
      <c r="D192" s="4">
        <v>1.0</v>
      </c>
      <c r="E192" s="17">
        <v>8.0</v>
      </c>
      <c r="F192" s="5">
        <f t="shared" si="1"/>
        <v>8</v>
      </c>
      <c r="G192" s="6">
        <v>46334.0</v>
      </c>
      <c r="H192" s="22">
        <v>13.0</v>
      </c>
      <c r="I192" s="7">
        <f t="shared" si="2"/>
        <v>46425</v>
      </c>
      <c r="J192" s="4" t="s">
        <v>25</v>
      </c>
      <c r="K192" s="4" t="s">
        <v>31</v>
      </c>
      <c r="L192" s="24">
        <f>IF(A192="","",IF(OR(G192="",AND(G192&gt;=Dashboard!$C$18,G192&lt;=Dashboard!$C$19)),1,0))</f>
        <v>1</v>
      </c>
      <c r="M192" s="24">
        <f>IF(AND(L192=1,OR(Dashboard!$C$13="All",A192=Dashboard!$C$13),OR(Dashboard!$C$14="All",B192=Dashboard!$C$14),OR(Dashboard!$C$15="All",C192=Dashboard!$C$15),OR(Dashboard!$C$16="All",K192=Dashboard!$C$16),OR(Dashboard!$C$17="All",J192=Dashboard!$C$17)),1,0)</f>
        <v>1</v>
      </c>
      <c r="N192" s="24">
        <f>IF(AND(L192=1,OR(Dashboard!$C$13="All",A192=Dashboard!$C$13),OR(Dashboard!$C$14="All",B192=Dashboard!$C$14),OR(Dashboard!$C$16="All",K192=Dashboard!$C$16),OR(Dashboard!$C$17="All",J192=Dashboard!$C$17)),1,0)</f>
        <v>1</v>
      </c>
      <c r="O192" s="24">
        <f>IF(AND(L192=1,OR(Dashboard!$C$13="All",A192=Dashboard!$C$13),OR(Dashboard!$C$15="All",C192=Dashboard!$C$15),OR(Dashboard!$C$16="All",K192=Dashboard!$C$16),OR(Dashboard!$C$17="All",J192=Dashboard!$C$17)),1,0)</f>
        <v>1</v>
      </c>
      <c r="P192" s="24">
        <f>IF(AND(L192=1,OR(Dashboard!$C$13="All",A192=Dashboard!$C$13),OR(Dashboard!$C$14="All",B192=Dashboard!$C$14),OR(Dashboard!$C$15="All",C192=Dashboard!$C$15),OR(Dashboard!$C$17="All",J192=Dashboard!$C$17)),1,0)</f>
        <v>1</v>
      </c>
      <c r="Q192" s="24">
        <f>IF(AND(L192=1,OR(Dashboard!$C$14="All",B192=Dashboard!$C$14),OR(Dashboard!$C$15="All",C192=Dashboard!$C$15),OR(Dashboard!$C$16="All",K192=Dashboard!$C$16),OR(Dashboard!$C$17="All",J192=Dashboard!$C$17)),1,0)</f>
        <v>1</v>
      </c>
      <c r="R192" s="24">
        <f>IF(AND(L192=1,OR(Dashboard!$C$13="All",A192=Dashboard!$C$13),OR(Dashboard!$C$14="All",B192=Dashboard!$C$14),OR(Dashboard!$C$15="All",C192=Dashboard!$C$15),OR(Dashboard!$C$16="All",K192=Dashboard!$C$16)),1,0)</f>
        <v>1</v>
      </c>
      <c r="S192" s="24">
        <f t="shared" si="3"/>
        <v>191</v>
      </c>
      <c r="T192" s="24" t="s">
        <v>514</v>
      </c>
      <c r="V192" s="24" t="s">
        <v>515</v>
      </c>
    </row>
    <row r="193" ht="15.75" customHeight="1">
      <c r="A193" s="10" t="s">
        <v>143</v>
      </c>
      <c r="B193" s="13"/>
      <c r="C193" s="10" t="s">
        <v>65</v>
      </c>
      <c r="D193" s="13">
        <v>2500.0</v>
      </c>
      <c r="E193" s="14">
        <v>2.0</v>
      </c>
      <c r="F193" s="15">
        <f t="shared" si="1"/>
        <v>5000</v>
      </c>
      <c r="G193" s="6">
        <v>46335.0</v>
      </c>
      <c r="H193" s="22">
        <v>4.0</v>
      </c>
      <c r="I193" s="16">
        <f t="shared" si="2"/>
        <v>46363</v>
      </c>
      <c r="J193" s="13" t="s">
        <v>25</v>
      </c>
      <c r="K193" s="13" t="s">
        <v>31</v>
      </c>
      <c r="L193" s="24">
        <f>IF(A193="","",IF(OR(G193="",AND(G193&gt;=Dashboard!$C$18,G193&lt;=Dashboard!$C$19)),1,0))</f>
        <v>1</v>
      </c>
      <c r="M193" s="24">
        <f>IF(AND(L193=1,OR(Dashboard!$C$13="All",A193=Dashboard!$C$13),OR(Dashboard!$C$14="All",B193=Dashboard!$C$14),OR(Dashboard!$C$15="All",C193=Dashboard!$C$15),OR(Dashboard!$C$16="All",K193=Dashboard!$C$16),OR(Dashboard!$C$17="All",J193=Dashboard!$C$17)),1,0)</f>
        <v>1</v>
      </c>
      <c r="N193" s="24">
        <f>IF(AND(L193=1,OR(Dashboard!$C$13="All",A193=Dashboard!$C$13),OR(Dashboard!$C$14="All",B193=Dashboard!$C$14),OR(Dashboard!$C$16="All",K193=Dashboard!$C$16),OR(Dashboard!$C$17="All",J193=Dashboard!$C$17)),1,0)</f>
        <v>1</v>
      </c>
      <c r="O193" s="24">
        <f>IF(AND(L193=1,OR(Dashboard!$C$13="All",A193=Dashboard!$C$13),OR(Dashboard!$C$15="All",C193=Dashboard!$C$15),OR(Dashboard!$C$16="All",K193=Dashboard!$C$16),OR(Dashboard!$C$17="All",J193=Dashboard!$C$17)),1,0)</f>
        <v>1</v>
      </c>
      <c r="P193" s="24">
        <f>IF(AND(L193=1,OR(Dashboard!$C$13="All",A193=Dashboard!$C$13),OR(Dashboard!$C$14="All",B193=Dashboard!$C$14),OR(Dashboard!$C$15="All",C193=Dashboard!$C$15),OR(Dashboard!$C$17="All",J193=Dashboard!$C$17)),1,0)</f>
        <v>1</v>
      </c>
      <c r="Q193" s="24">
        <f>IF(AND(L193=1,OR(Dashboard!$C$14="All",B193=Dashboard!$C$14),OR(Dashboard!$C$15="All",C193=Dashboard!$C$15),OR(Dashboard!$C$16="All",K193=Dashboard!$C$16),OR(Dashboard!$C$17="All",J193=Dashboard!$C$17)),1,0)</f>
        <v>1</v>
      </c>
      <c r="R193" s="24">
        <f>IF(AND(L193=1,OR(Dashboard!$C$13="All",A193=Dashboard!$C$13),OR(Dashboard!$C$14="All",B193=Dashboard!$C$14),OR(Dashboard!$C$15="All",C193=Dashboard!$C$15),OR(Dashboard!$C$16="All",K193=Dashboard!$C$16)),1,0)</f>
        <v>1</v>
      </c>
      <c r="S193" s="24">
        <f t="shared" si="3"/>
        <v>192</v>
      </c>
      <c r="T193" s="24" t="s">
        <v>516</v>
      </c>
      <c r="V193" s="24" t="s">
        <v>76</v>
      </c>
    </row>
    <row r="194" ht="15.75" customHeight="1">
      <c r="A194" s="3" t="s">
        <v>113</v>
      </c>
      <c r="B194" s="4" t="s">
        <v>137</v>
      </c>
      <c r="C194" s="3" t="s">
        <v>298</v>
      </c>
      <c r="D194" s="4">
        <v>2.0</v>
      </c>
      <c r="E194" s="17">
        <v>15.0</v>
      </c>
      <c r="F194" s="5">
        <f t="shared" si="1"/>
        <v>30</v>
      </c>
      <c r="G194" s="6">
        <v>46336.0</v>
      </c>
      <c r="H194" s="22">
        <v>3.0</v>
      </c>
      <c r="I194" s="7">
        <f t="shared" si="2"/>
        <v>46357</v>
      </c>
      <c r="J194" s="4" t="s">
        <v>25</v>
      </c>
      <c r="K194" s="4" t="s">
        <v>31</v>
      </c>
      <c r="L194" s="24">
        <f>IF(A194="","",IF(OR(G194="",AND(G194&gt;=Dashboard!$C$18,G194&lt;=Dashboard!$C$19)),1,0))</f>
        <v>1</v>
      </c>
      <c r="M194" s="24">
        <f>IF(AND(L194=1,OR(Dashboard!$C$13="All",A194=Dashboard!$C$13),OR(Dashboard!$C$14="All",B194=Dashboard!$C$14),OR(Dashboard!$C$15="All",C194=Dashboard!$C$15),OR(Dashboard!$C$16="All",K194=Dashboard!$C$16),OR(Dashboard!$C$17="All",J194=Dashboard!$C$17)),1,0)</f>
        <v>1</v>
      </c>
      <c r="N194" s="24">
        <f>IF(AND(L194=1,OR(Dashboard!$C$13="All",A194=Dashboard!$C$13),OR(Dashboard!$C$14="All",B194=Dashboard!$C$14),OR(Dashboard!$C$16="All",K194=Dashboard!$C$16),OR(Dashboard!$C$17="All",J194=Dashboard!$C$17)),1,0)</f>
        <v>1</v>
      </c>
      <c r="O194" s="24">
        <f>IF(AND(L194=1,OR(Dashboard!$C$13="All",A194=Dashboard!$C$13),OR(Dashboard!$C$15="All",C194=Dashboard!$C$15),OR(Dashboard!$C$16="All",K194=Dashboard!$C$16),OR(Dashboard!$C$17="All",J194=Dashboard!$C$17)),1,0)</f>
        <v>1</v>
      </c>
      <c r="P194" s="24">
        <f>IF(AND(L194=1,OR(Dashboard!$C$13="All",A194=Dashboard!$C$13),OR(Dashboard!$C$14="All",B194=Dashboard!$C$14),OR(Dashboard!$C$15="All",C194=Dashboard!$C$15),OR(Dashboard!$C$17="All",J194=Dashboard!$C$17)),1,0)</f>
        <v>1</v>
      </c>
      <c r="Q194" s="24">
        <f>IF(AND(L194=1,OR(Dashboard!$C$14="All",B194=Dashboard!$C$14),OR(Dashboard!$C$15="All",C194=Dashboard!$C$15),OR(Dashboard!$C$16="All",K194=Dashboard!$C$16),OR(Dashboard!$C$17="All",J194=Dashboard!$C$17)),1,0)</f>
        <v>1</v>
      </c>
      <c r="R194" s="24">
        <f>IF(AND(L194=1,OR(Dashboard!$C$13="All",A194=Dashboard!$C$13),OR(Dashboard!$C$14="All",B194=Dashboard!$C$14),OR(Dashboard!$C$15="All",C194=Dashboard!$C$15),OR(Dashboard!$C$16="All",K194=Dashboard!$C$16)),1,0)</f>
        <v>1</v>
      </c>
      <c r="S194" s="24">
        <f t="shared" si="3"/>
        <v>193</v>
      </c>
      <c r="T194" s="24" t="s">
        <v>517</v>
      </c>
      <c r="V194" s="24" t="s">
        <v>518</v>
      </c>
    </row>
    <row r="195" ht="15.75" customHeight="1">
      <c r="A195" s="10" t="s">
        <v>264</v>
      </c>
      <c r="B195" s="13" t="s">
        <v>41</v>
      </c>
      <c r="C195" s="10" t="s">
        <v>42</v>
      </c>
      <c r="D195" s="13">
        <v>15000.0</v>
      </c>
      <c r="E195" s="14">
        <v>45.0</v>
      </c>
      <c r="F195" s="15">
        <f t="shared" si="1"/>
        <v>675000</v>
      </c>
      <c r="G195" s="6">
        <v>46337.0</v>
      </c>
      <c r="H195" s="22">
        <v>2.0</v>
      </c>
      <c r="I195" s="16">
        <f t="shared" si="2"/>
        <v>46351</v>
      </c>
      <c r="J195" s="13" t="s">
        <v>25</v>
      </c>
      <c r="K195" s="13" t="s">
        <v>31</v>
      </c>
      <c r="L195" s="24">
        <f>IF(A195="","",IF(OR(G195="",AND(G195&gt;=Dashboard!$C$18,G195&lt;=Dashboard!$C$19)),1,0))</f>
        <v>1</v>
      </c>
      <c r="M195" s="24">
        <f>IF(AND(L195=1,OR(Dashboard!$C$13="All",A195=Dashboard!$C$13),OR(Dashboard!$C$14="All",B195=Dashboard!$C$14),OR(Dashboard!$C$15="All",C195=Dashboard!$C$15),OR(Dashboard!$C$16="All",K195=Dashboard!$C$16),OR(Dashboard!$C$17="All",J195=Dashboard!$C$17)),1,0)</f>
        <v>1</v>
      </c>
      <c r="N195" s="24">
        <f>IF(AND(L195=1,OR(Dashboard!$C$13="All",A195=Dashboard!$C$13),OR(Dashboard!$C$14="All",B195=Dashboard!$C$14),OR(Dashboard!$C$16="All",K195=Dashboard!$C$16),OR(Dashboard!$C$17="All",J195=Dashboard!$C$17)),1,0)</f>
        <v>1</v>
      </c>
      <c r="O195" s="24">
        <f>IF(AND(L195=1,OR(Dashboard!$C$13="All",A195=Dashboard!$C$13),OR(Dashboard!$C$15="All",C195=Dashboard!$C$15),OR(Dashboard!$C$16="All",K195=Dashboard!$C$16),OR(Dashboard!$C$17="All",J195=Dashboard!$C$17)),1,0)</f>
        <v>1</v>
      </c>
      <c r="P195" s="24">
        <f>IF(AND(L195=1,OR(Dashboard!$C$13="All",A195=Dashboard!$C$13),OR(Dashboard!$C$14="All",B195=Dashboard!$C$14),OR(Dashboard!$C$15="All",C195=Dashboard!$C$15),OR(Dashboard!$C$17="All",J195=Dashboard!$C$17)),1,0)</f>
        <v>1</v>
      </c>
      <c r="Q195" s="24">
        <f>IF(AND(L195=1,OR(Dashboard!$C$14="All",B195=Dashboard!$C$14),OR(Dashboard!$C$15="All",C195=Dashboard!$C$15),OR(Dashboard!$C$16="All",K195=Dashboard!$C$16),OR(Dashboard!$C$17="All",J195=Dashboard!$C$17)),1,0)</f>
        <v>1</v>
      </c>
      <c r="R195" s="24">
        <f>IF(AND(L195=1,OR(Dashboard!$C$13="All",A195=Dashboard!$C$13),OR(Dashboard!$C$14="All",B195=Dashboard!$C$14),OR(Dashboard!$C$15="All",C195=Dashboard!$C$15),OR(Dashboard!$C$16="All",K195=Dashboard!$C$16)),1,0)</f>
        <v>1</v>
      </c>
      <c r="S195" s="24">
        <f t="shared" si="3"/>
        <v>194</v>
      </c>
      <c r="T195" s="24" t="s">
        <v>519</v>
      </c>
      <c r="V195" s="24" t="s">
        <v>520</v>
      </c>
    </row>
    <row r="196" ht="15.75" customHeight="1">
      <c r="A196" s="3" t="s">
        <v>264</v>
      </c>
      <c r="B196" s="4" t="s">
        <v>34</v>
      </c>
      <c r="C196" s="3" t="s">
        <v>371</v>
      </c>
      <c r="D196" s="4">
        <v>8000.0</v>
      </c>
      <c r="E196" s="17">
        <v>24.0</v>
      </c>
      <c r="F196" s="5">
        <f t="shared" si="1"/>
        <v>192000</v>
      </c>
      <c r="G196" s="6">
        <v>46338.0</v>
      </c>
      <c r="H196" s="22">
        <v>6.0</v>
      </c>
      <c r="I196" s="7">
        <f t="shared" si="2"/>
        <v>46380</v>
      </c>
      <c r="J196" s="4" t="s">
        <v>25</v>
      </c>
      <c r="K196" s="4" t="s">
        <v>31</v>
      </c>
      <c r="L196" s="24">
        <f>IF(A196="","",IF(OR(G196="",AND(G196&gt;=Dashboard!$C$18,G196&lt;=Dashboard!$C$19)),1,0))</f>
        <v>1</v>
      </c>
      <c r="M196" s="24">
        <f>IF(AND(L196=1,OR(Dashboard!$C$13="All",A196=Dashboard!$C$13),OR(Dashboard!$C$14="All",B196=Dashboard!$C$14),OR(Dashboard!$C$15="All",C196=Dashboard!$C$15),OR(Dashboard!$C$16="All",K196=Dashboard!$C$16),OR(Dashboard!$C$17="All",J196=Dashboard!$C$17)),1,0)</f>
        <v>1</v>
      </c>
      <c r="N196" s="24">
        <f>IF(AND(L196=1,OR(Dashboard!$C$13="All",A196=Dashboard!$C$13),OR(Dashboard!$C$14="All",B196=Dashboard!$C$14),OR(Dashboard!$C$16="All",K196=Dashboard!$C$16),OR(Dashboard!$C$17="All",J196=Dashboard!$C$17)),1,0)</f>
        <v>1</v>
      </c>
      <c r="O196" s="24">
        <f>IF(AND(L196=1,OR(Dashboard!$C$13="All",A196=Dashboard!$C$13),OR(Dashboard!$C$15="All",C196=Dashboard!$C$15),OR(Dashboard!$C$16="All",K196=Dashboard!$C$16),OR(Dashboard!$C$17="All",J196=Dashboard!$C$17)),1,0)</f>
        <v>1</v>
      </c>
      <c r="P196" s="24">
        <f>IF(AND(L196=1,OR(Dashboard!$C$13="All",A196=Dashboard!$C$13),OR(Dashboard!$C$14="All",B196=Dashboard!$C$14),OR(Dashboard!$C$15="All",C196=Dashboard!$C$15),OR(Dashboard!$C$17="All",J196=Dashboard!$C$17)),1,0)</f>
        <v>1</v>
      </c>
      <c r="Q196" s="24">
        <f>IF(AND(L196=1,OR(Dashboard!$C$14="All",B196=Dashboard!$C$14),OR(Dashboard!$C$15="All",C196=Dashboard!$C$15),OR(Dashboard!$C$16="All",K196=Dashboard!$C$16),OR(Dashboard!$C$17="All",J196=Dashboard!$C$17)),1,0)</f>
        <v>1</v>
      </c>
      <c r="R196" s="24">
        <f>IF(AND(L196=1,OR(Dashboard!$C$13="All",A196=Dashboard!$C$13),OR(Dashboard!$C$14="All",B196=Dashboard!$C$14),OR(Dashboard!$C$15="All",C196=Dashboard!$C$15),OR(Dashboard!$C$16="All",K196=Dashboard!$C$16)),1,0)</f>
        <v>1</v>
      </c>
      <c r="S196" s="24">
        <f t="shared" si="3"/>
        <v>195</v>
      </c>
      <c r="T196" s="24" t="s">
        <v>521</v>
      </c>
      <c r="V196" s="24" t="s">
        <v>522</v>
      </c>
    </row>
    <row r="197" ht="15.75" customHeight="1">
      <c r="A197" s="10" t="s">
        <v>264</v>
      </c>
      <c r="B197" s="13" t="s">
        <v>137</v>
      </c>
      <c r="C197" s="10" t="s">
        <v>523</v>
      </c>
      <c r="D197" s="13">
        <v>20.0</v>
      </c>
      <c r="E197" s="14">
        <v>25.0</v>
      </c>
      <c r="F197" s="15">
        <f t="shared" si="1"/>
        <v>500</v>
      </c>
      <c r="G197" s="6">
        <v>46339.0</v>
      </c>
      <c r="H197" s="22">
        <v>2.0</v>
      </c>
      <c r="I197" s="16">
        <f t="shared" si="2"/>
        <v>46353</v>
      </c>
      <c r="J197" s="13" t="s">
        <v>25</v>
      </c>
      <c r="K197" s="13" t="s">
        <v>31</v>
      </c>
      <c r="L197" s="24">
        <f>IF(A197="","",IF(OR(G197="",AND(G197&gt;=Dashboard!$C$18,G197&lt;=Dashboard!$C$19)),1,0))</f>
        <v>1</v>
      </c>
      <c r="M197" s="24">
        <f>IF(AND(L197=1,OR(Dashboard!$C$13="All",A197=Dashboard!$C$13),OR(Dashboard!$C$14="All",B197=Dashboard!$C$14),OR(Dashboard!$C$15="All",C197=Dashboard!$C$15),OR(Dashboard!$C$16="All",K197=Dashboard!$C$16),OR(Dashboard!$C$17="All",J197=Dashboard!$C$17)),1,0)</f>
        <v>1</v>
      </c>
      <c r="N197" s="24">
        <f>IF(AND(L197=1,OR(Dashboard!$C$13="All",A197=Dashboard!$C$13),OR(Dashboard!$C$14="All",B197=Dashboard!$C$14),OR(Dashboard!$C$16="All",K197=Dashboard!$C$16),OR(Dashboard!$C$17="All",J197=Dashboard!$C$17)),1,0)</f>
        <v>1</v>
      </c>
      <c r="O197" s="24">
        <f>IF(AND(L197=1,OR(Dashboard!$C$13="All",A197=Dashboard!$C$13),OR(Dashboard!$C$15="All",C197=Dashboard!$C$15),OR(Dashboard!$C$16="All",K197=Dashboard!$C$16),OR(Dashboard!$C$17="All",J197=Dashboard!$C$17)),1,0)</f>
        <v>1</v>
      </c>
      <c r="P197" s="24">
        <f>IF(AND(L197=1,OR(Dashboard!$C$13="All",A197=Dashboard!$C$13),OR(Dashboard!$C$14="All",B197=Dashboard!$C$14),OR(Dashboard!$C$15="All",C197=Dashboard!$C$15),OR(Dashboard!$C$17="All",J197=Dashboard!$C$17)),1,0)</f>
        <v>1</v>
      </c>
      <c r="Q197" s="24">
        <f>IF(AND(L197=1,OR(Dashboard!$C$14="All",B197=Dashboard!$C$14),OR(Dashboard!$C$15="All",C197=Dashboard!$C$15),OR(Dashboard!$C$16="All",K197=Dashboard!$C$16),OR(Dashboard!$C$17="All",J197=Dashboard!$C$17)),1,0)</f>
        <v>1</v>
      </c>
      <c r="R197" s="24">
        <f>IF(AND(L197=1,OR(Dashboard!$C$13="All",A197=Dashboard!$C$13),OR(Dashboard!$C$14="All",B197=Dashboard!$C$14),OR(Dashboard!$C$15="All",C197=Dashboard!$C$15),OR(Dashboard!$C$16="All",K197=Dashboard!$C$16)),1,0)</f>
        <v>1</v>
      </c>
      <c r="S197" s="24">
        <f t="shared" si="3"/>
        <v>196</v>
      </c>
      <c r="T197" s="24" t="s">
        <v>524</v>
      </c>
      <c r="V197" s="24" t="s">
        <v>525</v>
      </c>
    </row>
    <row r="198" ht="15.75" customHeight="1">
      <c r="A198" s="3" t="s">
        <v>264</v>
      </c>
      <c r="B198" s="4"/>
      <c r="C198" s="3" t="s">
        <v>462</v>
      </c>
      <c r="D198" s="4">
        <v>1.0</v>
      </c>
      <c r="E198" s="17">
        <v>36.0</v>
      </c>
      <c r="F198" s="5">
        <f t="shared" si="1"/>
        <v>36</v>
      </c>
      <c r="G198" s="6">
        <v>46340.0</v>
      </c>
      <c r="H198" s="22">
        <v>5.0</v>
      </c>
      <c r="I198" s="7">
        <f t="shared" si="2"/>
        <v>46375</v>
      </c>
      <c r="J198" s="4" t="s">
        <v>25</v>
      </c>
      <c r="K198" s="4" t="s">
        <v>31</v>
      </c>
      <c r="L198" s="24">
        <f>IF(A198="","",IF(OR(G198="",AND(G198&gt;=Dashboard!$C$18,G198&lt;=Dashboard!$C$19)),1,0))</f>
        <v>1</v>
      </c>
      <c r="M198" s="24">
        <f>IF(AND(L198=1,OR(Dashboard!$C$13="All",A198=Dashboard!$C$13),OR(Dashboard!$C$14="All",B198=Dashboard!$C$14),OR(Dashboard!$C$15="All",C198=Dashboard!$C$15),OR(Dashboard!$C$16="All",K198=Dashboard!$C$16),OR(Dashboard!$C$17="All",J198=Dashboard!$C$17)),1,0)</f>
        <v>1</v>
      </c>
      <c r="N198" s="24">
        <f>IF(AND(L198=1,OR(Dashboard!$C$13="All",A198=Dashboard!$C$13),OR(Dashboard!$C$14="All",B198=Dashboard!$C$14),OR(Dashboard!$C$16="All",K198=Dashboard!$C$16),OR(Dashboard!$C$17="All",J198=Dashboard!$C$17)),1,0)</f>
        <v>1</v>
      </c>
      <c r="O198" s="24">
        <f>IF(AND(L198=1,OR(Dashboard!$C$13="All",A198=Dashboard!$C$13),OR(Dashboard!$C$15="All",C198=Dashboard!$C$15),OR(Dashboard!$C$16="All",K198=Dashboard!$C$16),OR(Dashboard!$C$17="All",J198=Dashboard!$C$17)),1,0)</f>
        <v>1</v>
      </c>
      <c r="P198" s="24">
        <f>IF(AND(L198=1,OR(Dashboard!$C$13="All",A198=Dashboard!$C$13),OR(Dashboard!$C$14="All",B198=Dashboard!$C$14),OR(Dashboard!$C$15="All",C198=Dashboard!$C$15),OR(Dashboard!$C$17="All",J198=Dashboard!$C$17)),1,0)</f>
        <v>1</v>
      </c>
      <c r="Q198" s="24">
        <f>IF(AND(L198=1,OR(Dashboard!$C$14="All",B198=Dashboard!$C$14),OR(Dashboard!$C$15="All",C198=Dashboard!$C$15),OR(Dashboard!$C$16="All",K198=Dashboard!$C$16),OR(Dashboard!$C$17="All",J198=Dashboard!$C$17)),1,0)</f>
        <v>1</v>
      </c>
      <c r="R198" s="24">
        <f>IF(AND(L198=1,OR(Dashboard!$C$13="All",A198=Dashboard!$C$13),OR(Dashboard!$C$14="All",B198=Dashboard!$C$14),OR(Dashboard!$C$15="All",C198=Dashboard!$C$15),OR(Dashboard!$C$16="All",K198=Dashboard!$C$16)),1,0)</f>
        <v>1</v>
      </c>
      <c r="S198" s="24">
        <f t="shared" si="3"/>
        <v>197</v>
      </c>
      <c r="T198" s="24" t="s">
        <v>526</v>
      </c>
      <c r="V198" s="24" t="s">
        <v>527</v>
      </c>
    </row>
    <row r="199" ht="15.75" customHeight="1">
      <c r="A199" s="10" t="s">
        <v>264</v>
      </c>
      <c r="B199" s="13" t="s">
        <v>50</v>
      </c>
      <c r="C199" s="10" t="s">
        <v>528</v>
      </c>
      <c r="D199" s="13">
        <v>500.0</v>
      </c>
      <c r="E199" s="14">
        <v>95.0</v>
      </c>
      <c r="F199" s="15">
        <f t="shared" si="1"/>
        <v>47500</v>
      </c>
      <c r="G199" s="6">
        <v>46341.0</v>
      </c>
      <c r="H199" s="22">
        <v>6.0</v>
      </c>
      <c r="I199" s="16">
        <f t="shared" si="2"/>
        <v>46383</v>
      </c>
      <c r="J199" s="13" t="s">
        <v>25</v>
      </c>
      <c r="K199" s="13" t="s">
        <v>31</v>
      </c>
      <c r="L199" s="24">
        <f>IF(A199="","",IF(OR(G199="",AND(G199&gt;=Dashboard!$C$18,G199&lt;=Dashboard!$C$19)),1,0))</f>
        <v>1</v>
      </c>
      <c r="M199" s="24">
        <f>IF(AND(L199=1,OR(Dashboard!$C$13="All",A199=Dashboard!$C$13),OR(Dashboard!$C$14="All",B199=Dashboard!$C$14),OR(Dashboard!$C$15="All",C199=Dashboard!$C$15),OR(Dashboard!$C$16="All",K199=Dashboard!$C$16),OR(Dashboard!$C$17="All",J199=Dashboard!$C$17)),1,0)</f>
        <v>1</v>
      </c>
      <c r="N199" s="24">
        <f>IF(AND(L199=1,OR(Dashboard!$C$13="All",A199=Dashboard!$C$13),OR(Dashboard!$C$14="All",B199=Dashboard!$C$14),OR(Dashboard!$C$16="All",K199=Dashboard!$C$16),OR(Dashboard!$C$17="All",J199=Dashboard!$C$17)),1,0)</f>
        <v>1</v>
      </c>
      <c r="O199" s="24">
        <f>IF(AND(L199=1,OR(Dashboard!$C$13="All",A199=Dashboard!$C$13),OR(Dashboard!$C$15="All",C199=Dashboard!$C$15),OR(Dashboard!$C$16="All",K199=Dashboard!$C$16),OR(Dashboard!$C$17="All",J199=Dashboard!$C$17)),1,0)</f>
        <v>1</v>
      </c>
      <c r="P199" s="24">
        <f>IF(AND(L199=1,OR(Dashboard!$C$13="All",A199=Dashboard!$C$13),OR(Dashboard!$C$14="All",B199=Dashboard!$C$14),OR(Dashboard!$C$15="All",C199=Dashboard!$C$15),OR(Dashboard!$C$17="All",J199=Dashboard!$C$17)),1,0)</f>
        <v>1</v>
      </c>
      <c r="Q199" s="24">
        <f>IF(AND(L199=1,OR(Dashboard!$C$14="All",B199=Dashboard!$C$14),OR(Dashboard!$C$15="All",C199=Dashboard!$C$15),OR(Dashboard!$C$16="All",K199=Dashboard!$C$16),OR(Dashboard!$C$17="All",J199=Dashboard!$C$17)),1,0)</f>
        <v>1</v>
      </c>
      <c r="R199" s="24">
        <f>IF(AND(L199=1,OR(Dashboard!$C$13="All",A199=Dashboard!$C$13),OR(Dashboard!$C$14="All",B199=Dashboard!$C$14),OR(Dashboard!$C$15="All",C199=Dashboard!$C$15),OR(Dashboard!$C$16="All",K199=Dashboard!$C$16)),1,0)</f>
        <v>1</v>
      </c>
      <c r="S199" s="24">
        <f t="shared" si="3"/>
        <v>198</v>
      </c>
      <c r="T199" s="24" t="s">
        <v>529</v>
      </c>
      <c r="V199" s="24" t="s">
        <v>530</v>
      </c>
    </row>
    <row r="200" ht="15.75" customHeight="1">
      <c r="A200" s="3" t="s">
        <v>267</v>
      </c>
      <c r="B200" s="4"/>
      <c r="C200" s="3" t="s">
        <v>82</v>
      </c>
      <c r="D200" s="4">
        <v>3.0</v>
      </c>
      <c r="E200" s="17">
        <v>574.0</v>
      </c>
      <c r="F200" s="5">
        <f t="shared" si="1"/>
        <v>1722</v>
      </c>
      <c r="G200" s="6">
        <v>46342.0</v>
      </c>
      <c r="H200" s="22">
        <v>2.0</v>
      </c>
      <c r="I200" s="7">
        <f t="shared" si="2"/>
        <v>46356</v>
      </c>
      <c r="J200" s="4" t="s">
        <v>25</v>
      </c>
      <c r="K200" s="4" t="s">
        <v>31</v>
      </c>
      <c r="L200" s="24">
        <f>IF(A200="","",IF(OR(G200="",AND(G200&gt;=Dashboard!$C$18,G200&lt;=Dashboard!$C$19)),1,0))</f>
        <v>1</v>
      </c>
      <c r="M200" s="24">
        <f>IF(AND(L200=1,OR(Dashboard!$C$13="All",A200=Dashboard!$C$13),OR(Dashboard!$C$14="All",B200=Dashboard!$C$14),OR(Dashboard!$C$15="All",C200=Dashboard!$C$15),OR(Dashboard!$C$16="All",K200=Dashboard!$C$16),OR(Dashboard!$C$17="All",J200=Dashboard!$C$17)),1,0)</f>
        <v>1</v>
      </c>
      <c r="N200" s="24">
        <f>IF(AND(L200=1,OR(Dashboard!$C$13="All",A200=Dashboard!$C$13),OR(Dashboard!$C$14="All",B200=Dashboard!$C$14),OR(Dashboard!$C$16="All",K200=Dashboard!$C$16),OR(Dashboard!$C$17="All",J200=Dashboard!$C$17)),1,0)</f>
        <v>1</v>
      </c>
      <c r="O200" s="24">
        <f>IF(AND(L200=1,OR(Dashboard!$C$13="All",A200=Dashboard!$C$13),OR(Dashboard!$C$15="All",C200=Dashboard!$C$15),OR(Dashboard!$C$16="All",K200=Dashboard!$C$16),OR(Dashboard!$C$17="All",J200=Dashboard!$C$17)),1,0)</f>
        <v>1</v>
      </c>
      <c r="P200" s="24">
        <f>IF(AND(L200=1,OR(Dashboard!$C$13="All",A200=Dashboard!$C$13),OR(Dashboard!$C$14="All",B200=Dashboard!$C$14),OR(Dashboard!$C$15="All",C200=Dashboard!$C$15),OR(Dashboard!$C$17="All",J200=Dashboard!$C$17)),1,0)</f>
        <v>1</v>
      </c>
      <c r="Q200" s="24">
        <f>IF(AND(L200=1,OR(Dashboard!$C$14="All",B200=Dashboard!$C$14),OR(Dashboard!$C$15="All",C200=Dashboard!$C$15),OR(Dashboard!$C$16="All",K200=Dashboard!$C$16),OR(Dashboard!$C$17="All",J200=Dashboard!$C$17)),1,0)</f>
        <v>1</v>
      </c>
      <c r="R200" s="24">
        <f>IF(AND(L200=1,OR(Dashboard!$C$13="All",A200=Dashboard!$C$13),OR(Dashboard!$C$14="All",B200=Dashboard!$C$14),OR(Dashboard!$C$15="All",C200=Dashboard!$C$15),OR(Dashboard!$C$16="All",K200=Dashboard!$C$16)),1,0)</f>
        <v>1</v>
      </c>
      <c r="S200" s="24">
        <f t="shared" si="3"/>
        <v>199</v>
      </c>
      <c r="V200" s="24" t="s">
        <v>531</v>
      </c>
    </row>
    <row r="201" ht="15.75" customHeight="1">
      <c r="A201" s="10" t="s">
        <v>267</v>
      </c>
      <c r="B201" s="13"/>
      <c r="C201" s="10" t="s">
        <v>484</v>
      </c>
      <c r="D201" s="13">
        <v>1.0</v>
      </c>
      <c r="E201" s="14">
        <v>558.0</v>
      </c>
      <c r="F201" s="15">
        <f t="shared" si="1"/>
        <v>558</v>
      </c>
      <c r="G201" s="6">
        <v>46343.0</v>
      </c>
      <c r="H201" s="22">
        <v>2.0</v>
      </c>
      <c r="I201" s="16">
        <f t="shared" si="2"/>
        <v>46357</v>
      </c>
      <c r="J201" s="13" t="s">
        <v>25</v>
      </c>
      <c r="K201" s="13" t="s">
        <v>31</v>
      </c>
      <c r="L201" s="24">
        <f>IF(A201="","",IF(OR(G201="",AND(G201&gt;=Dashboard!$C$18,G201&lt;=Dashboard!$C$19)),1,0))</f>
        <v>1</v>
      </c>
      <c r="M201" s="24">
        <f>IF(AND(L201=1,OR(Dashboard!$C$13="All",A201=Dashboard!$C$13),OR(Dashboard!$C$14="All",B201=Dashboard!$C$14),OR(Dashboard!$C$15="All",C201=Dashboard!$C$15),OR(Dashboard!$C$16="All",K201=Dashboard!$C$16),OR(Dashboard!$C$17="All",J201=Dashboard!$C$17)),1,0)</f>
        <v>1</v>
      </c>
      <c r="N201" s="24">
        <f>IF(AND(L201=1,OR(Dashboard!$C$13="All",A201=Dashboard!$C$13),OR(Dashboard!$C$14="All",B201=Dashboard!$C$14),OR(Dashboard!$C$16="All",K201=Dashboard!$C$16),OR(Dashboard!$C$17="All",J201=Dashboard!$C$17)),1,0)</f>
        <v>1</v>
      </c>
      <c r="O201" s="24">
        <f>IF(AND(L201=1,OR(Dashboard!$C$13="All",A201=Dashboard!$C$13),OR(Dashboard!$C$15="All",C201=Dashboard!$C$15),OR(Dashboard!$C$16="All",K201=Dashboard!$C$16),OR(Dashboard!$C$17="All",J201=Dashboard!$C$17)),1,0)</f>
        <v>1</v>
      </c>
      <c r="P201" s="24">
        <f>IF(AND(L201=1,OR(Dashboard!$C$13="All",A201=Dashboard!$C$13),OR(Dashboard!$C$14="All",B201=Dashboard!$C$14),OR(Dashboard!$C$15="All",C201=Dashboard!$C$15),OR(Dashboard!$C$17="All",J201=Dashboard!$C$17)),1,0)</f>
        <v>1</v>
      </c>
      <c r="Q201" s="24">
        <f>IF(AND(L201=1,OR(Dashboard!$C$14="All",B201=Dashboard!$C$14),OR(Dashboard!$C$15="All",C201=Dashboard!$C$15),OR(Dashboard!$C$16="All",K201=Dashboard!$C$16),OR(Dashboard!$C$17="All",J201=Dashboard!$C$17)),1,0)</f>
        <v>1</v>
      </c>
      <c r="R201" s="24">
        <f>IF(AND(L201=1,OR(Dashboard!$C$13="All",A201=Dashboard!$C$13),OR(Dashboard!$C$14="All",B201=Dashboard!$C$14),OR(Dashboard!$C$15="All",C201=Dashboard!$C$15),OR(Dashboard!$C$16="All",K201=Dashboard!$C$16)),1,0)</f>
        <v>1</v>
      </c>
      <c r="S201" s="24">
        <f t="shared" si="3"/>
        <v>200</v>
      </c>
      <c r="V201" s="24" t="s">
        <v>532</v>
      </c>
    </row>
    <row r="202" ht="15.75" customHeight="1">
      <c r="A202" s="3" t="s">
        <v>267</v>
      </c>
      <c r="B202" s="4"/>
      <c r="C202" s="3" t="s">
        <v>73</v>
      </c>
      <c r="D202" s="4">
        <v>8.0</v>
      </c>
      <c r="E202" s="17">
        <v>2265.0</v>
      </c>
      <c r="F202" s="5">
        <f t="shared" si="1"/>
        <v>18120</v>
      </c>
      <c r="G202" s="6">
        <v>46144.0</v>
      </c>
      <c r="H202" s="22">
        <v>6.0</v>
      </c>
      <c r="I202" s="7">
        <f t="shared" si="2"/>
        <v>46186</v>
      </c>
      <c r="J202" s="4" t="s">
        <v>25</v>
      </c>
      <c r="K202" s="4" t="s">
        <v>31</v>
      </c>
      <c r="L202" s="24">
        <f>IF(A202="","",IF(OR(G202="",AND(G202&gt;=Dashboard!$C$18,G202&lt;=Dashboard!$C$19)),1,0))</f>
        <v>1</v>
      </c>
      <c r="M202" s="24">
        <f>IF(AND(L202=1,OR(Dashboard!$C$13="All",A202=Dashboard!$C$13),OR(Dashboard!$C$14="All",B202=Dashboard!$C$14),OR(Dashboard!$C$15="All",C202=Dashboard!$C$15),OR(Dashboard!$C$16="All",K202=Dashboard!$C$16),OR(Dashboard!$C$17="All",J202=Dashboard!$C$17)),1,0)</f>
        <v>1</v>
      </c>
      <c r="N202" s="24">
        <f>IF(AND(L202=1,OR(Dashboard!$C$13="All",A202=Dashboard!$C$13),OR(Dashboard!$C$14="All",B202=Dashboard!$C$14),OR(Dashboard!$C$16="All",K202=Dashboard!$C$16),OR(Dashboard!$C$17="All",J202=Dashboard!$C$17)),1,0)</f>
        <v>1</v>
      </c>
      <c r="O202" s="24">
        <f>IF(AND(L202=1,OR(Dashboard!$C$13="All",A202=Dashboard!$C$13),OR(Dashboard!$C$15="All",C202=Dashboard!$C$15),OR(Dashboard!$C$16="All",K202=Dashboard!$C$16),OR(Dashboard!$C$17="All",J202=Dashboard!$C$17)),1,0)</f>
        <v>1</v>
      </c>
      <c r="P202" s="24">
        <f>IF(AND(L202=1,OR(Dashboard!$C$13="All",A202=Dashboard!$C$13),OR(Dashboard!$C$14="All",B202=Dashboard!$C$14),OR(Dashboard!$C$15="All",C202=Dashboard!$C$15),OR(Dashboard!$C$17="All",J202=Dashboard!$C$17)),1,0)</f>
        <v>1</v>
      </c>
      <c r="Q202" s="24">
        <f>IF(AND(L202=1,OR(Dashboard!$C$14="All",B202=Dashboard!$C$14),OR(Dashboard!$C$15="All",C202=Dashboard!$C$15),OR(Dashboard!$C$16="All",K202=Dashboard!$C$16),OR(Dashboard!$C$17="All",J202=Dashboard!$C$17)),1,0)</f>
        <v>1</v>
      </c>
      <c r="R202" s="24">
        <f>IF(AND(L202=1,OR(Dashboard!$C$13="All",A202=Dashboard!$C$13),OR(Dashboard!$C$14="All",B202=Dashboard!$C$14),OR(Dashboard!$C$15="All",C202=Dashboard!$C$15),OR(Dashboard!$C$16="All",K202=Dashboard!$C$16)),1,0)</f>
        <v>1</v>
      </c>
      <c r="S202" s="24">
        <f t="shared" si="3"/>
        <v>201</v>
      </c>
      <c r="V202" s="24" t="s">
        <v>533</v>
      </c>
    </row>
    <row r="203" ht="15.75" customHeight="1">
      <c r="A203" s="10" t="s">
        <v>267</v>
      </c>
      <c r="B203" s="13" t="s">
        <v>41</v>
      </c>
      <c r="C203" s="10" t="s">
        <v>534</v>
      </c>
      <c r="D203" s="13">
        <v>20000.0</v>
      </c>
      <c r="E203" s="14">
        <v>45.0</v>
      </c>
      <c r="F203" s="15">
        <f t="shared" si="1"/>
        <v>900000</v>
      </c>
      <c r="G203" s="6">
        <v>46145.0</v>
      </c>
      <c r="H203" s="22">
        <v>4.0</v>
      </c>
      <c r="I203" s="16">
        <f t="shared" si="2"/>
        <v>46173</v>
      </c>
      <c r="J203" s="13" t="s">
        <v>25</v>
      </c>
      <c r="K203" s="13" t="s">
        <v>31</v>
      </c>
      <c r="L203" s="24">
        <f>IF(A203="","",IF(OR(G203="",AND(G203&gt;=Dashboard!$C$18,G203&lt;=Dashboard!$C$19)),1,0))</f>
        <v>1</v>
      </c>
      <c r="M203" s="24">
        <f>IF(AND(L203=1,OR(Dashboard!$C$13="All",A203=Dashboard!$C$13),OR(Dashboard!$C$14="All",B203=Dashboard!$C$14),OR(Dashboard!$C$15="All",C203=Dashboard!$C$15),OR(Dashboard!$C$16="All",K203=Dashboard!$C$16),OR(Dashboard!$C$17="All",J203=Dashboard!$C$17)),1,0)</f>
        <v>1</v>
      </c>
      <c r="N203" s="24">
        <f>IF(AND(L203=1,OR(Dashboard!$C$13="All",A203=Dashboard!$C$13),OR(Dashboard!$C$14="All",B203=Dashboard!$C$14),OR(Dashboard!$C$16="All",K203=Dashboard!$C$16),OR(Dashboard!$C$17="All",J203=Dashboard!$C$17)),1,0)</f>
        <v>1</v>
      </c>
      <c r="O203" s="24">
        <f>IF(AND(L203=1,OR(Dashboard!$C$13="All",A203=Dashboard!$C$13),OR(Dashboard!$C$15="All",C203=Dashboard!$C$15),OR(Dashboard!$C$16="All",K203=Dashboard!$C$16),OR(Dashboard!$C$17="All",J203=Dashboard!$C$17)),1,0)</f>
        <v>1</v>
      </c>
      <c r="P203" s="24">
        <f>IF(AND(L203=1,OR(Dashboard!$C$13="All",A203=Dashboard!$C$13),OR(Dashboard!$C$14="All",B203=Dashboard!$C$14),OR(Dashboard!$C$15="All",C203=Dashboard!$C$15),OR(Dashboard!$C$17="All",J203=Dashboard!$C$17)),1,0)</f>
        <v>1</v>
      </c>
      <c r="Q203" s="24">
        <f>IF(AND(L203=1,OR(Dashboard!$C$14="All",B203=Dashboard!$C$14),OR(Dashboard!$C$15="All",C203=Dashboard!$C$15),OR(Dashboard!$C$16="All",K203=Dashboard!$C$16),OR(Dashboard!$C$17="All",J203=Dashboard!$C$17)),1,0)</f>
        <v>1</v>
      </c>
      <c r="R203" s="24">
        <f>IF(AND(L203=1,OR(Dashboard!$C$13="All",A203=Dashboard!$C$13),OR(Dashboard!$C$14="All",B203=Dashboard!$C$14),OR(Dashboard!$C$15="All",C203=Dashboard!$C$15),OR(Dashboard!$C$16="All",K203=Dashboard!$C$16)),1,0)</f>
        <v>1</v>
      </c>
      <c r="S203" s="24">
        <f t="shared" si="3"/>
        <v>202</v>
      </c>
      <c r="V203" s="24" t="s">
        <v>535</v>
      </c>
    </row>
    <row r="204" ht="15.75" customHeight="1">
      <c r="A204" s="3" t="s">
        <v>267</v>
      </c>
      <c r="B204" s="4" t="s">
        <v>131</v>
      </c>
      <c r="C204" s="3" t="s">
        <v>536</v>
      </c>
      <c r="D204" s="4">
        <v>15000.0</v>
      </c>
      <c r="E204" s="17">
        <v>5554.0</v>
      </c>
      <c r="F204" s="5">
        <f t="shared" si="1"/>
        <v>83310000</v>
      </c>
      <c r="G204" s="6">
        <v>46146.0</v>
      </c>
      <c r="H204" s="22">
        <v>4.0</v>
      </c>
      <c r="I204" s="7">
        <f t="shared" si="2"/>
        <v>46174</v>
      </c>
      <c r="J204" s="4" t="s">
        <v>25</v>
      </c>
      <c r="K204" s="4" t="s">
        <v>31</v>
      </c>
      <c r="L204" s="24">
        <f>IF(A204="","",IF(OR(G204="",AND(G204&gt;=Dashboard!$C$18,G204&lt;=Dashboard!$C$19)),1,0))</f>
        <v>1</v>
      </c>
      <c r="M204" s="24">
        <f>IF(AND(L204=1,OR(Dashboard!$C$13="All",A204=Dashboard!$C$13),OR(Dashboard!$C$14="All",B204=Dashboard!$C$14),OR(Dashboard!$C$15="All",C204=Dashboard!$C$15),OR(Dashboard!$C$16="All",K204=Dashboard!$C$16),OR(Dashboard!$C$17="All",J204=Dashboard!$C$17)),1,0)</f>
        <v>1</v>
      </c>
      <c r="N204" s="24">
        <f>IF(AND(L204=1,OR(Dashboard!$C$13="All",A204=Dashboard!$C$13),OR(Dashboard!$C$14="All",B204=Dashboard!$C$14),OR(Dashboard!$C$16="All",K204=Dashboard!$C$16),OR(Dashboard!$C$17="All",J204=Dashboard!$C$17)),1,0)</f>
        <v>1</v>
      </c>
      <c r="O204" s="24">
        <f>IF(AND(L204=1,OR(Dashboard!$C$13="All",A204=Dashboard!$C$13),OR(Dashboard!$C$15="All",C204=Dashboard!$C$15),OR(Dashboard!$C$16="All",K204=Dashboard!$C$16),OR(Dashboard!$C$17="All",J204=Dashboard!$C$17)),1,0)</f>
        <v>1</v>
      </c>
      <c r="P204" s="24">
        <f>IF(AND(L204=1,OR(Dashboard!$C$13="All",A204=Dashboard!$C$13),OR(Dashboard!$C$14="All",B204=Dashboard!$C$14),OR(Dashboard!$C$15="All",C204=Dashboard!$C$15),OR(Dashboard!$C$17="All",J204=Dashboard!$C$17)),1,0)</f>
        <v>1</v>
      </c>
      <c r="Q204" s="24">
        <f>IF(AND(L204=1,OR(Dashboard!$C$14="All",B204=Dashboard!$C$14),OR(Dashboard!$C$15="All",C204=Dashboard!$C$15),OR(Dashboard!$C$16="All",K204=Dashboard!$C$16),OR(Dashboard!$C$17="All",J204=Dashboard!$C$17)),1,0)</f>
        <v>1</v>
      </c>
      <c r="R204" s="24">
        <f>IF(AND(L204=1,OR(Dashboard!$C$13="All",A204=Dashboard!$C$13),OR(Dashboard!$C$14="All",B204=Dashboard!$C$14),OR(Dashboard!$C$15="All",C204=Dashboard!$C$15),OR(Dashboard!$C$16="All",K204=Dashboard!$C$16)),1,0)</f>
        <v>1</v>
      </c>
      <c r="S204" s="24">
        <f t="shared" si="3"/>
        <v>203</v>
      </c>
      <c r="V204" s="24" t="s">
        <v>427</v>
      </c>
    </row>
    <row r="205" ht="15.75" customHeight="1">
      <c r="A205" s="10" t="s">
        <v>267</v>
      </c>
      <c r="B205" s="13"/>
      <c r="C205" s="10" t="s">
        <v>537</v>
      </c>
      <c r="D205" s="13">
        <v>60.0</v>
      </c>
      <c r="E205" s="14">
        <v>41.0</v>
      </c>
      <c r="F205" s="15">
        <f t="shared" si="1"/>
        <v>2460</v>
      </c>
      <c r="G205" s="6">
        <v>46147.0</v>
      </c>
      <c r="H205" s="22">
        <v>4.0</v>
      </c>
      <c r="I205" s="16">
        <f t="shared" si="2"/>
        <v>46175</v>
      </c>
      <c r="J205" s="13" t="s">
        <v>25</v>
      </c>
      <c r="K205" s="13" t="s">
        <v>31</v>
      </c>
      <c r="L205" s="24">
        <f>IF(A205="","",IF(OR(G205="",AND(G205&gt;=Dashboard!$C$18,G205&lt;=Dashboard!$C$19)),1,0))</f>
        <v>1</v>
      </c>
      <c r="M205" s="24">
        <f>IF(AND(L205=1,OR(Dashboard!$C$13="All",A205=Dashboard!$C$13),OR(Dashboard!$C$14="All",B205=Dashboard!$C$14),OR(Dashboard!$C$15="All",C205=Dashboard!$C$15),OR(Dashboard!$C$16="All",K205=Dashboard!$C$16),OR(Dashboard!$C$17="All",J205=Dashboard!$C$17)),1,0)</f>
        <v>1</v>
      </c>
      <c r="N205" s="24">
        <f>IF(AND(L205=1,OR(Dashboard!$C$13="All",A205=Dashboard!$C$13),OR(Dashboard!$C$14="All",B205=Dashboard!$C$14),OR(Dashboard!$C$16="All",K205=Dashboard!$C$16),OR(Dashboard!$C$17="All",J205=Dashboard!$C$17)),1,0)</f>
        <v>1</v>
      </c>
      <c r="O205" s="24">
        <f>IF(AND(L205=1,OR(Dashboard!$C$13="All",A205=Dashboard!$C$13),OR(Dashboard!$C$15="All",C205=Dashboard!$C$15),OR(Dashboard!$C$16="All",K205=Dashboard!$C$16),OR(Dashboard!$C$17="All",J205=Dashboard!$C$17)),1,0)</f>
        <v>1</v>
      </c>
      <c r="P205" s="24">
        <f>IF(AND(L205=1,OR(Dashboard!$C$13="All",A205=Dashboard!$C$13),OR(Dashboard!$C$14="All",B205=Dashboard!$C$14),OR(Dashboard!$C$15="All",C205=Dashboard!$C$15),OR(Dashboard!$C$17="All",J205=Dashboard!$C$17)),1,0)</f>
        <v>1</v>
      </c>
      <c r="Q205" s="24">
        <f>IF(AND(L205=1,OR(Dashboard!$C$14="All",B205=Dashboard!$C$14),OR(Dashboard!$C$15="All",C205=Dashboard!$C$15),OR(Dashboard!$C$16="All",K205=Dashboard!$C$16),OR(Dashboard!$C$17="All",J205=Dashboard!$C$17)),1,0)</f>
        <v>1</v>
      </c>
      <c r="R205" s="24">
        <f>IF(AND(L205=1,OR(Dashboard!$C$13="All",A205=Dashboard!$C$13),OR(Dashboard!$C$14="All",B205=Dashboard!$C$14),OR(Dashboard!$C$15="All",C205=Dashboard!$C$15),OR(Dashboard!$C$16="All",K205=Dashboard!$C$16)),1,0)</f>
        <v>1</v>
      </c>
      <c r="S205" s="24">
        <f t="shared" si="3"/>
        <v>204</v>
      </c>
      <c r="V205" s="24" t="s">
        <v>538</v>
      </c>
    </row>
    <row r="206" ht="15.75" customHeight="1">
      <c r="A206" s="3" t="s">
        <v>271</v>
      </c>
      <c r="B206" s="4" t="s">
        <v>131</v>
      </c>
      <c r="C206" s="3" t="s">
        <v>539</v>
      </c>
      <c r="D206" s="4">
        <v>5000.0</v>
      </c>
      <c r="E206" s="17">
        <v>231.0</v>
      </c>
      <c r="F206" s="5">
        <f t="shared" si="1"/>
        <v>1155000</v>
      </c>
      <c r="G206" s="6">
        <v>46148.0</v>
      </c>
      <c r="H206" s="22">
        <v>4.0</v>
      </c>
      <c r="I206" s="7">
        <f t="shared" si="2"/>
        <v>46176</v>
      </c>
      <c r="J206" s="4" t="s">
        <v>25</v>
      </c>
      <c r="K206" s="4" t="s">
        <v>31</v>
      </c>
      <c r="L206" s="24">
        <f>IF(A206="","",IF(OR(G206="",AND(G206&gt;=Dashboard!$C$18,G206&lt;=Dashboard!$C$19)),1,0))</f>
        <v>1</v>
      </c>
      <c r="M206" s="24">
        <f>IF(AND(L206=1,OR(Dashboard!$C$13="All",A206=Dashboard!$C$13),OR(Dashboard!$C$14="All",B206=Dashboard!$C$14),OR(Dashboard!$C$15="All",C206=Dashboard!$C$15),OR(Dashboard!$C$16="All",K206=Dashboard!$C$16),OR(Dashboard!$C$17="All",J206=Dashboard!$C$17)),1,0)</f>
        <v>1</v>
      </c>
      <c r="N206" s="24">
        <f>IF(AND(L206=1,OR(Dashboard!$C$13="All",A206=Dashboard!$C$13),OR(Dashboard!$C$14="All",B206=Dashboard!$C$14),OR(Dashboard!$C$16="All",K206=Dashboard!$C$16),OR(Dashboard!$C$17="All",J206=Dashboard!$C$17)),1,0)</f>
        <v>1</v>
      </c>
      <c r="O206" s="24">
        <f>IF(AND(L206=1,OR(Dashboard!$C$13="All",A206=Dashboard!$C$13),OR(Dashboard!$C$15="All",C206=Dashboard!$C$15),OR(Dashboard!$C$16="All",K206=Dashboard!$C$16),OR(Dashboard!$C$17="All",J206=Dashboard!$C$17)),1,0)</f>
        <v>1</v>
      </c>
      <c r="P206" s="24">
        <f>IF(AND(L206=1,OR(Dashboard!$C$13="All",A206=Dashboard!$C$13),OR(Dashboard!$C$14="All",B206=Dashboard!$C$14),OR(Dashboard!$C$15="All",C206=Dashboard!$C$15),OR(Dashboard!$C$17="All",J206=Dashboard!$C$17)),1,0)</f>
        <v>1</v>
      </c>
      <c r="Q206" s="24">
        <f>IF(AND(L206=1,OR(Dashboard!$C$14="All",B206=Dashboard!$C$14),OR(Dashboard!$C$15="All",C206=Dashboard!$C$15),OR(Dashboard!$C$16="All",K206=Dashboard!$C$16),OR(Dashboard!$C$17="All",J206=Dashboard!$C$17)),1,0)</f>
        <v>1</v>
      </c>
      <c r="R206" s="24">
        <f>IF(AND(L206=1,OR(Dashboard!$C$13="All",A206=Dashboard!$C$13),OR(Dashboard!$C$14="All",B206=Dashboard!$C$14),OR(Dashboard!$C$15="All",C206=Dashboard!$C$15),OR(Dashboard!$C$16="All",K206=Dashboard!$C$16)),1,0)</f>
        <v>1</v>
      </c>
      <c r="S206" s="24">
        <f t="shared" si="3"/>
        <v>205</v>
      </c>
      <c r="V206" s="24" t="s">
        <v>540</v>
      </c>
    </row>
    <row r="207" ht="15.75" customHeight="1">
      <c r="A207" s="10" t="s">
        <v>271</v>
      </c>
      <c r="B207" s="13"/>
      <c r="C207" s="10" t="s">
        <v>541</v>
      </c>
      <c r="D207" s="13">
        <v>15000.0</v>
      </c>
      <c r="E207" s="14">
        <v>25.0</v>
      </c>
      <c r="F207" s="15">
        <f t="shared" si="1"/>
        <v>375000</v>
      </c>
      <c r="G207" s="6">
        <v>46149.0</v>
      </c>
      <c r="H207" s="22">
        <v>4.0</v>
      </c>
      <c r="I207" s="16">
        <f t="shared" si="2"/>
        <v>46177</v>
      </c>
      <c r="J207" s="13" t="s">
        <v>25</v>
      </c>
      <c r="K207" s="13" t="s">
        <v>31</v>
      </c>
      <c r="L207" s="24">
        <f>IF(A207="","",IF(OR(G207="",AND(G207&gt;=Dashboard!$C$18,G207&lt;=Dashboard!$C$19)),1,0))</f>
        <v>1</v>
      </c>
      <c r="M207" s="24">
        <f>IF(AND(L207=1,OR(Dashboard!$C$13="All",A207=Dashboard!$C$13),OR(Dashboard!$C$14="All",B207=Dashboard!$C$14),OR(Dashboard!$C$15="All",C207=Dashboard!$C$15),OR(Dashboard!$C$16="All",K207=Dashboard!$C$16),OR(Dashboard!$C$17="All",J207=Dashboard!$C$17)),1,0)</f>
        <v>1</v>
      </c>
      <c r="N207" s="24">
        <f>IF(AND(L207=1,OR(Dashboard!$C$13="All",A207=Dashboard!$C$13),OR(Dashboard!$C$14="All",B207=Dashboard!$C$14),OR(Dashboard!$C$16="All",K207=Dashboard!$C$16),OR(Dashboard!$C$17="All",J207=Dashboard!$C$17)),1,0)</f>
        <v>1</v>
      </c>
      <c r="O207" s="24">
        <f>IF(AND(L207=1,OR(Dashboard!$C$13="All",A207=Dashboard!$C$13),OR(Dashboard!$C$15="All",C207=Dashboard!$C$15),OR(Dashboard!$C$16="All",K207=Dashboard!$C$16),OR(Dashboard!$C$17="All",J207=Dashboard!$C$17)),1,0)</f>
        <v>1</v>
      </c>
      <c r="P207" s="24">
        <f>IF(AND(L207=1,OR(Dashboard!$C$13="All",A207=Dashboard!$C$13),OR(Dashboard!$C$14="All",B207=Dashboard!$C$14),OR(Dashboard!$C$15="All",C207=Dashboard!$C$15),OR(Dashboard!$C$17="All",J207=Dashboard!$C$17)),1,0)</f>
        <v>1</v>
      </c>
      <c r="Q207" s="24">
        <f>IF(AND(L207=1,OR(Dashboard!$C$14="All",B207=Dashboard!$C$14),OR(Dashboard!$C$15="All",C207=Dashboard!$C$15),OR(Dashboard!$C$16="All",K207=Dashboard!$C$16),OR(Dashboard!$C$17="All",J207=Dashboard!$C$17)),1,0)</f>
        <v>1</v>
      </c>
      <c r="R207" s="24">
        <f>IF(AND(L207=1,OR(Dashboard!$C$13="All",A207=Dashboard!$C$13),OR(Dashboard!$C$14="All",B207=Dashboard!$C$14),OR(Dashboard!$C$15="All",C207=Dashboard!$C$15),OR(Dashboard!$C$16="All",K207=Dashboard!$C$16)),1,0)</f>
        <v>1</v>
      </c>
      <c r="S207" s="24">
        <f t="shared" si="3"/>
        <v>206</v>
      </c>
      <c r="V207" s="24" t="s">
        <v>313</v>
      </c>
    </row>
    <row r="208" ht="15.75" customHeight="1">
      <c r="A208" s="3" t="s">
        <v>271</v>
      </c>
      <c r="B208" s="4" t="s">
        <v>90</v>
      </c>
      <c r="C208" s="3" t="s">
        <v>532</v>
      </c>
      <c r="D208" s="4">
        <v>1000.0</v>
      </c>
      <c r="E208" s="17">
        <v>245.0</v>
      </c>
      <c r="F208" s="5">
        <f t="shared" si="1"/>
        <v>245000</v>
      </c>
      <c r="G208" s="6">
        <v>46150.0</v>
      </c>
      <c r="H208" s="22">
        <v>4.0</v>
      </c>
      <c r="I208" s="7">
        <f t="shared" si="2"/>
        <v>46178</v>
      </c>
      <c r="J208" s="4" t="s">
        <v>25</v>
      </c>
      <c r="K208" s="4" t="s">
        <v>31</v>
      </c>
      <c r="L208" s="24">
        <f>IF(A208="","",IF(OR(G208="",AND(G208&gt;=Dashboard!$C$18,G208&lt;=Dashboard!$C$19)),1,0))</f>
        <v>1</v>
      </c>
      <c r="M208" s="24">
        <f>IF(AND(L208=1,OR(Dashboard!$C$13="All",A208=Dashboard!$C$13),OR(Dashboard!$C$14="All",B208=Dashboard!$C$14),OR(Dashboard!$C$15="All",C208=Dashboard!$C$15),OR(Dashboard!$C$16="All",K208=Dashboard!$C$16),OR(Dashboard!$C$17="All",J208=Dashboard!$C$17)),1,0)</f>
        <v>1</v>
      </c>
      <c r="N208" s="24">
        <f>IF(AND(L208=1,OR(Dashboard!$C$13="All",A208=Dashboard!$C$13),OR(Dashboard!$C$14="All",B208=Dashboard!$C$14),OR(Dashboard!$C$16="All",K208=Dashboard!$C$16),OR(Dashboard!$C$17="All",J208=Dashboard!$C$17)),1,0)</f>
        <v>1</v>
      </c>
      <c r="O208" s="24">
        <f>IF(AND(L208=1,OR(Dashboard!$C$13="All",A208=Dashboard!$C$13),OR(Dashboard!$C$15="All",C208=Dashboard!$C$15),OR(Dashboard!$C$16="All",K208=Dashboard!$C$16),OR(Dashboard!$C$17="All",J208=Dashboard!$C$17)),1,0)</f>
        <v>1</v>
      </c>
      <c r="P208" s="24">
        <f>IF(AND(L208=1,OR(Dashboard!$C$13="All",A208=Dashboard!$C$13),OR(Dashboard!$C$14="All",B208=Dashboard!$C$14),OR(Dashboard!$C$15="All",C208=Dashboard!$C$15),OR(Dashboard!$C$17="All",J208=Dashboard!$C$17)),1,0)</f>
        <v>1</v>
      </c>
      <c r="Q208" s="24">
        <f>IF(AND(L208=1,OR(Dashboard!$C$14="All",B208=Dashboard!$C$14),OR(Dashboard!$C$15="All",C208=Dashboard!$C$15),OR(Dashboard!$C$16="All",K208=Dashboard!$C$16),OR(Dashboard!$C$17="All",J208=Dashboard!$C$17)),1,0)</f>
        <v>1</v>
      </c>
      <c r="R208" s="24">
        <f>IF(AND(L208=1,OR(Dashboard!$C$13="All",A208=Dashboard!$C$13),OR(Dashboard!$C$14="All",B208=Dashboard!$C$14),OR(Dashboard!$C$15="All",C208=Dashboard!$C$15),OR(Dashboard!$C$16="All",K208=Dashboard!$C$16)),1,0)</f>
        <v>1</v>
      </c>
      <c r="S208" s="24">
        <f t="shared" si="3"/>
        <v>207</v>
      </c>
      <c r="V208" s="24" t="s">
        <v>542</v>
      </c>
    </row>
    <row r="209" ht="15.75" customHeight="1">
      <c r="A209" s="10" t="s">
        <v>271</v>
      </c>
      <c r="B209" s="13"/>
      <c r="C209" s="10" t="s">
        <v>543</v>
      </c>
      <c r="D209" s="13">
        <v>1.0</v>
      </c>
      <c r="E209" s="14">
        <v>2555.0</v>
      </c>
      <c r="F209" s="15">
        <f t="shared" si="1"/>
        <v>2555</v>
      </c>
      <c r="G209" s="6">
        <v>46151.0</v>
      </c>
      <c r="H209" s="22">
        <v>4.0</v>
      </c>
      <c r="I209" s="16">
        <f t="shared" si="2"/>
        <v>46179</v>
      </c>
      <c r="J209" s="13" t="s">
        <v>25</v>
      </c>
      <c r="K209" s="13" t="s">
        <v>31</v>
      </c>
      <c r="L209" s="24">
        <f>IF(A209="","",IF(OR(G209="",AND(G209&gt;=Dashboard!$C$18,G209&lt;=Dashboard!$C$19)),1,0))</f>
        <v>1</v>
      </c>
      <c r="M209" s="24">
        <f>IF(AND(L209=1,OR(Dashboard!$C$13="All",A209=Dashboard!$C$13),OR(Dashboard!$C$14="All",B209=Dashboard!$C$14),OR(Dashboard!$C$15="All",C209=Dashboard!$C$15),OR(Dashboard!$C$16="All",K209=Dashboard!$C$16),OR(Dashboard!$C$17="All",J209=Dashboard!$C$17)),1,0)</f>
        <v>1</v>
      </c>
      <c r="N209" s="24">
        <f>IF(AND(L209=1,OR(Dashboard!$C$13="All",A209=Dashboard!$C$13),OR(Dashboard!$C$14="All",B209=Dashboard!$C$14),OR(Dashboard!$C$16="All",K209=Dashboard!$C$16),OR(Dashboard!$C$17="All",J209=Dashboard!$C$17)),1,0)</f>
        <v>1</v>
      </c>
      <c r="O209" s="24">
        <f>IF(AND(L209=1,OR(Dashboard!$C$13="All",A209=Dashboard!$C$13),OR(Dashboard!$C$15="All",C209=Dashboard!$C$15),OR(Dashboard!$C$16="All",K209=Dashboard!$C$16),OR(Dashboard!$C$17="All",J209=Dashboard!$C$17)),1,0)</f>
        <v>1</v>
      </c>
      <c r="P209" s="24">
        <f>IF(AND(L209=1,OR(Dashboard!$C$13="All",A209=Dashboard!$C$13),OR(Dashboard!$C$14="All",B209=Dashboard!$C$14),OR(Dashboard!$C$15="All",C209=Dashboard!$C$15),OR(Dashboard!$C$17="All",J209=Dashboard!$C$17)),1,0)</f>
        <v>1</v>
      </c>
      <c r="Q209" s="24">
        <f>IF(AND(L209=1,OR(Dashboard!$C$14="All",B209=Dashboard!$C$14),OR(Dashboard!$C$15="All",C209=Dashboard!$C$15),OR(Dashboard!$C$16="All",K209=Dashboard!$C$16),OR(Dashboard!$C$17="All",J209=Dashboard!$C$17)),1,0)</f>
        <v>1</v>
      </c>
      <c r="R209" s="24">
        <f>IF(AND(L209=1,OR(Dashboard!$C$13="All",A209=Dashboard!$C$13),OR(Dashboard!$C$14="All",B209=Dashboard!$C$14),OR(Dashboard!$C$15="All",C209=Dashboard!$C$15),OR(Dashboard!$C$16="All",K209=Dashboard!$C$16)),1,0)</f>
        <v>1</v>
      </c>
      <c r="S209" s="24">
        <f t="shared" si="3"/>
        <v>208</v>
      </c>
      <c r="V209" s="24" t="s">
        <v>544</v>
      </c>
    </row>
    <row r="210" ht="15.75" customHeight="1">
      <c r="A210" s="3" t="s">
        <v>274</v>
      </c>
      <c r="B210" s="4"/>
      <c r="C210" s="3" t="s">
        <v>186</v>
      </c>
      <c r="D210" s="4">
        <v>2.0</v>
      </c>
      <c r="E210" s="17">
        <v>255.0</v>
      </c>
      <c r="F210" s="5">
        <f t="shared" si="1"/>
        <v>510</v>
      </c>
      <c r="G210" s="6">
        <v>46152.0</v>
      </c>
      <c r="H210" s="22">
        <v>4.0</v>
      </c>
      <c r="I210" s="7">
        <f t="shared" si="2"/>
        <v>46180</v>
      </c>
      <c r="J210" s="4" t="s">
        <v>25</v>
      </c>
      <c r="K210" s="4" t="s">
        <v>31</v>
      </c>
      <c r="L210" s="24">
        <f>IF(A210="","",IF(OR(G210="",AND(G210&gt;=Dashboard!$C$18,G210&lt;=Dashboard!$C$19)),1,0))</f>
        <v>1</v>
      </c>
      <c r="M210" s="24">
        <f>IF(AND(L210=1,OR(Dashboard!$C$13="All",A210=Dashboard!$C$13),OR(Dashboard!$C$14="All",B210=Dashboard!$C$14),OR(Dashboard!$C$15="All",C210=Dashboard!$C$15),OR(Dashboard!$C$16="All",K210=Dashboard!$C$16),OR(Dashboard!$C$17="All",J210=Dashboard!$C$17)),1,0)</f>
        <v>1</v>
      </c>
      <c r="N210" s="24">
        <f>IF(AND(L210=1,OR(Dashboard!$C$13="All",A210=Dashboard!$C$13),OR(Dashboard!$C$14="All",B210=Dashboard!$C$14),OR(Dashboard!$C$16="All",K210=Dashboard!$C$16),OR(Dashboard!$C$17="All",J210=Dashboard!$C$17)),1,0)</f>
        <v>1</v>
      </c>
      <c r="O210" s="24">
        <f>IF(AND(L210=1,OR(Dashboard!$C$13="All",A210=Dashboard!$C$13),OR(Dashboard!$C$15="All",C210=Dashboard!$C$15),OR(Dashboard!$C$16="All",K210=Dashboard!$C$16),OR(Dashboard!$C$17="All",J210=Dashboard!$C$17)),1,0)</f>
        <v>1</v>
      </c>
      <c r="P210" s="24">
        <f>IF(AND(L210=1,OR(Dashboard!$C$13="All",A210=Dashboard!$C$13),OR(Dashboard!$C$14="All",B210=Dashboard!$C$14),OR(Dashboard!$C$15="All",C210=Dashboard!$C$15),OR(Dashboard!$C$17="All",J210=Dashboard!$C$17)),1,0)</f>
        <v>1</v>
      </c>
      <c r="Q210" s="24">
        <f>IF(AND(L210=1,OR(Dashboard!$C$14="All",B210=Dashboard!$C$14),OR(Dashboard!$C$15="All",C210=Dashboard!$C$15),OR(Dashboard!$C$16="All",K210=Dashboard!$C$16),OR(Dashboard!$C$17="All",J210=Dashboard!$C$17)),1,0)</f>
        <v>1</v>
      </c>
      <c r="R210" s="24">
        <f>IF(AND(L210=1,OR(Dashboard!$C$13="All",A210=Dashboard!$C$13),OR(Dashboard!$C$14="All",B210=Dashboard!$C$14),OR(Dashboard!$C$15="All",C210=Dashboard!$C$15),OR(Dashboard!$C$16="All",K210=Dashboard!$C$16)),1,0)</f>
        <v>1</v>
      </c>
      <c r="S210" s="24">
        <f t="shared" si="3"/>
        <v>209</v>
      </c>
      <c r="V210" s="24" t="s">
        <v>545</v>
      </c>
    </row>
    <row r="211" ht="15.75" customHeight="1">
      <c r="A211" s="10" t="s">
        <v>274</v>
      </c>
      <c r="B211" s="13"/>
      <c r="C211" s="10" t="s">
        <v>184</v>
      </c>
      <c r="D211" s="13">
        <v>2.0</v>
      </c>
      <c r="E211" s="14">
        <v>45.0</v>
      </c>
      <c r="F211" s="15">
        <f t="shared" si="1"/>
        <v>90</v>
      </c>
      <c r="G211" s="6">
        <v>46153.0</v>
      </c>
      <c r="H211" s="22">
        <v>4.0</v>
      </c>
      <c r="I211" s="16">
        <f t="shared" si="2"/>
        <v>46181</v>
      </c>
      <c r="J211" s="13" t="s">
        <v>25</v>
      </c>
      <c r="K211" s="13" t="s">
        <v>31</v>
      </c>
      <c r="L211" s="24">
        <f>IF(A211="","",IF(OR(G211="",AND(G211&gt;=Dashboard!$C$18,G211&lt;=Dashboard!$C$19)),1,0))</f>
        <v>1</v>
      </c>
      <c r="M211" s="24">
        <f>IF(AND(L211=1,OR(Dashboard!$C$13="All",A211=Dashboard!$C$13),OR(Dashboard!$C$14="All",B211=Dashboard!$C$14),OR(Dashboard!$C$15="All",C211=Dashboard!$C$15),OR(Dashboard!$C$16="All",K211=Dashboard!$C$16),OR(Dashboard!$C$17="All",J211=Dashboard!$C$17)),1,0)</f>
        <v>1</v>
      </c>
      <c r="N211" s="24">
        <f>IF(AND(L211=1,OR(Dashboard!$C$13="All",A211=Dashboard!$C$13),OR(Dashboard!$C$14="All",B211=Dashboard!$C$14),OR(Dashboard!$C$16="All",K211=Dashboard!$C$16),OR(Dashboard!$C$17="All",J211=Dashboard!$C$17)),1,0)</f>
        <v>1</v>
      </c>
      <c r="O211" s="24">
        <f>IF(AND(L211=1,OR(Dashboard!$C$13="All",A211=Dashboard!$C$13),OR(Dashboard!$C$15="All",C211=Dashboard!$C$15),OR(Dashboard!$C$16="All",K211=Dashboard!$C$16),OR(Dashboard!$C$17="All",J211=Dashboard!$C$17)),1,0)</f>
        <v>1</v>
      </c>
      <c r="P211" s="24">
        <f>IF(AND(L211=1,OR(Dashboard!$C$13="All",A211=Dashboard!$C$13),OR(Dashboard!$C$14="All",B211=Dashboard!$C$14),OR(Dashboard!$C$15="All",C211=Dashboard!$C$15),OR(Dashboard!$C$17="All",J211=Dashboard!$C$17)),1,0)</f>
        <v>1</v>
      </c>
      <c r="Q211" s="24">
        <f>IF(AND(L211=1,OR(Dashboard!$C$14="All",B211=Dashboard!$C$14),OR(Dashboard!$C$15="All",C211=Dashboard!$C$15),OR(Dashboard!$C$16="All",K211=Dashboard!$C$16),OR(Dashboard!$C$17="All",J211=Dashboard!$C$17)),1,0)</f>
        <v>1</v>
      </c>
      <c r="R211" s="24">
        <f>IF(AND(L211=1,OR(Dashboard!$C$13="All",A211=Dashboard!$C$13),OR(Dashboard!$C$14="All",B211=Dashboard!$C$14),OR(Dashboard!$C$15="All",C211=Dashboard!$C$15),OR(Dashboard!$C$16="All",K211=Dashboard!$C$16)),1,0)</f>
        <v>1</v>
      </c>
      <c r="S211" s="24">
        <f t="shared" si="3"/>
        <v>210</v>
      </c>
      <c r="V211" s="24" t="s">
        <v>546</v>
      </c>
    </row>
    <row r="212" ht="15.75" customHeight="1">
      <c r="A212" s="3" t="s">
        <v>274</v>
      </c>
      <c r="B212" s="4"/>
      <c r="C212" s="3" t="s">
        <v>489</v>
      </c>
      <c r="D212" s="4">
        <v>1.0</v>
      </c>
      <c r="E212" s="17">
        <v>36.0</v>
      </c>
      <c r="F212" s="5">
        <f t="shared" si="1"/>
        <v>36</v>
      </c>
      <c r="G212" s="6">
        <v>46154.0</v>
      </c>
      <c r="H212" s="22">
        <v>4.0</v>
      </c>
      <c r="I212" s="7">
        <f t="shared" si="2"/>
        <v>46182</v>
      </c>
      <c r="J212" s="4" t="s">
        <v>25</v>
      </c>
      <c r="K212" s="4" t="s">
        <v>31</v>
      </c>
      <c r="L212" s="24">
        <f>IF(A212="","",IF(OR(G212="",AND(G212&gt;=Dashboard!$C$18,G212&lt;=Dashboard!$C$19)),1,0))</f>
        <v>1</v>
      </c>
      <c r="M212" s="24">
        <f>IF(AND(L212=1,OR(Dashboard!$C$13="All",A212=Dashboard!$C$13),OR(Dashboard!$C$14="All",B212=Dashboard!$C$14),OR(Dashboard!$C$15="All",C212=Dashboard!$C$15),OR(Dashboard!$C$16="All",K212=Dashboard!$C$16),OR(Dashboard!$C$17="All",J212=Dashboard!$C$17)),1,0)</f>
        <v>1</v>
      </c>
      <c r="N212" s="24">
        <f>IF(AND(L212=1,OR(Dashboard!$C$13="All",A212=Dashboard!$C$13),OR(Dashboard!$C$14="All",B212=Dashboard!$C$14),OR(Dashboard!$C$16="All",K212=Dashboard!$C$16),OR(Dashboard!$C$17="All",J212=Dashboard!$C$17)),1,0)</f>
        <v>1</v>
      </c>
      <c r="O212" s="24">
        <f>IF(AND(L212=1,OR(Dashboard!$C$13="All",A212=Dashboard!$C$13),OR(Dashboard!$C$15="All",C212=Dashboard!$C$15),OR(Dashboard!$C$16="All",K212=Dashboard!$C$16),OR(Dashboard!$C$17="All",J212=Dashboard!$C$17)),1,0)</f>
        <v>1</v>
      </c>
      <c r="P212" s="24">
        <f>IF(AND(L212=1,OR(Dashboard!$C$13="All",A212=Dashboard!$C$13),OR(Dashboard!$C$14="All",B212=Dashboard!$C$14),OR(Dashboard!$C$15="All",C212=Dashboard!$C$15),OR(Dashboard!$C$17="All",J212=Dashboard!$C$17)),1,0)</f>
        <v>1</v>
      </c>
      <c r="Q212" s="24">
        <f>IF(AND(L212=1,OR(Dashboard!$C$14="All",B212=Dashboard!$C$14),OR(Dashboard!$C$15="All",C212=Dashboard!$C$15),OR(Dashboard!$C$16="All",K212=Dashboard!$C$16),OR(Dashboard!$C$17="All",J212=Dashboard!$C$17)),1,0)</f>
        <v>1</v>
      </c>
      <c r="R212" s="24">
        <f>IF(AND(L212=1,OR(Dashboard!$C$13="All",A212=Dashboard!$C$13),OR(Dashboard!$C$14="All",B212=Dashboard!$C$14),OR(Dashboard!$C$15="All",C212=Dashboard!$C$15),OR(Dashboard!$C$16="All",K212=Dashboard!$C$16)),1,0)</f>
        <v>1</v>
      </c>
      <c r="S212" s="24">
        <f t="shared" si="3"/>
        <v>211</v>
      </c>
      <c r="V212" s="24" t="s">
        <v>547</v>
      </c>
    </row>
    <row r="213" ht="15.75" customHeight="1">
      <c r="A213" s="10" t="s">
        <v>274</v>
      </c>
      <c r="B213" s="13"/>
      <c r="C213" s="10" t="s">
        <v>548</v>
      </c>
      <c r="D213" s="13">
        <v>2.0</v>
      </c>
      <c r="E213" s="14">
        <v>96.0</v>
      </c>
      <c r="F213" s="15">
        <f t="shared" si="1"/>
        <v>192</v>
      </c>
      <c r="G213" s="6">
        <v>46155.0</v>
      </c>
      <c r="H213" s="22">
        <v>4.0</v>
      </c>
      <c r="I213" s="16">
        <f t="shared" si="2"/>
        <v>46183</v>
      </c>
      <c r="J213" s="13" t="s">
        <v>25</v>
      </c>
      <c r="K213" s="13" t="s">
        <v>31</v>
      </c>
      <c r="L213" s="24">
        <f>IF(A213="","",IF(OR(G213="",AND(G213&gt;=Dashboard!$C$18,G213&lt;=Dashboard!$C$19)),1,0))</f>
        <v>1</v>
      </c>
      <c r="M213" s="24">
        <f>IF(AND(L213=1,OR(Dashboard!$C$13="All",A213=Dashboard!$C$13),OR(Dashboard!$C$14="All",B213=Dashboard!$C$14),OR(Dashboard!$C$15="All",C213=Dashboard!$C$15),OR(Dashboard!$C$16="All",K213=Dashboard!$C$16),OR(Dashboard!$C$17="All",J213=Dashboard!$C$17)),1,0)</f>
        <v>1</v>
      </c>
      <c r="N213" s="24">
        <f>IF(AND(L213=1,OR(Dashboard!$C$13="All",A213=Dashboard!$C$13),OR(Dashboard!$C$14="All",B213=Dashboard!$C$14),OR(Dashboard!$C$16="All",K213=Dashboard!$C$16),OR(Dashboard!$C$17="All",J213=Dashboard!$C$17)),1,0)</f>
        <v>1</v>
      </c>
      <c r="O213" s="24">
        <f>IF(AND(L213=1,OR(Dashboard!$C$13="All",A213=Dashboard!$C$13),OR(Dashboard!$C$15="All",C213=Dashboard!$C$15),OR(Dashboard!$C$16="All",K213=Dashboard!$C$16),OR(Dashboard!$C$17="All",J213=Dashboard!$C$17)),1,0)</f>
        <v>1</v>
      </c>
      <c r="P213" s="24">
        <f>IF(AND(L213=1,OR(Dashboard!$C$13="All",A213=Dashboard!$C$13),OR(Dashboard!$C$14="All",B213=Dashboard!$C$14),OR(Dashboard!$C$15="All",C213=Dashboard!$C$15),OR(Dashboard!$C$17="All",J213=Dashboard!$C$17)),1,0)</f>
        <v>1</v>
      </c>
      <c r="Q213" s="24">
        <f>IF(AND(L213=1,OR(Dashboard!$C$14="All",B213=Dashboard!$C$14),OR(Dashboard!$C$15="All",C213=Dashboard!$C$15),OR(Dashboard!$C$16="All",K213=Dashboard!$C$16),OR(Dashboard!$C$17="All",J213=Dashboard!$C$17)),1,0)</f>
        <v>1</v>
      </c>
      <c r="R213" s="24">
        <f>IF(AND(L213=1,OR(Dashboard!$C$13="All",A213=Dashboard!$C$13),OR(Dashboard!$C$14="All",B213=Dashboard!$C$14),OR(Dashboard!$C$15="All",C213=Dashboard!$C$15),OR(Dashboard!$C$16="All",K213=Dashboard!$C$16)),1,0)</f>
        <v>1</v>
      </c>
      <c r="S213" s="24">
        <f t="shared" si="3"/>
        <v>212</v>
      </c>
      <c r="V213" s="24" t="s">
        <v>242</v>
      </c>
    </row>
    <row r="214" ht="15.75" customHeight="1">
      <c r="A214" s="3" t="s">
        <v>274</v>
      </c>
      <c r="B214" s="4"/>
      <c r="C214" s="3" t="s">
        <v>549</v>
      </c>
      <c r="D214" s="4">
        <v>2.0</v>
      </c>
      <c r="E214" s="17">
        <v>8.0</v>
      </c>
      <c r="F214" s="5">
        <f t="shared" si="1"/>
        <v>16</v>
      </c>
      <c r="G214" s="6">
        <v>46156.0</v>
      </c>
      <c r="H214" s="22">
        <v>4.0</v>
      </c>
      <c r="I214" s="7">
        <f t="shared" si="2"/>
        <v>46184</v>
      </c>
      <c r="J214" s="4" t="s">
        <v>25</v>
      </c>
      <c r="K214" s="4" t="s">
        <v>31</v>
      </c>
      <c r="L214" s="24">
        <f>IF(A214="","",IF(OR(G214="",AND(G214&gt;=Dashboard!$C$18,G214&lt;=Dashboard!$C$19)),1,0))</f>
        <v>1</v>
      </c>
      <c r="M214" s="24">
        <f>IF(AND(L214=1,OR(Dashboard!$C$13="All",A214=Dashboard!$C$13),OR(Dashboard!$C$14="All",B214=Dashboard!$C$14),OR(Dashboard!$C$15="All",C214=Dashboard!$C$15),OR(Dashboard!$C$16="All",K214=Dashboard!$C$16),OR(Dashboard!$C$17="All",J214=Dashboard!$C$17)),1,0)</f>
        <v>1</v>
      </c>
      <c r="N214" s="24">
        <f>IF(AND(L214=1,OR(Dashboard!$C$13="All",A214=Dashboard!$C$13),OR(Dashboard!$C$14="All",B214=Dashboard!$C$14),OR(Dashboard!$C$16="All",K214=Dashboard!$C$16),OR(Dashboard!$C$17="All",J214=Dashboard!$C$17)),1,0)</f>
        <v>1</v>
      </c>
      <c r="O214" s="24">
        <f>IF(AND(L214=1,OR(Dashboard!$C$13="All",A214=Dashboard!$C$13),OR(Dashboard!$C$15="All",C214=Dashboard!$C$15),OR(Dashboard!$C$16="All",K214=Dashboard!$C$16),OR(Dashboard!$C$17="All",J214=Dashboard!$C$17)),1,0)</f>
        <v>1</v>
      </c>
      <c r="P214" s="24">
        <f>IF(AND(L214=1,OR(Dashboard!$C$13="All",A214=Dashboard!$C$13),OR(Dashboard!$C$14="All",B214=Dashboard!$C$14),OR(Dashboard!$C$15="All",C214=Dashboard!$C$15),OR(Dashboard!$C$17="All",J214=Dashboard!$C$17)),1,0)</f>
        <v>1</v>
      </c>
      <c r="Q214" s="24">
        <f>IF(AND(L214=1,OR(Dashboard!$C$14="All",B214=Dashboard!$C$14),OR(Dashboard!$C$15="All",C214=Dashboard!$C$15),OR(Dashboard!$C$16="All",K214=Dashboard!$C$16),OR(Dashboard!$C$17="All",J214=Dashboard!$C$17)),1,0)</f>
        <v>1</v>
      </c>
      <c r="R214" s="24">
        <f>IF(AND(L214=1,OR(Dashboard!$C$13="All",A214=Dashboard!$C$13),OR(Dashboard!$C$14="All",B214=Dashboard!$C$14),OR(Dashboard!$C$15="All",C214=Dashboard!$C$15),OR(Dashboard!$C$16="All",K214=Dashboard!$C$16)),1,0)</f>
        <v>1</v>
      </c>
      <c r="S214" s="24">
        <f t="shared" si="3"/>
        <v>213</v>
      </c>
      <c r="V214" s="24" t="s">
        <v>187</v>
      </c>
    </row>
    <row r="215" ht="15.75" customHeight="1">
      <c r="A215" s="10" t="s">
        <v>276</v>
      </c>
      <c r="B215" s="13"/>
      <c r="C215" s="10" t="s">
        <v>544</v>
      </c>
      <c r="D215" s="13">
        <v>1.0</v>
      </c>
      <c r="E215" s="14">
        <v>5.0</v>
      </c>
      <c r="F215" s="15">
        <f t="shared" si="1"/>
        <v>5</v>
      </c>
      <c r="G215" s="6">
        <v>46157.0</v>
      </c>
      <c r="H215" s="22">
        <v>20.0</v>
      </c>
      <c r="I215" s="16">
        <f t="shared" si="2"/>
        <v>46297</v>
      </c>
      <c r="J215" s="13" t="s">
        <v>25</v>
      </c>
      <c r="K215" s="13" t="s">
        <v>31</v>
      </c>
      <c r="L215" s="24">
        <f>IF(A215="","",IF(OR(G215="",AND(G215&gt;=Dashboard!$C$18,G215&lt;=Dashboard!$C$19)),1,0))</f>
        <v>1</v>
      </c>
      <c r="M215" s="24">
        <f>IF(AND(L215=1,OR(Dashboard!$C$13="All",A215=Dashboard!$C$13),OR(Dashboard!$C$14="All",B215=Dashboard!$C$14),OR(Dashboard!$C$15="All",C215=Dashboard!$C$15),OR(Dashboard!$C$16="All",K215=Dashboard!$C$16),OR(Dashboard!$C$17="All",J215=Dashboard!$C$17)),1,0)</f>
        <v>1</v>
      </c>
      <c r="N215" s="24">
        <f>IF(AND(L215=1,OR(Dashboard!$C$13="All",A215=Dashboard!$C$13),OR(Dashboard!$C$14="All",B215=Dashboard!$C$14),OR(Dashboard!$C$16="All",K215=Dashboard!$C$16),OR(Dashboard!$C$17="All",J215=Dashboard!$C$17)),1,0)</f>
        <v>1</v>
      </c>
      <c r="O215" s="24">
        <f>IF(AND(L215=1,OR(Dashboard!$C$13="All",A215=Dashboard!$C$13),OR(Dashboard!$C$15="All",C215=Dashboard!$C$15),OR(Dashboard!$C$16="All",K215=Dashboard!$C$16),OR(Dashboard!$C$17="All",J215=Dashboard!$C$17)),1,0)</f>
        <v>1</v>
      </c>
      <c r="P215" s="24">
        <f>IF(AND(L215=1,OR(Dashboard!$C$13="All",A215=Dashboard!$C$13),OR(Dashboard!$C$14="All",B215=Dashboard!$C$14),OR(Dashboard!$C$15="All",C215=Dashboard!$C$15),OR(Dashboard!$C$17="All",J215=Dashboard!$C$17)),1,0)</f>
        <v>1</v>
      </c>
      <c r="Q215" s="24">
        <f>IF(AND(L215=1,OR(Dashboard!$C$14="All",B215=Dashboard!$C$14),OR(Dashboard!$C$15="All",C215=Dashboard!$C$15),OR(Dashboard!$C$16="All",K215=Dashboard!$C$16),OR(Dashboard!$C$17="All",J215=Dashboard!$C$17)),1,0)</f>
        <v>1</v>
      </c>
      <c r="R215" s="24">
        <f>IF(AND(L215=1,OR(Dashboard!$C$13="All",A215=Dashboard!$C$13),OR(Dashboard!$C$14="All",B215=Dashboard!$C$14),OR(Dashboard!$C$15="All",C215=Dashboard!$C$15),OR(Dashboard!$C$16="All",K215=Dashboard!$C$16)),1,0)</f>
        <v>1</v>
      </c>
      <c r="S215" s="24">
        <f t="shared" si="3"/>
        <v>214</v>
      </c>
      <c r="V215" s="24" t="s">
        <v>468</v>
      </c>
    </row>
    <row r="216" ht="15.75" customHeight="1">
      <c r="A216" s="3" t="s">
        <v>278</v>
      </c>
      <c r="B216" s="4"/>
      <c r="C216" s="3" t="s">
        <v>550</v>
      </c>
      <c r="D216" s="4">
        <v>23.0</v>
      </c>
      <c r="E216" s="17">
        <v>4.0</v>
      </c>
      <c r="F216" s="5">
        <f t="shared" si="1"/>
        <v>92</v>
      </c>
      <c r="G216" s="6">
        <v>46158.0</v>
      </c>
      <c r="H216" s="22">
        <v>21.0</v>
      </c>
      <c r="I216" s="7">
        <f t="shared" si="2"/>
        <v>46305</v>
      </c>
      <c r="J216" s="4" t="s">
        <v>25</v>
      </c>
      <c r="K216" s="4" t="s">
        <v>31</v>
      </c>
      <c r="L216" s="24">
        <f>IF(A216="","",IF(OR(G216="",AND(G216&gt;=Dashboard!$C$18,G216&lt;=Dashboard!$C$19)),1,0))</f>
        <v>1</v>
      </c>
      <c r="M216" s="24">
        <f>IF(AND(L216=1,OR(Dashboard!$C$13="All",A216=Dashboard!$C$13),OR(Dashboard!$C$14="All",B216=Dashboard!$C$14),OR(Dashboard!$C$15="All",C216=Dashboard!$C$15),OR(Dashboard!$C$16="All",K216=Dashboard!$C$16),OR(Dashboard!$C$17="All",J216=Dashboard!$C$17)),1,0)</f>
        <v>1</v>
      </c>
      <c r="N216" s="24">
        <f>IF(AND(L216=1,OR(Dashboard!$C$13="All",A216=Dashboard!$C$13),OR(Dashboard!$C$14="All",B216=Dashboard!$C$14),OR(Dashboard!$C$16="All",K216=Dashboard!$C$16),OR(Dashboard!$C$17="All",J216=Dashboard!$C$17)),1,0)</f>
        <v>1</v>
      </c>
      <c r="O216" s="24">
        <f>IF(AND(L216=1,OR(Dashboard!$C$13="All",A216=Dashboard!$C$13),OR(Dashboard!$C$15="All",C216=Dashboard!$C$15),OR(Dashboard!$C$16="All",K216=Dashboard!$C$16),OR(Dashboard!$C$17="All",J216=Dashboard!$C$17)),1,0)</f>
        <v>1</v>
      </c>
      <c r="P216" s="24">
        <f>IF(AND(L216=1,OR(Dashboard!$C$13="All",A216=Dashboard!$C$13),OR(Dashboard!$C$14="All",B216=Dashboard!$C$14),OR(Dashboard!$C$15="All",C216=Dashboard!$C$15),OR(Dashboard!$C$17="All",J216=Dashboard!$C$17)),1,0)</f>
        <v>1</v>
      </c>
      <c r="Q216" s="24">
        <f>IF(AND(L216=1,OR(Dashboard!$C$14="All",B216=Dashboard!$C$14),OR(Dashboard!$C$15="All",C216=Dashboard!$C$15),OR(Dashboard!$C$16="All",K216=Dashboard!$C$16),OR(Dashboard!$C$17="All",J216=Dashboard!$C$17)),1,0)</f>
        <v>1</v>
      </c>
      <c r="R216" s="24">
        <f>IF(AND(L216=1,OR(Dashboard!$C$13="All",A216=Dashboard!$C$13),OR(Dashboard!$C$14="All",B216=Dashboard!$C$14),OR(Dashboard!$C$15="All",C216=Dashboard!$C$15),OR(Dashboard!$C$16="All",K216=Dashboard!$C$16)),1,0)</f>
        <v>1</v>
      </c>
      <c r="S216" s="24">
        <f t="shared" si="3"/>
        <v>215</v>
      </c>
      <c r="V216" s="24" t="s">
        <v>326</v>
      </c>
    </row>
    <row r="217" ht="15.75" customHeight="1">
      <c r="A217" s="10" t="s">
        <v>278</v>
      </c>
      <c r="B217" s="13"/>
      <c r="C217" s="10" t="s">
        <v>302</v>
      </c>
      <c r="D217" s="13">
        <v>23.0</v>
      </c>
      <c r="E217" s="14">
        <v>2.0</v>
      </c>
      <c r="F217" s="15">
        <f t="shared" si="1"/>
        <v>46</v>
      </c>
      <c r="G217" s="6">
        <v>46159.0</v>
      </c>
      <c r="H217" s="22">
        <v>18.0</v>
      </c>
      <c r="I217" s="16">
        <f t="shared" si="2"/>
        <v>46285</v>
      </c>
      <c r="J217" s="13" t="s">
        <v>25</v>
      </c>
      <c r="K217" s="13" t="s">
        <v>31</v>
      </c>
      <c r="L217" s="24">
        <f>IF(A217="","",IF(OR(G217="",AND(G217&gt;=Dashboard!$C$18,G217&lt;=Dashboard!$C$19)),1,0))</f>
        <v>1</v>
      </c>
      <c r="M217" s="24">
        <f>IF(AND(L217=1,OR(Dashboard!$C$13="All",A217=Dashboard!$C$13),OR(Dashboard!$C$14="All",B217=Dashboard!$C$14),OR(Dashboard!$C$15="All",C217=Dashboard!$C$15),OR(Dashboard!$C$16="All",K217=Dashboard!$C$16),OR(Dashboard!$C$17="All",J217=Dashboard!$C$17)),1,0)</f>
        <v>1</v>
      </c>
      <c r="N217" s="24">
        <f>IF(AND(L217=1,OR(Dashboard!$C$13="All",A217=Dashboard!$C$13),OR(Dashboard!$C$14="All",B217=Dashboard!$C$14),OR(Dashboard!$C$16="All",K217=Dashboard!$C$16),OR(Dashboard!$C$17="All",J217=Dashboard!$C$17)),1,0)</f>
        <v>1</v>
      </c>
      <c r="O217" s="24">
        <f>IF(AND(L217=1,OR(Dashboard!$C$13="All",A217=Dashboard!$C$13),OR(Dashboard!$C$15="All",C217=Dashboard!$C$15),OR(Dashboard!$C$16="All",K217=Dashboard!$C$16),OR(Dashboard!$C$17="All",J217=Dashboard!$C$17)),1,0)</f>
        <v>1</v>
      </c>
      <c r="P217" s="24">
        <f>IF(AND(L217=1,OR(Dashboard!$C$13="All",A217=Dashboard!$C$13),OR(Dashboard!$C$14="All",B217=Dashboard!$C$14),OR(Dashboard!$C$15="All",C217=Dashboard!$C$15),OR(Dashboard!$C$17="All",J217=Dashboard!$C$17)),1,0)</f>
        <v>1</v>
      </c>
      <c r="Q217" s="24">
        <f>IF(AND(L217=1,OR(Dashboard!$C$14="All",B217=Dashboard!$C$14),OR(Dashboard!$C$15="All",C217=Dashboard!$C$15),OR(Dashboard!$C$16="All",K217=Dashboard!$C$16),OR(Dashboard!$C$17="All",J217=Dashboard!$C$17)),1,0)</f>
        <v>1</v>
      </c>
      <c r="R217" s="24">
        <f>IF(AND(L217=1,OR(Dashboard!$C$13="All",A217=Dashboard!$C$13),OR(Dashboard!$C$14="All",B217=Dashboard!$C$14),OR(Dashboard!$C$15="All",C217=Dashboard!$C$15),OR(Dashboard!$C$16="All",K217=Dashboard!$C$16)),1,0)</f>
        <v>1</v>
      </c>
      <c r="S217" s="24">
        <f t="shared" si="3"/>
        <v>216</v>
      </c>
      <c r="V217" s="24" t="s">
        <v>551</v>
      </c>
    </row>
    <row r="218" ht="15.75" customHeight="1">
      <c r="A218" s="3" t="s">
        <v>236</v>
      </c>
      <c r="B218" s="4"/>
      <c r="C218" s="3" t="s">
        <v>552</v>
      </c>
      <c r="D218" s="4">
        <v>4.0</v>
      </c>
      <c r="E218" s="17">
        <v>36.0</v>
      </c>
      <c r="F218" s="5">
        <f t="shared" si="1"/>
        <v>144</v>
      </c>
      <c r="G218" s="6">
        <v>46160.0</v>
      </c>
      <c r="H218" s="22">
        <v>19.0</v>
      </c>
      <c r="I218" s="7">
        <f t="shared" si="2"/>
        <v>46293</v>
      </c>
      <c r="J218" s="4" t="s">
        <v>25</v>
      </c>
      <c r="K218" s="4" t="s">
        <v>31</v>
      </c>
      <c r="L218" s="24">
        <f>IF(A218="","",IF(OR(G218="",AND(G218&gt;=Dashboard!$C$18,G218&lt;=Dashboard!$C$19)),1,0))</f>
        <v>1</v>
      </c>
      <c r="M218" s="24">
        <f>IF(AND(L218=1,OR(Dashboard!$C$13="All",A218=Dashboard!$C$13),OR(Dashboard!$C$14="All",B218=Dashboard!$C$14),OR(Dashboard!$C$15="All",C218=Dashboard!$C$15),OR(Dashboard!$C$16="All",K218=Dashboard!$C$16),OR(Dashboard!$C$17="All",J218=Dashboard!$C$17)),1,0)</f>
        <v>1</v>
      </c>
      <c r="N218" s="24">
        <f>IF(AND(L218=1,OR(Dashboard!$C$13="All",A218=Dashboard!$C$13),OR(Dashboard!$C$14="All",B218=Dashboard!$C$14),OR(Dashboard!$C$16="All",K218=Dashboard!$C$16),OR(Dashboard!$C$17="All",J218=Dashboard!$C$17)),1,0)</f>
        <v>1</v>
      </c>
      <c r="O218" s="24">
        <f>IF(AND(L218=1,OR(Dashboard!$C$13="All",A218=Dashboard!$C$13),OR(Dashboard!$C$15="All",C218=Dashboard!$C$15),OR(Dashboard!$C$16="All",K218=Dashboard!$C$16),OR(Dashboard!$C$17="All",J218=Dashboard!$C$17)),1,0)</f>
        <v>1</v>
      </c>
      <c r="P218" s="24">
        <f>IF(AND(L218=1,OR(Dashboard!$C$13="All",A218=Dashboard!$C$13),OR(Dashboard!$C$14="All",B218=Dashboard!$C$14),OR(Dashboard!$C$15="All",C218=Dashboard!$C$15),OR(Dashboard!$C$17="All",J218=Dashboard!$C$17)),1,0)</f>
        <v>1</v>
      </c>
      <c r="Q218" s="24">
        <f>IF(AND(L218=1,OR(Dashboard!$C$14="All",B218=Dashboard!$C$14),OR(Dashboard!$C$15="All",C218=Dashboard!$C$15),OR(Dashboard!$C$16="All",K218=Dashboard!$C$16),OR(Dashboard!$C$17="All",J218=Dashboard!$C$17)),1,0)</f>
        <v>1</v>
      </c>
      <c r="R218" s="24">
        <f>IF(AND(L218=1,OR(Dashboard!$C$13="All",A218=Dashboard!$C$13),OR(Dashboard!$C$14="All",B218=Dashboard!$C$14),OR(Dashboard!$C$15="All",C218=Dashboard!$C$15),OR(Dashboard!$C$16="All",K218=Dashboard!$C$16)),1,0)</f>
        <v>1</v>
      </c>
      <c r="S218" s="24">
        <f t="shared" si="3"/>
        <v>217</v>
      </c>
      <c r="V218" s="24" t="s">
        <v>119</v>
      </c>
    </row>
    <row r="219" ht="15.75" customHeight="1">
      <c r="A219" s="10" t="s">
        <v>279</v>
      </c>
      <c r="B219" s="13" t="s">
        <v>39</v>
      </c>
      <c r="C219" s="10" t="s">
        <v>543</v>
      </c>
      <c r="D219" s="13">
        <v>2.0</v>
      </c>
      <c r="E219" s="5">
        <v>2.0</v>
      </c>
      <c r="F219" s="15">
        <f t="shared" si="1"/>
        <v>4</v>
      </c>
      <c r="G219" s="6">
        <v>46161.0</v>
      </c>
      <c r="H219" s="22">
        <v>20.0</v>
      </c>
      <c r="I219" s="16">
        <f t="shared" si="2"/>
        <v>46301</v>
      </c>
      <c r="J219" s="13" t="s">
        <v>25</v>
      </c>
      <c r="K219" s="13" t="s">
        <v>31</v>
      </c>
      <c r="L219" s="24">
        <f>IF(A219="","",IF(OR(G219="",AND(G219&gt;=Dashboard!$C$18,G219&lt;=Dashboard!$C$19)),1,0))</f>
        <v>1</v>
      </c>
      <c r="M219" s="24">
        <f>IF(AND(L219=1,OR(Dashboard!$C$13="All",A219=Dashboard!$C$13),OR(Dashboard!$C$14="All",B219=Dashboard!$C$14),OR(Dashboard!$C$15="All",C219=Dashboard!$C$15),OR(Dashboard!$C$16="All",K219=Dashboard!$C$16),OR(Dashboard!$C$17="All",J219=Dashboard!$C$17)),1,0)</f>
        <v>1</v>
      </c>
      <c r="N219" s="24">
        <f>IF(AND(L219=1,OR(Dashboard!$C$13="All",A219=Dashboard!$C$13),OR(Dashboard!$C$14="All",B219=Dashboard!$C$14),OR(Dashboard!$C$16="All",K219=Dashboard!$C$16),OR(Dashboard!$C$17="All",J219=Dashboard!$C$17)),1,0)</f>
        <v>1</v>
      </c>
      <c r="O219" s="24">
        <f>IF(AND(L219=1,OR(Dashboard!$C$13="All",A219=Dashboard!$C$13),OR(Dashboard!$C$15="All",C219=Dashboard!$C$15),OR(Dashboard!$C$16="All",K219=Dashboard!$C$16),OR(Dashboard!$C$17="All",J219=Dashboard!$C$17)),1,0)</f>
        <v>1</v>
      </c>
      <c r="P219" s="24">
        <f>IF(AND(L219=1,OR(Dashboard!$C$13="All",A219=Dashboard!$C$13),OR(Dashboard!$C$14="All",B219=Dashboard!$C$14),OR(Dashboard!$C$15="All",C219=Dashboard!$C$15),OR(Dashboard!$C$17="All",J219=Dashboard!$C$17)),1,0)</f>
        <v>1</v>
      </c>
      <c r="Q219" s="24">
        <f>IF(AND(L219=1,OR(Dashboard!$C$14="All",B219=Dashboard!$C$14),OR(Dashboard!$C$15="All",C219=Dashboard!$C$15),OR(Dashboard!$C$16="All",K219=Dashboard!$C$16),OR(Dashboard!$C$17="All",J219=Dashboard!$C$17)),1,0)</f>
        <v>1</v>
      </c>
      <c r="R219" s="24">
        <f>IF(AND(L219=1,OR(Dashboard!$C$13="All",A219=Dashboard!$C$13),OR(Dashboard!$C$14="All",B219=Dashboard!$C$14),OR(Dashboard!$C$15="All",C219=Dashboard!$C$15),OR(Dashboard!$C$16="All",K219=Dashboard!$C$16)),1,0)</f>
        <v>1</v>
      </c>
      <c r="S219" s="24">
        <f t="shared" si="3"/>
        <v>218</v>
      </c>
      <c r="V219" s="24" t="s">
        <v>404</v>
      </c>
    </row>
    <row r="220" ht="15.75" customHeight="1">
      <c r="A220" s="3" t="s">
        <v>154</v>
      </c>
      <c r="B220" s="4"/>
      <c r="C220" s="3" t="s">
        <v>352</v>
      </c>
      <c r="D220" s="4">
        <v>500.0</v>
      </c>
      <c r="E220" s="14">
        <v>5.0</v>
      </c>
      <c r="F220" s="5">
        <f t="shared" si="1"/>
        <v>2500</v>
      </c>
      <c r="G220" s="6">
        <v>46162.0</v>
      </c>
      <c r="H220" s="22">
        <v>18.0</v>
      </c>
      <c r="I220" s="7">
        <f t="shared" si="2"/>
        <v>46288</v>
      </c>
      <c r="J220" s="4" t="s">
        <v>25</v>
      </c>
      <c r="K220" s="4" t="s">
        <v>31</v>
      </c>
      <c r="L220" s="24">
        <f>IF(A220="","",IF(OR(G220="",AND(G220&gt;=Dashboard!$C$18,G220&lt;=Dashboard!$C$19)),1,0))</f>
        <v>1</v>
      </c>
      <c r="M220" s="24">
        <f>IF(AND(L220=1,OR(Dashboard!$C$13="All",A220=Dashboard!$C$13),OR(Dashboard!$C$14="All",B220=Dashboard!$C$14),OR(Dashboard!$C$15="All",C220=Dashboard!$C$15),OR(Dashboard!$C$16="All",K220=Dashboard!$C$16),OR(Dashboard!$C$17="All",J220=Dashboard!$C$17)),1,0)</f>
        <v>1</v>
      </c>
      <c r="N220" s="24">
        <f>IF(AND(L220=1,OR(Dashboard!$C$13="All",A220=Dashboard!$C$13),OR(Dashboard!$C$14="All",B220=Dashboard!$C$14),OR(Dashboard!$C$16="All",K220=Dashboard!$C$16),OR(Dashboard!$C$17="All",J220=Dashboard!$C$17)),1,0)</f>
        <v>1</v>
      </c>
      <c r="O220" s="24">
        <f>IF(AND(L220=1,OR(Dashboard!$C$13="All",A220=Dashboard!$C$13),OR(Dashboard!$C$15="All",C220=Dashboard!$C$15),OR(Dashboard!$C$16="All",K220=Dashboard!$C$16),OR(Dashboard!$C$17="All",J220=Dashboard!$C$17)),1,0)</f>
        <v>1</v>
      </c>
      <c r="P220" s="24">
        <f>IF(AND(L220=1,OR(Dashboard!$C$13="All",A220=Dashboard!$C$13),OR(Dashboard!$C$14="All",B220=Dashboard!$C$14),OR(Dashboard!$C$15="All",C220=Dashboard!$C$15),OR(Dashboard!$C$17="All",J220=Dashboard!$C$17)),1,0)</f>
        <v>1</v>
      </c>
      <c r="Q220" s="24">
        <f>IF(AND(L220=1,OR(Dashboard!$C$14="All",B220=Dashboard!$C$14),OR(Dashboard!$C$15="All",C220=Dashboard!$C$15),OR(Dashboard!$C$16="All",K220=Dashboard!$C$16),OR(Dashboard!$C$17="All",J220=Dashboard!$C$17)),1,0)</f>
        <v>1</v>
      </c>
      <c r="R220" s="24">
        <f>IF(AND(L220=1,OR(Dashboard!$C$13="All",A220=Dashboard!$C$13),OR(Dashboard!$C$14="All",B220=Dashboard!$C$14),OR(Dashboard!$C$15="All",C220=Dashboard!$C$15),OR(Dashboard!$C$16="All",K220=Dashboard!$C$16)),1,0)</f>
        <v>1</v>
      </c>
      <c r="S220" s="24">
        <f t="shared" si="3"/>
        <v>219</v>
      </c>
      <c r="V220" s="24" t="s">
        <v>553</v>
      </c>
    </row>
    <row r="221" ht="15.75" customHeight="1">
      <c r="A221" s="10" t="s">
        <v>281</v>
      </c>
      <c r="B221" s="13"/>
      <c r="C221" s="10" t="s">
        <v>477</v>
      </c>
      <c r="D221" s="13">
        <v>3.0</v>
      </c>
      <c r="E221" s="17">
        <v>6.0</v>
      </c>
      <c r="F221" s="15">
        <f t="shared" si="1"/>
        <v>18</v>
      </c>
      <c r="G221" s="6">
        <v>46163.0</v>
      </c>
      <c r="H221" s="22">
        <v>20.0</v>
      </c>
      <c r="I221" s="16">
        <f t="shared" si="2"/>
        <v>46303</v>
      </c>
      <c r="J221" s="13" t="s">
        <v>25</v>
      </c>
      <c r="K221" s="13" t="s">
        <v>31</v>
      </c>
      <c r="L221" s="24">
        <f>IF(A221="","",IF(OR(G221="",AND(G221&gt;=Dashboard!$C$18,G221&lt;=Dashboard!$C$19)),1,0))</f>
        <v>1</v>
      </c>
      <c r="M221" s="24">
        <f>IF(AND(L221=1,OR(Dashboard!$C$13="All",A221=Dashboard!$C$13),OR(Dashboard!$C$14="All",B221=Dashboard!$C$14),OR(Dashboard!$C$15="All",C221=Dashboard!$C$15),OR(Dashboard!$C$16="All",K221=Dashboard!$C$16),OR(Dashboard!$C$17="All",J221=Dashboard!$C$17)),1,0)</f>
        <v>1</v>
      </c>
      <c r="N221" s="24">
        <f>IF(AND(L221=1,OR(Dashboard!$C$13="All",A221=Dashboard!$C$13),OR(Dashboard!$C$14="All",B221=Dashboard!$C$14),OR(Dashboard!$C$16="All",K221=Dashboard!$C$16),OR(Dashboard!$C$17="All",J221=Dashboard!$C$17)),1,0)</f>
        <v>1</v>
      </c>
      <c r="O221" s="24">
        <f>IF(AND(L221=1,OR(Dashboard!$C$13="All",A221=Dashboard!$C$13),OR(Dashboard!$C$15="All",C221=Dashboard!$C$15),OR(Dashboard!$C$16="All",K221=Dashboard!$C$16),OR(Dashboard!$C$17="All",J221=Dashboard!$C$17)),1,0)</f>
        <v>1</v>
      </c>
      <c r="P221" s="24">
        <f>IF(AND(L221=1,OR(Dashboard!$C$13="All",A221=Dashboard!$C$13),OR(Dashboard!$C$14="All",B221=Dashboard!$C$14),OR(Dashboard!$C$15="All",C221=Dashboard!$C$15),OR(Dashboard!$C$17="All",J221=Dashboard!$C$17)),1,0)</f>
        <v>1</v>
      </c>
      <c r="Q221" s="24">
        <f>IF(AND(L221=1,OR(Dashboard!$C$14="All",B221=Dashboard!$C$14),OR(Dashboard!$C$15="All",C221=Dashboard!$C$15),OR(Dashboard!$C$16="All",K221=Dashboard!$C$16),OR(Dashboard!$C$17="All",J221=Dashboard!$C$17)),1,0)</f>
        <v>1</v>
      </c>
      <c r="R221" s="24">
        <f>IF(AND(L221=1,OR(Dashboard!$C$13="All",A221=Dashboard!$C$13),OR(Dashboard!$C$14="All",B221=Dashboard!$C$14),OR(Dashboard!$C$15="All",C221=Dashboard!$C$15),OR(Dashboard!$C$16="All",K221=Dashboard!$C$16)),1,0)</f>
        <v>1</v>
      </c>
      <c r="S221" s="24">
        <f t="shared" si="3"/>
        <v>220</v>
      </c>
      <c r="V221" s="24" t="s">
        <v>474</v>
      </c>
    </row>
    <row r="222" ht="15.75" customHeight="1">
      <c r="A222" s="3" t="s">
        <v>284</v>
      </c>
      <c r="B222" s="4" t="s">
        <v>34</v>
      </c>
      <c r="C222" s="3" t="s">
        <v>554</v>
      </c>
      <c r="D222" s="4">
        <v>3000.0</v>
      </c>
      <c r="E222" s="14">
        <v>7.0</v>
      </c>
      <c r="F222" s="5">
        <f t="shared" si="1"/>
        <v>21000</v>
      </c>
      <c r="G222" s="6">
        <v>46164.0</v>
      </c>
      <c r="H222" s="22">
        <v>20.0</v>
      </c>
      <c r="I222" s="7">
        <f t="shared" si="2"/>
        <v>46304</v>
      </c>
      <c r="J222" s="4" t="s">
        <v>25</v>
      </c>
      <c r="K222" s="4" t="s">
        <v>31</v>
      </c>
      <c r="L222" s="24">
        <f>IF(A222="","",IF(OR(G222="",AND(G222&gt;=Dashboard!$C$18,G222&lt;=Dashboard!$C$19)),1,0))</f>
        <v>1</v>
      </c>
      <c r="M222" s="24">
        <f>IF(AND(L222=1,OR(Dashboard!$C$13="All",A222=Dashboard!$C$13),OR(Dashboard!$C$14="All",B222=Dashboard!$C$14),OR(Dashboard!$C$15="All",C222=Dashboard!$C$15),OR(Dashboard!$C$16="All",K222=Dashboard!$C$16),OR(Dashboard!$C$17="All",J222=Dashboard!$C$17)),1,0)</f>
        <v>1</v>
      </c>
      <c r="N222" s="24">
        <f>IF(AND(L222=1,OR(Dashboard!$C$13="All",A222=Dashboard!$C$13),OR(Dashboard!$C$14="All",B222=Dashboard!$C$14),OR(Dashboard!$C$16="All",K222=Dashboard!$C$16),OR(Dashboard!$C$17="All",J222=Dashboard!$C$17)),1,0)</f>
        <v>1</v>
      </c>
      <c r="O222" s="24">
        <f>IF(AND(L222=1,OR(Dashboard!$C$13="All",A222=Dashboard!$C$13),OR(Dashboard!$C$15="All",C222=Dashboard!$C$15),OR(Dashboard!$C$16="All",K222=Dashboard!$C$16),OR(Dashboard!$C$17="All",J222=Dashboard!$C$17)),1,0)</f>
        <v>1</v>
      </c>
      <c r="P222" s="24">
        <f>IF(AND(L222=1,OR(Dashboard!$C$13="All",A222=Dashboard!$C$13),OR(Dashboard!$C$14="All",B222=Dashboard!$C$14),OR(Dashboard!$C$15="All",C222=Dashboard!$C$15),OR(Dashboard!$C$17="All",J222=Dashboard!$C$17)),1,0)</f>
        <v>1</v>
      </c>
      <c r="Q222" s="24">
        <f>IF(AND(L222=1,OR(Dashboard!$C$14="All",B222=Dashboard!$C$14),OR(Dashboard!$C$15="All",C222=Dashboard!$C$15),OR(Dashboard!$C$16="All",K222=Dashboard!$C$16),OR(Dashboard!$C$17="All",J222=Dashboard!$C$17)),1,0)</f>
        <v>1</v>
      </c>
      <c r="R222" s="24">
        <f>IF(AND(L222=1,OR(Dashboard!$C$13="All",A222=Dashboard!$C$13),OR(Dashboard!$C$14="All",B222=Dashboard!$C$14),OR(Dashboard!$C$15="All",C222=Dashboard!$C$15),OR(Dashboard!$C$16="All",K222=Dashboard!$C$16)),1,0)</f>
        <v>1</v>
      </c>
      <c r="S222" s="24">
        <f t="shared" si="3"/>
        <v>221</v>
      </c>
      <c r="V222" s="24" t="s">
        <v>555</v>
      </c>
    </row>
    <row r="223" ht="15.75" customHeight="1">
      <c r="A223" s="10" t="s">
        <v>284</v>
      </c>
      <c r="B223" s="13" t="s">
        <v>34</v>
      </c>
      <c r="C223" s="10" t="s">
        <v>554</v>
      </c>
      <c r="D223" s="13">
        <v>3000.0</v>
      </c>
      <c r="E223" s="17">
        <v>8.0</v>
      </c>
      <c r="F223" s="15">
        <f t="shared" si="1"/>
        <v>24000</v>
      </c>
      <c r="G223" s="6">
        <v>46165.0</v>
      </c>
      <c r="H223" s="22">
        <v>15.0</v>
      </c>
      <c r="I223" s="16">
        <f t="shared" si="2"/>
        <v>46270</v>
      </c>
      <c r="J223" s="13" t="s">
        <v>25</v>
      </c>
      <c r="K223" s="13" t="s">
        <v>31</v>
      </c>
      <c r="L223" s="24">
        <f>IF(A223="","",IF(OR(G223="",AND(G223&gt;=Dashboard!$C$18,G223&lt;=Dashboard!$C$19)),1,0))</f>
        <v>1</v>
      </c>
      <c r="M223" s="24">
        <f>IF(AND(L223=1,OR(Dashboard!$C$13="All",A223=Dashboard!$C$13),OR(Dashboard!$C$14="All",B223=Dashboard!$C$14),OR(Dashboard!$C$15="All",C223=Dashboard!$C$15),OR(Dashboard!$C$16="All",K223=Dashboard!$C$16),OR(Dashboard!$C$17="All",J223=Dashboard!$C$17)),1,0)</f>
        <v>1</v>
      </c>
      <c r="N223" s="24">
        <f>IF(AND(L223=1,OR(Dashboard!$C$13="All",A223=Dashboard!$C$13),OR(Dashboard!$C$14="All",B223=Dashboard!$C$14),OR(Dashboard!$C$16="All",K223=Dashboard!$C$16),OR(Dashboard!$C$17="All",J223=Dashboard!$C$17)),1,0)</f>
        <v>1</v>
      </c>
      <c r="O223" s="24">
        <f>IF(AND(L223=1,OR(Dashboard!$C$13="All",A223=Dashboard!$C$13),OR(Dashboard!$C$15="All",C223=Dashboard!$C$15),OR(Dashboard!$C$16="All",K223=Dashboard!$C$16),OR(Dashboard!$C$17="All",J223=Dashboard!$C$17)),1,0)</f>
        <v>1</v>
      </c>
      <c r="P223" s="24">
        <f>IF(AND(L223=1,OR(Dashboard!$C$13="All",A223=Dashboard!$C$13),OR(Dashboard!$C$14="All",B223=Dashboard!$C$14),OR(Dashboard!$C$15="All",C223=Dashboard!$C$15),OR(Dashboard!$C$17="All",J223=Dashboard!$C$17)),1,0)</f>
        <v>1</v>
      </c>
      <c r="Q223" s="24">
        <f>IF(AND(L223=1,OR(Dashboard!$C$14="All",B223=Dashboard!$C$14),OR(Dashboard!$C$15="All",C223=Dashboard!$C$15),OR(Dashboard!$C$16="All",K223=Dashboard!$C$16),OR(Dashboard!$C$17="All",J223=Dashboard!$C$17)),1,0)</f>
        <v>1</v>
      </c>
      <c r="R223" s="24">
        <f>IF(AND(L223=1,OR(Dashboard!$C$13="All",A223=Dashboard!$C$13),OR(Dashboard!$C$14="All",B223=Dashboard!$C$14),OR(Dashboard!$C$15="All",C223=Dashboard!$C$15),OR(Dashboard!$C$16="All",K223=Dashboard!$C$16)),1,0)</f>
        <v>1</v>
      </c>
      <c r="S223" s="24">
        <f t="shared" si="3"/>
        <v>222</v>
      </c>
      <c r="V223" s="24" t="s">
        <v>556</v>
      </c>
    </row>
    <row r="224" ht="15.75" customHeight="1">
      <c r="A224" s="3" t="s">
        <v>286</v>
      </c>
      <c r="B224" s="4"/>
      <c r="C224" s="3" t="s">
        <v>557</v>
      </c>
      <c r="D224" s="4">
        <v>1.0</v>
      </c>
      <c r="E224" s="14">
        <v>2.0</v>
      </c>
      <c r="F224" s="5">
        <f t="shared" si="1"/>
        <v>2</v>
      </c>
      <c r="G224" s="6">
        <v>46166.0</v>
      </c>
      <c r="H224" s="22">
        <v>17.0</v>
      </c>
      <c r="I224" s="7">
        <f t="shared" si="2"/>
        <v>46285</v>
      </c>
      <c r="J224" s="4" t="s">
        <v>25</v>
      </c>
      <c r="K224" s="4" t="s">
        <v>31</v>
      </c>
      <c r="L224" s="24">
        <f>IF(A224="","",IF(OR(G224="",AND(G224&gt;=Dashboard!$C$18,G224&lt;=Dashboard!$C$19)),1,0))</f>
        <v>1</v>
      </c>
      <c r="M224" s="24">
        <f>IF(AND(L224=1,OR(Dashboard!$C$13="All",A224=Dashboard!$C$13),OR(Dashboard!$C$14="All",B224=Dashboard!$C$14),OR(Dashboard!$C$15="All",C224=Dashboard!$C$15),OR(Dashboard!$C$16="All",K224=Dashboard!$C$16),OR(Dashboard!$C$17="All",J224=Dashboard!$C$17)),1,0)</f>
        <v>1</v>
      </c>
      <c r="N224" s="24">
        <f>IF(AND(L224=1,OR(Dashboard!$C$13="All",A224=Dashboard!$C$13),OR(Dashboard!$C$14="All",B224=Dashboard!$C$14),OR(Dashboard!$C$16="All",K224=Dashboard!$C$16),OR(Dashboard!$C$17="All",J224=Dashboard!$C$17)),1,0)</f>
        <v>1</v>
      </c>
      <c r="O224" s="24">
        <f>IF(AND(L224=1,OR(Dashboard!$C$13="All",A224=Dashboard!$C$13),OR(Dashboard!$C$15="All",C224=Dashboard!$C$15),OR(Dashboard!$C$16="All",K224=Dashboard!$C$16),OR(Dashboard!$C$17="All",J224=Dashboard!$C$17)),1,0)</f>
        <v>1</v>
      </c>
      <c r="P224" s="24">
        <f>IF(AND(L224=1,OR(Dashboard!$C$13="All",A224=Dashboard!$C$13),OR(Dashboard!$C$14="All",B224=Dashboard!$C$14),OR(Dashboard!$C$15="All",C224=Dashboard!$C$15),OR(Dashboard!$C$17="All",J224=Dashboard!$C$17)),1,0)</f>
        <v>1</v>
      </c>
      <c r="Q224" s="24">
        <f>IF(AND(L224=1,OR(Dashboard!$C$14="All",B224=Dashboard!$C$14),OR(Dashboard!$C$15="All",C224=Dashboard!$C$15),OR(Dashboard!$C$16="All",K224=Dashboard!$C$16),OR(Dashboard!$C$17="All",J224=Dashboard!$C$17)),1,0)</f>
        <v>1</v>
      </c>
      <c r="R224" s="24">
        <f>IF(AND(L224=1,OR(Dashboard!$C$13="All",A224=Dashboard!$C$13),OR(Dashboard!$C$14="All",B224=Dashboard!$C$14),OR(Dashboard!$C$15="All",C224=Dashboard!$C$15),OR(Dashboard!$C$16="All",K224=Dashboard!$C$16)),1,0)</f>
        <v>1</v>
      </c>
      <c r="S224" s="24">
        <f t="shared" si="3"/>
        <v>223</v>
      </c>
      <c r="V224" s="24" t="s">
        <v>558</v>
      </c>
    </row>
    <row r="225" ht="15.75" customHeight="1">
      <c r="A225" s="10" t="s">
        <v>286</v>
      </c>
      <c r="B225" s="13"/>
      <c r="C225" s="10" t="s">
        <v>559</v>
      </c>
      <c r="D225" s="13">
        <v>1.0</v>
      </c>
      <c r="E225" s="17">
        <v>15.0</v>
      </c>
      <c r="F225" s="15">
        <f t="shared" si="1"/>
        <v>15</v>
      </c>
      <c r="G225" s="6">
        <v>46167.0</v>
      </c>
      <c r="H225" s="22">
        <v>15.0</v>
      </c>
      <c r="I225" s="16">
        <f t="shared" si="2"/>
        <v>46272</v>
      </c>
      <c r="J225" s="13" t="s">
        <v>25</v>
      </c>
      <c r="K225" s="13" t="s">
        <v>31</v>
      </c>
      <c r="L225" s="24">
        <f>IF(A225="","",IF(OR(G225="",AND(G225&gt;=Dashboard!$C$18,G225&lt;=Dashboard!$C$19)),1,0))</f>
        <v>1</v>
      </c>
      <c r="M225" s="24">
        <f>IF(AND(L225=1,OR(Dashboard!$C$13="All",A225=Dashboard!$C$13),OR(Dashboard!$C$14="All",B225=Dashboard!$C$14),OR(Dashboard!$C$15="All",C225=Dashboard!$C$15),OR(Dashboard!$C$16="All",K225=Dashboard!$C$16),OR(Dashboard!$C$17="All",J225=Dashboard!$C$17)),1,0)</f>
        <v>1</v>
      </c>
      <c r="N225" s="24">
        <f>IF(AND(L225=1,OR(Dashboard!$C$13="All",A225=Dashboard!$C$13),OR(Dashboard!$C$14="All",B225=Dashboard!$C$14),OR(Dashboard!$C$16="All",K225=Dashboard!$C$16),OR(Dashboard!$C$17="All",J225=Dashboard!$C$17)),1,0)</f>
        <v>1</v>
      </c>
      <c r="O225" s="24">
        <f>IF(AND(L225=1,OR(Dashboard!$C$13="All",A225=Dashboard!$C$13),OR(Dashboard!$C$15="All",C225=Dashboard!$C$15),OR(Dashboard!$C$16="All",K225=Dashboard!$C$16),OR(Dashboard!$C$17="All",J225=Dashboard!$C$17)),1,0)</f>
        <v>1</v>
      </c>
      <c r="P225" s="24">
        <f>IF(AND(L225=1,OR(Dashboard!$C$13="All",A225=Dashboard!$C$13),OR(Dashboard!$C$14="All",B225=Dashboard!$C$14),OR(Dashboard!$C$15="All",C225=Dashboard!$C$15),OR(Dashboard!$C$17="All",J225=Dashboard!$C$17)),1,0)</f>
        <v>1</v>
      </c>
      <c r="Q225" s="24">
        <f>IF(AND(L225=1,OR(Dashboard!$C$14="All",B225=Dashboard!$C$14),OR(Dashboard!$C$15="All",C225=Dashboard!$C$15),OR(Dashboard!$C$16="All",K225=Dashboard!$C$16),OR(Dashboard!$C$17="All",J225=Dashboard!$C$17)),1,0)</f>
        <v>1</v>
      </c>
      <c r="R225" s="24">
        <f>IF(AND(L225=1,OR(Dashboard!$C$13="All",A225=Dashboard!$C$13),OR(Dashboard!$C$14="All",B225=Dashboard!$C$14),OR(Dashboard!$C$15="All",C225=Dashboard!$C$15),OR(Dashboard!$C$16="All",K225=Dashboard!$C$16)),1,0)</f>
        <v>1</v>
      </c>
      <c r="S225" s="24">
        <f t="shared" si="3"/>
        <v>224</v>
      </c>
      <c r="V225" s="24" t="s">
        <v>357</v>
      </c>
    </row>
    <row r="226" ht="15.75" customHeight="1">
      <c r="A226" s="3" t="s">
        <v>247</v>
      </c>
      <c r="B226" s="4"/>
      <c r="C226" s="3" t="s">
        <v>305</v>
      </c>
      <c r="D226" s="4">
        <v>1000.0</v>
      </c>
      <c r="E226" s="14">
        <v>45.0</v>
      </c>
      <c r="F226" s="5">
        <f t="shared" si="1"/>
        <v>45000</v>
      </c>
      <c r="G226" s="6">
        <v>46168.0</v>
      </c>
      <c r="H226" s="22">
        <v>15.0</v>
      </c>
      <c r="I226" s="7">
        <f t="shared" si="2"/>
        <v>46273</v>
      </c>
      <c r="J226" s="4" t="s">
        <v>25</v>
      </c>
      <c r="K226" s="4" t="s">
        <v>31</v>
      </c>
      <c r="L226" s="24">
        <f>IF(A226="","",IF(OR(G226="",AND(G226&gt;=Dashboard!$C$18,G226&lt;=Dashboard!$C$19)),1,0))</f>
        <v>1</v>
      </c>
      <c r="M226" s="24">
        <f>IF(AND(L226=1,OR(Dashboard!$C$13="All",A226=Dashboard!$C$13),OR(Dashboard!$C$14="All",B226=Dashboard!$C$14),OR(Dashboard!$C$15="All",C226=Dashboard!$C$15),OR(Dashboard!$C$16="All",K226=Dashboard!$C$16),OR(Dashboard!$C$17="All",J226=Dashboard!$C$17)),1,0)</f>
        <v>1</v>
      </c>
      <c r="N226" s="24">
        <f>IF(AND(L226=1,OR(Dashboard!$C$13="All",A226=Dashboard!$C$13),OR(Dashboard!$C$14="All",B226=Dashboard!$C$14),OR(Dashboard!$C$16="All",K226=Dashboard!$C$16),OR(Dashboard!$C$17="All",J226=Dashboard!$C$17)),1,0)</f>
        <v>1</v>
      </c>
      <c r="O226" s="24">
        <f>IF(AND(L226=1,OR(Dashboard!$C$13="All",A226=Dashboard!$C$13),OR(Dashboard!$C$15="All",C226=Dashboard!$C$15),OR(Dashboard!$C$16="All",K226=Dashboard!$C$16),OR(Dashboard!$C$17="All",J226=Dashboard!$C$17)),1,0)</f>
        <v>1</v>
      </c>
      <c r="P226" s="24">
        <f>IF(AND(L226=1,OR(Dashboard!$C$13="All",A226=Dashboard!$C$13),OR(Dashboard!$C$14="All",B226=Dashboard!$C$14),OR(Dashboard!$C$15="All",C226=Dashboard!$C$15),OR(Dashboard!$C$17="All",J226=Dashboard!$C$17)),1,0)</f>
        <v>1</v>
      </c>
      <c r="Q226" s="24">
        <f>IF(AND(L226=1,OR(Dashboard!$C$14="All",B226=Dashboard!$C$14),OR(Dashboard!$C$15="All",C226=Dashboard!$C$15),OR(Dashboard!$C$16="All",K226=Dashboard!$C$16),OR(Dashboard!$C$17="All",J226=Dashboard!$C$17)),1,0)</f>
        <v>1</v>
      </c>
      <c r="R226" s="24">
        <f>IF(AND(L226=1,OR(Dashboard!$C$13="All",A226=Dashboard!$C$13),OR(Dashboard!$C$14="All",B226=Dashboard!$C$14),OR(Dashboard!$C$15="All",C226=Dashboard!$C$15),OR(Dashboard!$C$16="All",K226=Dashboard!$C$16)),1,0)</f>
        <v>1</v>
      </c>
      <c r="S226" s="24">
        <f t="shared" si="3"/>
        <v>225</v>
      </c>
      <c r="V226" s="24" t="s">
        <v>560</v>
      </c>
    </row>
    <row r="227" ht="15.75" customHeight="1">
      <c r="A227" s="10" t="s">
        <v>289</v>
      </c>
      <c r="B227" s="13"/>
      <c r="C227" s="10" t="s">
        <v>561</v>
      </c>
      <c r="D227" s="13">
        <v>1.0</v>
      </c>
      <c r="E227" s="17">
        <v>24.0</v>
      </c>
      <c r="F227" s="15">
        <f t="shared" si="1"/>
        <v>24</v>
      </c>
      <c r="G227" s="6">
        <v>46169.0</v>
      </c>
      <c r="H227" s="22">
        <v>14.0</v>
      </c>
      <c r="I227" s="16">
        <f t="shared" si="2"/>
        <v>46267</v>
      </c>
      <c r="J227" s="13" t="s">
        <v>25</v>
      </c>
      <c r="K227" s="13" t="s">
        <v>31</v>
      </c>
      <c r="L227" s="24">
        <f>IF(A227="","",IF(OR(G227="",AND(G227&gt;=Dashboard!$C$18,G227&lt;=Dashboard!$C$19)),1,0))</f>
        <v>1</v>
      </c>
      <c r="M227" s="24">
        <f>IF(AND(L227=1,OR(Dashboard!$C$13="All",A227=Dashboard!$C$13),OR(Dashboard!$C$14="All",B227=Dashboard!$C$14),OR(Dashboard!$C$15="All",C227=Dashboard!$C$15),OR(Dashboard!$C$16="All",K227=Dashboard!$C$16),OR(Dashboard!$C$17="All",J227=Dashboard!$C$17)),1,0)</f>
        <v>1</v>
      </c>
      <c r="N227" s="24">
        <f>IF(AND(L227=1,OR(Dashboard!$C$13="All",A227=Dashboard!$C$13),OR(Dashboard!$C$14="All",B227=Dashboard!$C$14),OR(Dashboard!$C$16="All",K227=Dashboard!$C$16),OR(Dashboard!$C$17="All",J227=Dashboard!$C$17)),1,0)</f>
        <v>1</v>
      </c>
      <c r="O227" s="24">
        <f>IF(AND(L227=1,OR(Dashboard!$C$13="All",A227=Dashboard!$C$13),OR(Dashboard!$C$15="All",C227=Dashboard!$C$15),OR(Dashboard!$C$16="All",K227=Dashboard!$C$16),OR(Dashboard!$C$17="All",J227=Dashboard!$C$17)),1,0)</f>
        <v>1</v>
      </c>
      <c r="P227" s="24">
        <f>IF(AND(L227=1,OR(Dashboard!$C$13="All",A227=Dashboard!$C$13),OR(Dashboard!$C$14="All",B227=Dashboard!$C$14),OR(Dashboard!$C$15="All",C227=Dashboard!$C$15),OR(Dashboard!$C$17="All",J227=Dashboard!$C$17)),1,0)</f>
        <v>1</v>
      </c>
      <c r="Q227" s="24">
        <f>IF(AND(L227=1,OR(Dashboard!$C$14="All",B227=Dashboard!$C$14),OR(Dashboard!$C$15="All",C227=Dashboard!$C$15),OR(Dashboard!$C$16="All",K227=Dashboard!$C$16),OR(Dashboard!$C$17="All",J227=Dashboard!$C$17)),1,0)</f>
        <v>1</v>
      </c>
      <c r="R227" s="24">
        <f>IF(AND(L227=1,OR(Dashboard!$C$13="All",A227=Dashboard!$C$13),OR(Dashboard!$C$14="All",B227=Dashboard!$C$14),OR(Dashboard!$C$15="All",C227=Dashboard!$C$15),OR(Dashboard!$C$16="All",K227=Dashboard!$C$16)),1,0)</f>
        <v>1</v>
      </c>
      <c r="S227" s="24">
        <f t="shared" si="3"/>
        <v>226</v>
      </c>
      <c r="V227" s="24" t="s">
        <v>208</v>
      </c>
    </row>
    <row r="228" ht="15.75" customHeight="1">
      <c r="A228" s="3" t="s">
        <v>291</v>
      </c>
      <c r="B228" s="4"/>
      <c r="C228" s="3" t="s">
        <v>550</v>
      </c>
      <c r="D228" s="4">
        <v>2.0</v>
      </c>
      <c r="E228" s="14">
        <v>25.0</v>
      </c>
      <c r="F228" s="5">
        <f t="shared" si="1"/>
        <v>50</v>
      </c>
      <c r="G228" s="6">
        <v>46170.0</v>
      </c>
      <c r="H228" s="22">
        <v>17.0</v>
      </c>
      <c r="I228" s="7">
        <f t="shared" si="2"/>
        <v>46289</v>
      </c>
      <c r="J228" s="4" t="s">
        <v>25</v>
      </c>
      <c r="K228" s="4" t="s">
        <v>31</v>
      </c>
      <c r="L228" s="24">
        <f>IF(A228="","",IF(OR(G228="",AND(G228&gt;=Dashboard!$C$18,G228&lt;=Dashboard!$C$19)),1,0))</f>
        <v>1</v>
      </c>
      <c r="M228" s="24">
        <f>IF(AND(L228=1,OR(Dashboard!$C$13="All",A228=Dashboard!$C$13),OR(Dashboard!$C$14="All",B228=Dashboard!$C$14),OR(Dashboard!$C$15="All",C228=Dashboard!$C$15),OR(Dashboard!$C$16="All",K228=Dashboard!$C$16),OR(Dashboard!$C$17="All",J228=Dashboard!$C$17)),1,0)</f>
        <v>1</v>
      </c>
      <c r="N228" s="24">
        <f>IF(AND(L228=1,OR(Dashboard!$C$13="All",A228=Dashboard!$C$13),OR(Dashboard!$C$14="All",B228=Dashboard!$C$14),OR(Dashboard!$C$16="All",K228=Dashboard!$C$16),OR(Dashboard!$C$17="All",J228=Dashboard!$C$17)),1,0)</f>
        <v>1</v>
      </c>
      <c r="O228" s="24">
        <f>IF(AND(L228=1,OR(Dashboard!$C$13="All",A228=Dashboard!$C$13),OR(Dashboard!$C$15="All",C228=Dashboard!$C$15),OR(Dashboard!$C$16="All",K228=Dashboard!$C$16),OR(Dashboard!$C$17="All",J228=Dashboard!$C$17)),1,0)</f>
        <v>1</v>
      </c>
      <c r="P228" s="24">
        <f>IF(AND(L228=1,OR(Dashboard!$C$13="All",A228=Dashboard!$C$13),OR(Dashboard!$C$14="All",B228=Dashboard!$C$14),OR(Dashboard!$C$15="All",C228=Dashboard!$C$15),OR(Dashboard!$C$17="All",J228=Dashboard!$C$17)),1,0)</f>
        <v>1</v>
      </c>
      <c r="Q228" s="24">
        <f>IF(AND(L228=1,OR(Dashboard!$C$14="All",B228=Dashboard!$C$14),OR(Dashboard!$C$15="All",C228=Dashboard!$C$15),OR(Dashboard!$C$16="All",K228=Dashboard!$C$16),OR(Dashboard!$C$17="All",J228=Dashboard!$C$17)),1,0)</f>
        <v>1</v>
      </c>
      <c r="R228" s="24">
        <f>IF(AND(L228=1,OR(Dashboard!$C$13="All",A228=Dashboard!$C$13),OR(Dashboard!$C$14="All",B228=Dashboard!$C$14),OR(Dashboard!$C$15="All",C228=Dashboard!$C$15),OR(Dashboard!$C$16="All",K228=Dashboard!$C$16)),1,0)</f>
        <v>1</v>
      </c>
      <c r="S228" s="24">
        <f t="shared" si="3"/>
        <v>227</v>
      </c>
      <c r="V228" s="24" t="s">
        <v>466</v>
      </c>
    </row>
    <row r="229" ht="15.75" customHeight="1">
      <c r="A229" s="10" t="s">
        <v>291</v>
      </c>
      <c r="B229" s="13"/>
      <c r="C229" s="10" t="s">
        <v>302</v>
      </c>
      <c r="D229" s="13">
        <v>2.0</v>
      </c>
      <c r="E229" s="17">
        <v>36.0</v>
      </c>
      <c r="F229" s="15">
        <f t="shared" si="1"/>
        <v>72</v>
      </c>
      <c r="G229" s="6">
        <v>46171.0</v>
      </c>
      <c r="H229" s="22">
        <v>15.0</v>
      </c>
      <c r="I229" s="16">
        <f t="shared" si="2"/>
        <v>46276</v>
      </c>
      <c r="J229" s="13" t="s">
        <v>25</v>
      </c>
      <c r="K229" s="13" t="s">
        <v>31</v>
      </c>
      <c r="L229" s="24">
        <f>IF(A229="","",IF(OR(G229="",AND(G229&gt;=Dashboard!$C$18,G229&lt;=Dashboard!$C$19)),1,0))</f>
        <v>1</v>
      </c>
      <c r="M229" s="24">
        <f>IF(AND(L229=1,OR(Dashboard!$C$13="All",A229=Dashboard!$C$13),OR(Dashboard!$C$14="All",B229=Dashboard!$C$14),OR(Dashboard!$C$15="All",C229=Dashboard!$C$15),OR(Dashboard!$C$16="All",K229=Dashboard!$C$16),OR(Dashboard!$C$17="All",J229=Dashboard!$C$17)),1,0)</f>
        <v>1</v>
      </c>
      <c r="N229" s="24">
        <f>IF(AND(L229=1,OR(Dashboard!$C$13="All",A229=Dashboard!$C$13),OR(Dashboard!$C$14="All",B229=Dashboard!$C$14),OR(Dashboard!$C$16="All",K229=Dashboard!$C$16),OR(Dashboard!$C$17="All",J229=Dashboard!$C$17)),1,0)</f>
        <v>1</v>
      </c>
      <c r="O229" s="24">
        <f>IF(AND(L229=1,OR(Dashboard!$C$13="All",A229=Dashboard!$C$13),OR(Dashboard!$C$15="All",C229=Dashboard!$C$15),OR(Dashboard!$C$16="All",K229=Dashboard!$C$16),OR(Dashboard!$C$17="All",J229=Dashboard!$C$17)),1,0)</f>
        <v>1</v>
      </c>
      <c r="P229" s="24">
        <f>IF(AND(L229=1,OR(Dashboard!$C$13="All",A229=Dashboard!$C$13),OR(Dashboard!$C$14="All",B229=Dashboard!$C$14),OR(Dashboard!$C$15="All",C229=Dashboard!$C$15),OR(Dashboard!$C$17="All",J229=Dashboard!$C$17)),1,0)</f>
        <v>1</v>
      </c>
      <c r="Q229" s="24">
        <f>IF(AND(L229=1,OR(Dashboard!$C$14="All",B229=Dashboard!$C$14),OR(Dashboard!$C$15="All",C229=Dashboard!$C$15),OR(Dashboard!$C$16="All",K229=Dashboard!$C$16),OR(Dashboard!$C$17="All",J229=Dashboard!$C$17)),1,0)</f>
        <v>1</v>
      </c>
      <c r="R229" s="24">
        <f>IF(AND(L229=1,OR(Dashboard!$C$13="All",A229=Dashboard!$C$13),OR(Dashboard!$C$14="All",B229=Dashboard!$C$14),OR(Dashboard!$C$15="All",C229=Dashboard!$C$15),OR(Dashboard!$C$16="All",K229=Dashboard!$C$16)),1,0)</f>
        <v>1</v>
      </c>
      <c r="S229" s="24">
        <f t="shared" si="3"/>
        <v>228</v>
      </c>
      <c r="V229" s="24" t="s">
        <v>201</v>
      </c>
    </row>
    <row r="230" ht="15.75" customHeight="1">
      <c r="A230" s="3" t="s">
        <v>293</v>
      </c>
      <c r="B230" s="4"/>
      <c r="C230" s="3" t="s">
        <v>543</v>
      </c>
      <c r="D230" s="4">
        <v>2.0</v>
      </c>
      <c r="E230" s="14">
        <v>95.0</v>
      </c>
      <c r="F230" s="5">
        <f t="shared" si="1"/>
        <v>190</v>
      </c>
      <c r="G230" s="6">
        <v>46172.0</v>
      </c>
      <c r="H230" s="22">
        <v>17.0</v>
      </c>
      <c r="I230" s="7">
        <f t="shared" si="2"/>
        <v>46291</v>
      </c>
      <c r="J230" s="4" t="s">
        <v>25</v>
      </c>
      <c r="K230" s="4" t="s">
        <v>31</v>
      </c>
      <c r="L230" s="24">
        <f>IF(A230="","",IF(OR(G230="",AND(G230&gt;=Dashboard!$C$18,G230&lt;=Dashboard!$C$19)),1,0))</f>
        <v>1</v>
      </c>
      <c r="M230" s="24">
        <f>IF(AND(L230=1,OR(Dashboard!$C$13="All",A230=Dashboard!$C$13),OR(Dashboard!$C$14="All",B230=Dashboard!$C$14),OR(Dashboard!$C$15="All",C230=Dashboard!$C$15),OR(Dashboard!$C$16="All",K230=Dashboard!$C$16),OR(Dashboard!$C$17="All",J230=Dashboard!$C$17)),1,0)</f>
        <v>1</v>
      </c>
      <c r="N230" s="24">
        <f>IF(AND(L230=1,OR(Dashboard!$C$13="All",A230=Dashboard!$C$13),OR(Dashboard!$C$14="All",B230=Dashboard!$C$14),OR(Dashboard!$C$16="All",K230=Dashboard!$C$16),OR(Dashboard!$C$17="All",J230=Dashboard!$C$17)),1,0)</f>
        <v>1</v>
      </c>
      <c r="O230" s="24">
        <f>IF(AND(L230=1,OR(Dashboard!$C$13="All",A230=Dashboard!$C$13),OR(Dashboard!$C$15="All",C230=Dashboard!$C$15),OR(Dashboard!$C$16="All",K230=Dashboard!$C$16),OR(Dashboard!$C$17="All",J230=Dashboard!$C$17)),1,0)</f>
        <v>1</v>
      </c>
      <c r="P230" s="24">
        <f>IF(AND(L230=1,OR(Dashboard!$C$13="All",A230=Dashboard!$C$13),OR(Dashboard!$C$14="All",B230=Dashboard!$C$14),OR(Dashboard!$C$15="All",C230=Dashboard!$C$15),OR(Dashboard!$C$17="All",J230=Dashboard!$C$17)),1,0)</f>
        <v>1</v>
      </c>
      <c r="Q230" s="24">
        <f>IF(AND(L230=1,OR(Dashboard!$C$14="All",B230=Dashboard!$C$14),OR(Dashboard!$C$15="All",C230=Dashboard!$C$15),OR(Dashboard!$C$16="All",K230=Dashboard!$C$16),OR(Dashboard!$C$17="All",J230=Dashboard!$C$17)),1,0)</f>
        <v>1</v>
      </c>
      <c r="R230" s="24">
        <f>IF(AND(L230=1,OR(Dashboard!$C$13="All",A230=Dashboard!$C$13),OR(Dashboard!$C$14="All",B230=Dashboard!$C$14),OR(Dashboard!$C$15="All",C230=Dashboard!$C$15),OR(Dashboard!$C$16="All",K230=Dashboard!$C$16)),1,0)</f>
        <v>1</v>
      </c>
      <c r="S230" s="24">
        <f t="shared" si="3"/>
        <v>229</v>
      </c>
      <c r="V230" s="24" t="s">
        <v>562</v>
      </c>
    </row>
    <row r="231" ht="15.75" customHeight="1">
      <c r="A231" s="10" t="s">
        <v>293</v>
      </c>
      <c r="B231" s="13"/>
      <c r="C231" s="10" t="s">
        <v>563</v>
      </c>
      <c r="D231" s="13">
        <v>30000.0</v>
      </c>
      <c r="E231" s="17">
        <v>574.0</v>
      </c>
      <c r="F231" s="15">
        <f t="shared" si="1"/>
        <v>17220000</v>
      </c>
      <c r="G231" s="6">
        <v>46173.0</v>
      </c>
      <c r="H231" s="22">
        <v>14.0</v>
      </c>
      <c r="I231" s="16">
        <f t="shared" si="2"/>
        <v>46271</v>
      </c>
      <c r="J231" s="13" t="s">
        <v>25</v>
      </c>
      <c r="K231" s="13" t="s">
        <v>31</v>
      </c>
      <c r="L231" s="24">
        <f>IF(A231="","",IF(OR(G231="",AND(G231&gt;=Dashboard!$C$18,G231&lt;=Dashboard!$C$19)),1,0))</f>
        <v>1</v>
      </c>
      <c r="M231" s="24">
        <f>IF(AND(L231=1,OR(Dashboard!$C$13="All",A231=Dashboard!$C$13),OR(Dashboard!$C$14="All",B231=Dashboard!$C$14),OR(Dashboard!$C$15="All",C231=Dashboard!$C$15),OR(Dashboard!$C$16="All",K231=Dashboard!$C$16),OR(Dashboard!$C$17="All",J231=Dashboard!$C$17)),1,0)</f>
        <v>1</v>
      </c>
      <c r="N231" s="24">
        <f>IF(AND(L231=1,OR(Dashboard!$C$13="All",A231=Dashboard!$C$13),OR(Dashboard!$C$14="All",B231=Dashboard!$C$14),OR(Dashboard!$C$16="All",K231=Dashboard!$C$16),OR(Dashboard!$C$17="All",J231=Dashboard!$C$17)),1,0)</f>
        <v>1</v>
      </c>
      <c r="O231" s="24">
        <f>IF(AND(L231=1,OR(Dashboard!$C$13="All",A231=Dashboard!$C$13),OR(Dashboard!$C$15="All",C231=Dashboard!$C$15),OR(Dashboard!$C$16="All",K231=Dashboard!$C$16),OR(Dashboard!$C$17="All",J231=Dashboard!$C$17)),1,0)</f>
        <v>1</v>
      </c>
      <c r="P231" s="24">
        <f>IF(AND(L231=1,OR(Dashboard!$C$13="All",A231=Dashboard!$C$13),OR(Dashboard!$C$14="All",B231=Dashboard!$C$14),OR(Dashboard!$C$15="All",C231=Dashboard!$C$15),OR(Dashboard!$C$17="All",J231=Dashboard!$C$17)),1,0)</f>
        <v>1</v>
      </c>
      <c r="Q231" s="24">
        <f>IF(AND(L231=1,OR(Dashboard!$C$14="All",B231=Dashboard!$C$14),OR(Dashboard!$C$15="All",C231=Dashboard!$C$15),OR(Dashboard!$C$16="All",K231=Dashboard!$C$16),OR(Dashboard!$C$17="All",J231=Dashboard!$C$17)),1,0)</f>
        <v>1</v>
      </c>
      <c r="R231" s="24">
        <f>IF(AND(L231=1,OR(Dashboard!$C$13="All",A231=Dashboard!$C$13),OR(Dashboard!$C$14="All",B231=Dashboard!$C$14),OR(Dashboard!$C$15="All",C231=Dashboard!$C$15),OR(Dashboard!$C$16="All",K231=Dashboard!$C$16)),1,0)</f>
        <v>1</v>
      </c>
      <c r="S231" s="24">
        <f t="shared" si="3"/>
        <v>230</v>
      </c>
      <c r="V231" s="24" t="s">
        <v>334</v>
      </c>
    </row>
    <row r="232" ht="15.75" customHeight="1">
      <c r="A232" s="3" t="s">
        <v>293</v>
      </c>
      <c r="B232" s="4" t="s">
        <v>134</v>
      </c>
      <c r="C232" s="3" t="s">
        <v>564</v>
      </c>
      <c r="D232" s="4">
        <v>21000.0</v>
      </c>
      <c r="E232" s="14">
        <v>558.0</v>
      </c>
      <c r="F232" s="5">
        <f t="shared" si="1"/>
        <v>11718000</v>
      </c>
      <c r="G232" s="6">
        <v>46174.0</v>
      </c>
      <c r="H232" s="22">
        <v>15.0</v>
      </c>
      <c r="I232" s="7">
        <f t="shared" si="2"/>
        <v>46279</v>
      </c>
      <c r="J232" s="4" t="s">
        <v>25</v>
      </c>
      <c r="K232" s="4" t="s">
        <v>31</v>
      </c>
      <c r="L232" s="24">
        <f>IF(A232="","",IF(OR(G232="",AND(G232&gt;=Dashboard!$C$18,G232&lt;=Dashboard!$C$19)),1,0))</f>
        <v>1</v>
      </c>
      <c r="M232" s="24">
        <f>IF(AND(L232=1,OR(Dashboard!$C$13="All",A232=Dashboard!$C$13),OR(Dashboard!$C$14="All",B232=Dashboard!$C$14),OR(Dashboard!$C$15="All",C232=Dashboard!$C$15),OR(Dashboard!$C$16="All",K232=Dashboard!$C$16),OR(Dashboard!$C$17="All",J232=Dashboard!$C$17)),1,0)</f>
        <v>1</v>
      </c>
      <c r="N232" s="24">
        <f>IF(AND(L232=1,OR(Dashboard!$C$13="All",A232=Dashboard!$C$13),OR(Dashboard!$C$14="All",B232=Dashboard!$C$14),OR(Dashboard!$C$16="All",K232=Dashboard!$C$16),OR(Dashboard!$C$17="All",J232=Dashboard!$C$17)),1,0)</f>
        <v>1</v>
      </c>
      <c r="O232" s="24">
        <f>IF(AND(L232=1,OR(Dashboard!$C$13="All",A232=Dashboard!$C$13),OR(Dashboard!$C$15="All",C232=Dashboard!$C$15),OR(Dashboard!$C$16="All",K232=Dashboard!$C$16),OR(Dashboard!$C$17="All",J232=Dashboard!$C$17)),1,0)</f>
        <v>1</v>
      </c>
      <c r="P232" s="24">
        <f>IF(AND(L232=1,OR(Dashboard!$C$13="All",A232=Dashboard!$C$13),OR(Dashboard!$C$14="All",B232=Dashboard!$C$14),OR(Dashboard!$C$15="All",C232=Dashboard!$C$15),OR(Dashboard!$C$17="All",J232=Dashboard!$C$17)),1,0)</f>
        <v>1</v>
      </c>
      <c r="Q232" s="24">
        <f>IF(AND(L232=1,OR(Dashboard!$C$14="All",B232=Dashboard!$C$14),OR(Dashboard!$C$15="All",C232=Dashboard!$C$15),OR(Dashboard!$C$16="All",K232=Dashboard!$C$16),OR(Dashboard!$C$17="All",J232=Dashboard!$C$17)),1,0)</f>
        <v>1</v>
      </c>
      <c r="R232" s="24">
        <f>IF(AND(L232=1,OR(Dashboard!$C$13="All",A232=Dashboard!$C$13),OR(Dashboard!$C$14="All",B232=Dashboard!$C$14),OR(Dashboard!$C$15="All",C232=Dashboard!$C$15),OR(Dashboard!$C$16="All",K232=Dashboard!$C$16)),1,0)</f>
        <v>1</v>
      </c>
      <c r="S232" s="24">
        <f t="shared" si="3"/>
        <v>231</v>
      </c>
      <c r="V232" s="24" t="s">
        <v>565</v>
      </c>
    </row>
    <row r="233" ht="15.75" customHeight="1">
      <c r="A233" s="10" t="s">
        <v>293</v>
      </c>
      <c r="B233" s="13" t="s">
        <v>151</v>
      </c>
      <c r="C233" s="10" t="s">
        <v>533</v>
      </c>
      <c r="D233" s="13">
        <v>1000.0</v>
      </c>
      <c r="E233" s="17">
        <v>2265.0</v>
      </c>
      <c r="F233" s="15">
        <f t="shared" si="1"/>
        <v>2265000</v>
      </c>
      <c r="G233" s="6">
        <v>46175.0</v>
      </c>
      <c r="H233" s="22">
        <v>8.0</v>
      </c>
      <c r="I233" s="16">
        <f t="shared" si="2"/>
        <v>46231</v>
      </c>
      <c r="J233" s="13" t="s">
        <v>25</v>
      </c>
      <c r="K233" s="13" t="s">
        <v>31</v>
      </c>
      <c r="L233" s="24">
        <f>IF(A233="","",IF(OR(G233="",AND(G233&gt;=Dashboard!$C$18,G233&lt;=Dashboard!$C$19)),1,0))</f>
        <v>1</v>
      </c>
      <c r="M233" s="24">
        <f>IF(AND(L233=1,OR(Dashboard!$C$13="All",A233=Dashboard!$C$13),OR(Dashboard!$C$14="All",B233=Dashboard!$C$14),OR(Dashboard!$C$15="All",C233=Dashboard!$C$15),OR(Dashboard!$C$16="All",K233=Dashboard!$C$16),OR(Dashboard!$C$17="All",J233=Dashboard!$C$17)),1,0)</f>
        <v>1</v>
      </c>
      <c r="N233" s="24">
        <f>IF(AND(L233=1,OR(Dashboard!$C$13="All",A233=Dashboard!$C$13),OR(Dashboard!$C$14="All",B233=Dashboard!$C$14),OR(Dashboard!$C$16="All",K233=Dashboard!$C$16),OR(Dashboard!$C$17="All",J233=Dashboard!$C$17)),1,0)</f>
        <v>1</v>
      </c>
      <c r="O233" s="24">
        <f>IF(AND(L233=1,OR(Dashboard!$C$13="All",A233=Dashboard!$C$13),OR(Dashboard!$C$15="All",C233=Dashboard!$C$15),OR(Dashboard!$C$16="All",K233=Dashboard!$C$16),OR(Dashboard!$C$17="All",J233=Dashboard!$C$17)),1,0)</f>
        <v>1</v>
      </c>
      <c r="P233" s="24">
        <f>IF(AND(L233=1,OR(Dashboard!$C$13="All",A233=Dashboard!$C$13),OR(Dashboard!$C$14="All",B233=Dashboard!$C$14),OR(Dashboard!$C$15="All",C233=Dashboard!$C$15),OR(Dashboard!$C$17="All",J233=Dashboard!$C$17)),1,0)</f>
        <v>1</v>
      </c>
      <c r="Q233" s="24">
        <f>IF(AND(L233=1,OR(Dashboard!$C$14="All",B233=Dashboard!$C$14),OR(Dashboard!$C$15="All",C233=Dashboard!$C$15),OR(Dashboard!$C$16="All",K233=Dashboard!$C$16),OR(Dashboard!$C$17="All",J233=Dashboard!$C$17)),1,0)</f>
        <v>1</v>
      </c>
      <c r="R233" s="24">
        <f>IF(AND(L233=1,OR(Dashboard!$C$13="All",A233=Dashboard!$C$13),OR(Dashboard!$C$14="All",B233=Dashboard!$C$14),OR(Dashboard!$C$15="All",C233=Dashboard!$C$15),OR(Dashboard!$C$16="All",K233=Dashboard!$C$16)),1,0)</f>
        <v>1</v>
      </c>
      <c r="S233" s="24">
        <f t="shared" si="3"/>
        <v>232</v>
      </c>
      <c r="V233" s="24" t="s">
        <v>280</v>
      </c>
    </row>
    <row r="234" ht="15.75" customHeight="1">
      <c r="A234" s="3" t="s">
        <v>295</v>
      </c>
      <c r="B234" s="4"/>
      <c r="C234" s="3" t="s">
        <v>566</v>
      </c>
      <c r="D234" s="4">
        <v>1.0</v>
      </c>
      <c r="E234" s="14">
        <v>45.0</v>
      </c>
      <c r="F234" s="5">
        <f t="shared" si="1"/>
        <v>45</v>
      </c>
      <c r="G234" s="6">
        <v>46176.0</v>
      </c>
      <c r="H234" s="22">
        <v>6.0</v>
      </c>
      <c r="I234" s="7">
        <f t="shared" si="2"/>
        <v>46218</v>
      </c>
      <c r="J234" s="4" t="s">
        <v>25</v>
      </c>
      <c r="K234" s="4" t="s">
        <v>31</v>
      </c>
      <c r="L234" s="24">
        <f>IF(A234="","",IF(OR(G234="",AND(G234&gt;=Dashboard!$C$18,G234&lt;=Dashboard!$C$19)),1,0))</f>
        <v>1</v>
      </c>
      <c r="M234" s="24">
        <f>IF(AND(L234=1,OR(Dashboard!$C$13="All",A234=Dashboard!$C$13),OR(Dashboard!$C$14="All",B234=Dashboard!$C$14),OR(Dashboard!$C$15="All",C234=Dashboard!$C$15),OR(Dashboard!$C$16="All",K234=Dashboard!$C$16),OR(Dashboard!$C$17="All",J234=Dashboard!$C$17)),1,0)</f>
        <v>1</v>
      </c>
      <c r="N234" s="24">
        <f>IF(AND(L234=1,OR(Dashboard!$C$13="All",A234=Dashboard!$C$13),OR(Dashboard!$C$14="All",B234=Dashboard!$C$14),OR(Dashboard!$C$16="All",K234=Dashboard!$C$16),OR(Dashboard!$C$17="All",J234=Dashboard!$C$17)),1,0)</f>
        <v>1</v>
      </c>
      <c r="O234" s="24">
        <f>IF(AND(L234=1,OR(Dashboard!$C$13="All",A234=Dashboard!$C$13),OR(Dashboard!$C$15="All",C234=Dashboard!$C$15),OR(Dashboard!$C$16="All",K234=Dashboard!$C$16),OR(Dashboard!$C$17="All",J234=Dashboard!$C$17)),1,0)</f>
        <v>1</v>
      </c>
      <c r="P234" s="24">
        <f>IF(AND(L234=1,OR(Dashboard!$C$13="All",A234=Dashboard!$C$13),OR(Dashboard!$C$14="All",B234=Dashboard!$C$14),OR(Dashboard!$C$15="All",C234=Dashboard!$C$15),OR(Dashboard!$C$17="All",J234=Dashboard!$C$17)),1,0)</f>
        <v>1</v>
      </c>
      <c r="Q234" s="24">
        <f>IF(AND(L234=1,OR(Dashboard!$C$14="All",B234=Dashboard!$C$14),OR(Dashboard!$C$15="All",C234=Dashboard!$C$15),OR(Dashboard!$C$16="All",K234=Dashboard!$C$16),OR(Dashboard!$C$17="All",J234=Dashboard!$C$17)),1,0)</f>
        <v>1</v>
      </c>
      <c r="R234" s="24">
        <f>IF(AND(L234=1,OR(Dashboard!$C$13="All",A234=Dashboard!$C$13),OR(Dashboard!$C$14="All",B234=Dashboard!$C$14),OR(Dashboard!$C$15="All",C234=Dashboard!$C$15),OR(Dashboard!$C$16="All",K234=Dashboard!$C$16)),1,0)</f>
        <v>1</v>
      </c>
      <c r="S234" s="24">
        <f t="shared" si="3"/>
        <v>233</v>
      </c>
      <c r="V234" s="24" t="s">
        <v>567</v>
      </c>
    </row>
    <row r="235" ht="15.75" customHeight="1">
      <c r="A235" s="10" t="s">
        <v>295</v>
      </c>
      <c r="B235" s="13"/>
      <c r="C235" s="10" t="s">
        <v>241</v>
      </c>
      <c r="D235" s="13">
        <v>2.0</v>
      </c>
      <c r="E235" s="17">
        <v>5554.0</v>
      </c>
      <c r="F235" s="15">
        <f t="shared" si="1"/>
        <v>11108</v>
      </c>
      <c r="G235" s="6">
        <v>46177.0</v>
      </c>
      <c r="H235" s="22">
        <v>7.0</v>
      </c>
      <c r="I235" s="16">
        <f t="shared" si="2"/>
        <v>46226</v>
      </c>
      <c r="J235" s="13" t="s">
        <v>25</v>
      </c>
      <c r="K235" s="13" t="s">
        <v>31</v>
      </c>
      <c r="L235" s="24">
        <f>IF(A235="","",IF(OR(G235="",AND(G235&gt;=Dashboard!$C$18,G235&lt;=Dashboard!$C$19)),1,0))</f>
        <v>1</v>
      </c>
      <c r="M235" s="24">
        <f>IF(AND(L235=1,OR(Dashboard!$C$13="All",A235=Dashboard!$C$13),OR(Dashboard!$C$14="All",B235=Dashboard!$C$14),OR(Dashboard!$C$15="All",C235=Dashboard!$C$15),OR(Dashboard!$C$16="All",K235=Dashboard!$C$16),OR(Dashboard!$C$17="All",J235=Dashboard!$C$17)),1,0)</f>
        <v>1</v>
      </c>
      <c r="N235" s="24">
        <f>IF(AND(L235=1,OR(Dashboard!$C$13="All",A235=Dashboard!$C$13),OR(Dashboard!$C$14="All",B235=Dashboard!$C$14),OR(Dashboard!$C$16="All",K235=Dashboard!$C$16),OR(Dashboard!$C$17="All",J235=Dashboard!$C$17)),1,0)</f>
        <v>1</v>
      </c>
      <c r="O235" s="24">
        <f>IF(AND(L235=1,OR(Dashboard!$C$13="All",A235=Dashboard!$C$13),OR(Dashboard!$C$15="All",C235=Dashboard!$C$15),OR(Dashboard!$C$16="All",K235=Dashboard!$C$16),OR(Dashboard!$C$17="All",J235=Dashboard!$C$17)),1,0)</f>
        <v>1</v>
      </c>
      <c r="P235" s="24">
        <f>IF(AND(L235=1,OR(Dashboard!$C$13="All",A235=Dashboard!$C$13),OR(Dashboard!$C$14="All",B235=Dashboard!$C$14),OR(Dashboard!$C$15="All",C235=Dashboard!$C$15),OR(Dashboard!$C$17="All",J235=Dashboard!$C$17)),1,0)</f>
        <v>1</v>
      </c>
      <c r="Q235" s="24">
        <f>IF(AND(L235=1,OR(Dashboard!$C$14="All",B235=Dashboard!$C$14),OR(Dashboard!$C$15="All",C235=Dashboard!$C$15),OR(Dashboard!$C$16="All",K235=Dashboard!$C$16),OR(Dashboard!$C$17="All",J235=Dashboard!$C$17)),1,0)</f>
        <v>1</v>
      </c>
      <c r="R235" s="24">
        <f>IF(AND(L235=1,OR(Dashboard!$C$13="All",A235=Dashboard!$C$13),OR(Dashboard!$C$14="All",B235=Dashboard!$C$14),OR(Dashboard!$C$15="All",C235=Dashboard!$C$15),OR(Dashboard!$C$16="All",K235=Dashboard!$C$16)),1,0)</f>
        <v>1</v>
      </c>
      <c r="S235" s="24">
        <f t="shared" si="3"/>
        <v>234</v>
      </c>
      <c r="V235" s="24" t="s">
        <v>552</v>
      </c>
    </row>
    <row r="236" ht="15.75" customHeight="1">
      <c r="A236" s="3" t="s">
        <v>236</v>
      </c>
      <c r="B236" s="4" t="s">
        <v>137</v>
      </c>
      <c r="C236" s="3" t="s">
        <v>567</v>
      </c>
      <c r="D236" s="4">
        <v>50.0</v>
      </c>
      <c r="E236" s="14">
        <v>41.0</v>
      </c>
      <c r="F236" s="5">
        <f t="shared" si="1"/>
        <v>2050</v>
      </c>
      <c r="G236" s="6">
        <v>46178.0</v>
      </c>
      <c r="H236" s="22">
        <v>8.0</v>
      </c>
      <c r="I236" s="7">
        <f t="shared" si="2"/>
        <v>46234</v>
      </c>
      <c r="J236" s="4" t="s">
        <v>25</v>
      </c>
      <c r="K236" s="4" t="s">
        <v>31</v>
      </c>
      <c r="L236" s="24">
        <f>IF(A236="","",IF(OR(G236="",AND(G236&gt;=Dashboard!$C$18,G236&lt;=Dashboard!$C$19)),1,0))</f>
        <v>1</v>
      </c>
      <c r="M236" s="24">
        <f>IF(AND(L236=1,OR(Dashboard!$C$13="All",A236=Dashboard!$C$13),OR(Dashboard!$C$14="All",B236=Dashboard!$C$14),OR(Dashboard!$C$15="All",C236=Dashboard!$C$15),OR(Dashboard!$C$16="All",K236=Dashboard!$C$16),OR(Dashboard!$C$17="All",J236=Dashboard!$C$17)),1,0)</f>
        <v>1</v>
      </c>
      <c r="N236" s="24">
        <f>IF(AND(L236=1,OR(Dashboard!$C$13="All",A236=Dashboard!$C$13),OR(Dashboard!$C$14="All",B236=Dashboard!$C$14),OR(Dashboard!$C$16="All",K236=Dashboard!$C$16),OR(Dashboard!$C$17="All",J236=Dashboard!$C$17)),1,0)</f>
        <v>1</v>
      </c>
      <c r="O236" s="24">
        <f>IF(AND(L236=1,OR(Dashboard!$C$13="All",A236=Dashboard!$C$13),OR(Dashboard!$C$15="All",C236=Dashboard!$C$15),OR(Dashboard!$C$16="All",K236=Dashboard!$C$16),OR(Dashboard!$C$17="All",J236=Dashboard!$C$17)),1,0)</f>
        <v>1</v>
      </c>
      <c r="P236" s="24">
        <f>IF(AND(L236=1,OR(Dashboard!$C$13="All",A236=Dashboard!$C$13),OR(Dashboard!$C$14="All",B236=Dashboard!$C$14),OR(Dashboard!$C$15="All",C236=Dashboard!$C$15),OR(Dashboard!$C$17="All",J236=Dashboard!$C$17)),1,0)</f>
        <v>1</v>
      </c>
      <c r="Q236" s="24">
        <f>IF(AND(L236=1,OR(Dashboard!$C$14="All",B236=Dashboard!$C$14),OR(Dashboard!$C$15="All",C236=Dashboard!$C$15),OR(Dashboard!$C$16="All",K236=Dashboard!$C$16),OR(Dashboard!$C$17="All",J236=Dashboard!$C$17)),1,0)</f>
        <v>1</v>
      </c>
      <c r="R236" s="24">
        <f>IF(AND(L236=1,OR(Dashboard!$C$13="All",A236=Dashboard!$C$13),OR(Dashboard!$C$14="All",B236=Dashboard!$C$14),OR(Dashboard!$C$15="All",C236=Dashboard!$C$15),OR(Dashboard!$C$16="All",K236=Dashboard!$C$16)),1,0)</f>
        <v>1</v>
      </c>
      <c r="S236" s="24">
        <f t="shared" si="3"/>
        <v>235</v>
      </c>
      <c r="V236" s="24" t="s">
        <v>568</v>
      </c>
    </row>
    <row r="237" ht="15.75" customHeight="1">
      <c r="A237" s="10" t="s">
        <v>297</v>
      </c>
      <c r="B237" s="13" t="s">
        <v>88</v>
      </c>
      <c r="C237" s="10" t="s">
        <v>569</v>
      </c>
      <c r="D237" s="13">
        <v>10.0</v>
      </c>
      <c r="E237" s="17">
        <v>231.0</v>
      </c>
      <c r="F237" s="15">
        <f t="shared" si="1"/>
        <v>2310</v>
      </c>
      <c r="G237" s="6">
        <v>46179.0</v>
      </c>
      <c r="H237" s="22">
        <v>4.0</v>
      </c>
      <c r="I237" s="16">
        <f t="shared" si="2"/>
        <v>46207</v>
      </c>
      <c r="J237" s="13" t="s">
        <v>25</v>
      </c>
      <c r="K237" s="13" t="s">
        <v>31</v>
      </c>
      <c r="L237" s="24">
        <f>IF(A237="","",IF(OR(G237="",AND(G237&gt;=Dashboard!$C$18,G237&lt;=Dashboard!$C$19)),1,0))</f>
        <v>1</v>
      </c>
      <c r="M237" s="24">
        <f>IF(AND(L237=1,OR(Dashboard!$C$13="All",A237=Dashboard!$C$13),OR(Dashboard!$C$14="All",B237=Dashboard!$C$14),OR(Dashboard!$C$15="All",C237=Dashboard!$C$15),OR(Dashboard!$C$16="All",K237=Dashboard!$C$16),OR(Dashboard!$C$17="All",J237=Dashboard!$C$17)),1,0)</f>
        <v>1</v>
      </c>
      <c r="N237" s="24">
        <f>IF(AND(L237=1,OR(Dashboard!$C$13="All",A237=Dashboard!$C$13),OR(Dashboard!$C$14="All",B237=Dashboard!$C$14),OR(Dashboard!$C$16="All",K237=Dashboard!$C$16),OR(Dashboard!$C$17="All",J237=Dashboard!$C$17)),1,0)</f>
        <v>1</v>
      </c>
      <c r="O237" s="24">
        <f>IF(AND(L237=1,OR(Dashboard!$C$13="All",A237=Dashboard!$C$13),OR(Dashboard!$C$15="All",C237=Dashboard!$C$15),OR(Dashboard!$C$16="All",K237=Dashboard!$C$16),OR(Dashboard!$C$17="All",J237=Dashboard!$C$17)),1,0)</f>
        <v>1</v>
      </c>
      <c r="P237" s="24">
        <f>IF(AND(L237=1,OR(Dashboard!$C$13="All",A237=Dashboard!$C$13),OR(Dashboard!$C$14="All",B237=Dashboard!$C$14),OR(Dashboard!$C$15="All",C237=Dashboard!$C$15),OR(Dashboard!$C$17="All",J237=Dashboard!$C$17)),1,0)</f>
        <v>1</v>
      </c>
      <c r="Q237" s="24">
        <f>IF(AND(L237=1,OR(Dashboard!$C$14="All",B237=Dashboard!$C$14),OR(Dashboard!$C$15="All",C237=Dashboard!$C$15),OR(Dashboard!$C$16="All",K237=Dashboard!$C$16),OR(Dashboard!$C$17="All",J237=Dashboard!$C$17)),1,0)</f>
        <v>1</v>
      </c>
      <c r="R237" s="24">
        <f>IF(AND(L237=1,OR(Dashboard!$C$13="All",A237=Dashboard!$C$13),OR(Dashboard!$C$14="All",B237=Dashboard!$C$14),OR(Dashboard!$C$15="All",C237=Dashboard!$C$15),OR(Dashboard!$C$16="All",K237=Dashboard!$C$16)),1,0)</f>
        <v>1</v>
      </c>
      <c r="S237" s="24">
        <f t="shared" si="3"/>
        <v>236</v>
      </c>
      <c r="V237" s="24" t="s">
        <v>570</v>
      </c>
    </row>
    <row r="238" ht="15.75" customHeight="1">
      <c r="A238" s="3" t="s">
        <v>297</v>
      </c>
      <c r="B238" s="4"/>
      <c r="C238" s="23" t="s">
        <v>558</v>
      </c>
      <c r="D238" s="4">
        <v>500.0</v>
      </c>
      <c r="E238" s="14">
        <v>25.0</v>
      </c>
      <c r="F238" s="5">
        <f t="shared" si="1"/>
        <v>12500</v>
      </c>
      <c r="G238" s="6">
        <v>46180.0</v>
      </c>
      <c r="H238" s="22">
        <v>7.0</v>
      </c>
      <c r="I238" s="7">
        <f t="shared" si="2"/>
        <v>46229</v>
      </c>
      <c r="J238" s="4" t="s">
        <v>25</v>
      </c>
      <c r="K238" s="4" t="s">
        <v>31</v>
      </c>
      <c r="L238" s="24">
        <f>IF(A238="","",IF(OR(G238="",AND(G238&gt;=Dashboard!$C$18,G238&lt;=Dashboard!$C$19)),1,0))</f>
        <v>1</v>
      </c>
      <c r="M238" s="24">
        <f>IF(AND(L238=1,OR(Dashboard!$C$13="All",A238=Dashboard!$C$13),OR(Dashboard!$C$14="All",B238=Dashboard!$C$14),OR(Dashboard!$C$15="All",C238=Dashboard!$C$15),OR(Dashboard!$C$16="All",K238=Dashboard!$C$16),OR(Dashboard!$C$17="All",J238=Dashboard!$C$17)),1,0)</f>
        <v>1</v>
      </c>
      <c r="N238" s="24">
        <f>IF(AND(L238=1,OR(Dashboard!$C$13="All",A238=Dashboard!$C$13),OR(Dashboard!$C$14="All",B238=Dashboard!$C$14),OR(Dashboard!$C$16="All",K238=Dashboard!$C$16),OR(Dashboard!$C$17="All",J238=Dashboard!$C$17)),1,0)</f>
        <v>1</v>
      </c>
      <c r="O238" s="24">
        <f>IF(AND(L238=1,OR(Dashboard!$C$13="All",A238=Dashboard!$C$13),OR(Dashboard!$C$15="All",C238=Dashboard!$C$15),OR(Dashboard!$C$16="All",K238=Dashboard!$C$16),OR(Dashboard!$C$17="All",J238=Dashboard!$C$17)),1,0)</f>
        <v>1</v>
      </c>
      <c r="P238" s="24">
        <f>IF(AND(L238=1,OR(Dashboard!$C$13="All",A238=Dashboard!$C$13),OR(Dashboard!$C$14="All",B238=Dashboard!$C$14),OR(Dashboard!$C$15="All",C238=Dashboard!$C$15),OR(Dashboard!$C$17="All",J238=Dashboard!$C$17)),1,0)</f>
        <v>1</v>
      </c>
      <c r="Q238" s="24">
        <f>IF(AND(L238=1,OR(Dashboard!$C$14="All",B238=Dashboard!$C$14),OR(Dashboard!$C$15="All",C238=Dashboard!$C$15),OR(Dashboard!$C$16="All",K238=Dashboard!$C$16),OR(Dashboard!$C$17="All",J238=Dashboard!$C$17)),1,0)</f>
        <v>1</v>
      </c>
      <c r="R238" s="24">
        <f>IF(AND(L238=1,OR(Dashboard!$C$13="All",A238=Dashboard!$C$13),OR(Dashboard!$C$14="All",B238=Dashboard!$C$14),OR(Dashboard!$C$15="All",C238=Dashboard!$C$15),OR(Dashboard!$C$16="All",K238=Dashboard!$C$16)),1,0)</f>
        <v>1</v>
      </c>
      <c r="S238" s="24">
        <f t="shared" si="3"/>
        <v>237</v>
      </c>
      <c r="V238" s="24" t="s">
        <v>571</v>
      </c>
    </row>
    <row r="239" ht="15.75" customHeight="1">
      <c r="A239" s="10" t="s">
        <v>297</v>
      </c>
      <c r="B239" s="13"/>
      <c r="C239" s="26" t="s">
        <v>572</v>
      </c>
      <c r="D239" s="13">
        <v>100.0</v>
      </c>
      <c r="E239" s="17">
        <v>245.0</v>
      </c>
      <c r="F239" s="15">
        <f t="shared" si="1"/>
        <v>24500</v>
      </c>
      <c r="G239" s="6">
        <v>46181.0</v>
      </c>
      <c r="H239" s="22">
        <v>5.0</v>
      </c>
      <c r="I239" s="16">
        <f t="shared" si="2"/>
        <v>46216</v>
      </c>
      <c r="J239" s="13" t="s">
        <v>25</v>
      </c>
      <c r="K239" s="13" t="s">
        <v>31</v>
      </c>
      <c r="L239" s="24">
        <f>IF(A239="","",IF(OR(G239="",AND(G239&gt;=Dashboard!$C$18,G239&lt;=Dashboard!$C$19)),1,0))</f>
        <v>1</v>
      </c>
      <c r="M239" s="24">
        <f>IF(AND(L239=1,OR(Dashboard!$C$13="All",A239=Dashboard!$C$13),OR(Dashboard!$C$14="All",B239=Dashboard!$C$14),OR(Dashboard!$C$15="All",C239=Dashboard!$C$15),OR(Dashboard!$C$16="All",K239=Dashboard!$C$16),OR(Dashboard!$C$17="All",J239=Dashboard!$C$17)),1,0)</f>
        <v>1</v>
      </c>
      <c r="N239" s="24">
        <f>IF(AND(L239=1,OR(Dashboard!$C$13="All",A239=Dashboard!$C$13),OR(Dashboard!$C$14="All",B239=Dashboard!$C$14),OR(Dashboard!$C$16="All",K239=Dashboard!$C$16),OR(Dashboard!$C$17="All",J239=Dashboard!$C$17)),1,0)</f>
        <v>1</v>
      </c>
      <c r="O239" s="24">
        <f>IF(AND(L239=1,OR(Dashboard!$C$13="All",A239=Dashboard!$C$13),OR(Dashboard!$C$15="All",C239=Dashboard!$C$15),OR(Dashboard!$C$16="All",K239=Dashboard!$C$16),OR(Dashboard!$C$17="All",J239=Dashboard!$C$17)),1,0)</f>
        <v>1</v>
      </c>
      <c r="P239" s="24">
        <f>IF(AND(L239=1,OR(Dashboard!$C$13="All",A239=Dashboard!$C$13),OR(Dashboard!$C$14="All",B239=Dashboard!$C$14),OR(Dashboard!$C$15="All",C239=Dashboard!$C$15),OR(Dashboard!$C$17="All",J239=Dashboard!$C$17)),1,0)</f>
        <v>1</v>
      </c>
      <c r="Q239" s="24">
        <f>IF(AND(L239=1,OR(Dashboard!$C$14="All",B239=Dashboard!$C$14),OR(Dashboard!$C$15="All",C239=Dashboard!$C$15),OR(Dashboard!$C$16="All",K239=Dashboard!$C$16),OR(Dashboard!$C$17="All",J239=Dashboard!$C$17)),1,0)</f>
        <v>1</v>
      </c>
      <c r="R239" s="24">
        <f>IF(AND(L239=1,OR(Dashboard!$C$13="All",A239=Dashboard!$C$13),OR(Dashboard!$C$14="All",B239=Dashboard!$C$14),OR(Dashboard!$C$15="All",C239=Dashboard!$C$15),OR(Dashboard!$C$16="All",K239=Dashboard!$C$16)),1,0)</f>
        <v>1</v>
      </c>
      <c r="S239" s="24">
        <f t="shared" si="3"/>
        <v>238</v>
      </c>
      <c r="V239" s="24" t="s">
        <v>573</v>
      </c>
    </row>
    <row r="240" ht="15.75" customHeight="1">
      <c r="A240" s="3" t="s">
        <v>300</v>
      </c>
      <c r="B240" s="4"/>
      <c r="C240" s="3" t="s">
        <v>574</v>
      </c>
      <c r="D240" s="4">
        <v>2.0</v>
      </c>
      <c r="E240" s="14">
        <v>2555.0</v>
      </c>
      <c r="F240" s="5">
        <f t="shared" si="1"/>
        <v>5110</v>
      </c>
      <c r="G240" s="6">
        <v>46182.0</v>
      </c>
      <c r="H240" s="22">
        <v>8.0</v>
      </c>
      <c r="I240" s="7">
        <f t="shared" si="2"/>
        <v>46238</v>
      </c>
      <c r="J240" s="4" t="s">
        <v>25</v>
      </c>
      <c r="K240" s="4" t="s">
        <v>31</v>
      </c>
      <c r="L240" s="24">
        <f>IF(A240="","",IF(OR(G240="",AND(G240&gt;=Dashboard!$C$18,G240&lt;=Dashboard!$C$19)),1,0))</f>
        <v>1</v>
      </c>
      <c r="M240" s="24">
        <f>IF(AND(L240=1,OR(Dashboard!$C$13="All",A240=Dashboard!$C$13),OR(Dashboard!$C$14="All",B240=Dashboard!$C$14),OR(Dashboard!$C$15="All",C240=Dashboard!$C$15),OR(Dashboard!$C$16="All",K240=Dashboard!$C$16),OR(Dashboard!$C$17="All",J240=Dashboard!$C$17)),1,0)</f>
        <v>1</v>
      </c>
      <c r="N240" s="24">
        <f>IF(AND(L240=1,OR(Dashboard!$C$13="All",A240=Dashboard!$C$13),OR(Dashboard!$C$14="All",B240=Dashboard!$C$14),OR(Dashboard!$C$16="All",K240=Dashboard!$C$16),OR(Dashboard!$C$17="All",J240=Dashboard!$C$17)),1,0)</f>
        <v>1</v>
      </c>
      <c r="O240" s="24">
        <f>IF(AND(L240=1,OR(Dashboard!$C$13="All",A240=Dashboard!$C$13),OR(Dashboard!$C$15="All",C240=Dashboard!$C$15),OR(Dashboard!$C$16="All",K240=Dashboard!$C$16),OR(Dashboard!$C$17="All",J240=Dashboard!$C$17)),1,0)</f>
        <v>1</v>
      </c>
      <c r="P240" s="24">
        <f>IF(AND(L240=1,OR(Dashboard!$C$13="All",A240=Dashboard!$C$13),OR(Dashboard!$C$14="All",B240=Dashboard!$C$14),OR(Dashboard!$C$15="All",C240=Dashboard!$C$15),OR(Dashboard!$C$17="All",J240=Dashboard!$C$17)),1,0)</f>
        <v>1</v>
      </c>
      <c r="Q240" s="24">
        <f>IF(AND(L240=1,OR(Dashboard!$C$14="All",B240=Dashboard!$C$14),OR(Dashboard!$C$15="All",C240=Dashboard!$C$15),OR(Dashboard!$C$16="All",K240=Dashboard!$C$16),OR(Dashboard!$C$17="All",J240=Dashboard!$C$17)),1,0)</f>
        <v>1</v>
      </c>
      <c r="R240" s="24">
        <f>IF(AND(L240=1,OR(Dashboard!$C$13="All",A240=Dashboard!$C$13),OR(Dashboard!$C$14="All",B240=Dashboard!$C$14),OR(Dashboard!$C$15="All",C240=Dashboard!$C$15),OR(Dashboard!$C$16="All",K240=Dashboard!$C$16)),1,0)</f>
        <v>1</v>
      </c>
      <c r="S240" s="24">
        <f t="shared" si="3"/>
        <v>239</v>
      </c>
      <c r="V240" s="24" t="s">
        <v>575</v>
      </c>
    </row>
    <row r="241" ht="15.75" customHeight="1">
      <c r="A241" s="10" t="s">
        <v>188</v>
      </c>
      <c r="B241" s="13"/>
      <c r="C241" s="10" t="s">
        <v>576</v>
      </c>
      <c r="D241" s="13">
        <v>6.0</v>
      </c>
      <c r="E241" s="17">
        <v>255.0</v>
      </c>
      <c r="F241" s="15">
        <f t="shared" si="1"/>
        <v>1530</v>
      </c>
      <c r="G241" s="6">
        <v>46183.0</v>
      </c>
      <c r="H241" s="22">
        <v>5.0</v>
      </c>
      <c r="I241" s="16">
        <f t="shared" si="2"/>
        <v>46218</v>
      </c>
      <c r="J241" s="13" t="s">
        <v>25</v>
      </c>
      <c r="K241" s="13" t="s">
        <v>31</v>
      </c>
      <c r="L241" s="24">
        <f>IF(A241="","",IF(OR(G241="",AND(G241&gt;=Dashboard!$C$18,G241&lt;=Dashboard!$C$19)),1,0))</f>
        <v>1</v>
      </c>
      <c r="M241" s="24">
        <f>IF(AND(L241=1,OR(Dashboard!$C$13="All",A241=Dashboard!$C$13),OR(Dashboard!$C$14="All",B241=Dashboard!$C$14),OR(Dashboard!$C$15="All",C241=Dashboard!$C$15),OR(Dashboard!$C$16="All",K241=Dashboard!$C$16),OR(Dashboard!$C$17="All",J241=Dashboard!$C$17)),1,0)</f>
        <v>1</v>
      </c>
      <c r="N241" s="24">
        <f>IF(AND(L241=1,OR(Dashboard!$C$13="All",A241=Dashboard!$C$13),OR(Dashboard!$C$14="All",B241=Dashboard!$C$14),OR(Dashboard!$C$16="All",K241=Dashboard!$C$16),OR(Dashboard!$C$17="All",J241=Dashboard!$C$17)),1,0)</f>
        <v>1</v>
      </c>
      <c r="O241" s="24">
        <f>IF(AND(L241=1,OR(Dashboard!$C$13="All",A241=Dashboard!$C$13),OR(Dashboard!$C$15="All",C241=Dashboard!$C$15),OR(Dashboard!$C$16="All",K241=Dashboard!$C$16),OR(Dashboard!$C$17="All",J241=Dashboard!$C$17)),1,0)</f>
        <v>1</v>
      </c>
      <c r="P241" s="24">
        <f>IF(AND(L241=1,OR(Dashboard!$C$13="All",A241=Dashboard!$C$13),OR(Dashboard!$C$14="All",B241=Dashboard!$C$14),OR(Dashboard!$C$15="All",C241=Dashboard!$C$15),OR(Dashboard!$C$17="All",J241=Dashboard!$C$17)),1,0)</f>
        <v>1</v>
      </c>
      <c r="Q241" s="24">
        <f>IF(AND(L241=1,OR(Dashboard!$C$14="All",B241=Dashboard!$C$14),OR(Dashboard!$C$15="All",C241=Dashboard!$C$15),OR(Dashboard!$C$16="All",K241=Dashboard!$C$16),OR(Dashboard!$C$17="All",J241=Dashboard!$C$17)),1,0)</f>
        <v>1</v>
      </c>
      <c r="R241" s="24">
        <f>IF(AND(L241=1,OR(Dashboard!$C$13="All",A241=Dashboard!$C$13),OR(Dashboard!$C$14="All",B241=Dashboard!$C$14),OR(Dashboard!$C$15="All",C241=Dashboard!$C$15),OR(Dashboard!$C$16="All",K241=Dashboard!$C$16)),1,0)</f>
        <v>1</v>
      </c>
      <c r="S241" s="24">
        <f t="shared" si="3"/>
        <v>240</v>
      </c>
      <c r="V241" s="24" t="s">
        <v>417</v>
      </c>
    </row>
    <row r="242" ht="15.75" customHeight="1">
      <c r="A242" s="3" t="s">
        <v>188</v>
      </c>
      <c r="B242" s="4"/>
      <c r="C242" s="3" t="s">
        <v>577</v>
      </c>
      <c r="D242" s="4">
        <v>6.0</v>
      </c>
      <c r="E242" s="14">
        <v>45.0</v>
      </c>
      <c r="F242" s="5">
        <f t="shared" si="1"/>
        <v>270</v>
      </c>
      <c r="G242" s="6">
        <v>46184.0</v>
      </c>
      <c r="H242" s="22">
        <v>6.0</v>
      </c>
      <c r="I242" s="7">
        <f t="shared" si="2"/>
        <v>46226</v>
      </c>
      <c r="J242" s="4" t="s">
        <v>25</v>
      </c>
      <c r="K242" s="4" t="s">
        <v>31</v>
      </c>
      <c r="L242" s="24">
        <f>IF(A242="","",IF(OR(G242="",AND(G242&gt;=Dashboard!$C$18,G242&lt;=Dashboard!$C$19)),1,0))</f>
        <v>1</v>
      </c>
      <c r="M242" s="24">
        <f>IF(AND(L242=1,OR(Dashboard!$C$13="All",A242=Dashboard!$C$13),OR(Dashboard!$C$14="All",B242=Dashboard!$C$14),OR(Dashboard!$C$15="All",C242=Dashboard!$C$15),OR(Dashboard!$C$16="All",K242=Dashboard!$C$16),OR(Dashboard!$C$17="All",J242=Dashboard!$C$17)),1,0)</f>
        <v>1</v>
      </c>
      <c r="N242" s="24">
        <f>IF(AND(L242=1,OR(Dashboard!$C$13="All",A242=Dashboard!$C$13),OR(Dashboard!$C$14="All",B242=Dashboard!$C$14),OR(Dashboard!$C$16="All",K242=Dashboard!$C$16),OR(Dashboard!$C$17="All",J242=Dashboard!$C$17)),1,0)</f>
        <v>1</v>
      </c>
      <c r="O242" s="24">
        <f>IF(AND(L242=1,OR(Dashboard!$C$13="All",A242=Dashboard!$C$13),OR(Dashboard!$C$15="All",C242=Dashboard!$C$15),OR(Dashboard!$C$16="All",K242=Dashboard!$C$16),OR(Dashboard!$C$17="All",J242=Dashboard!$C$17)),1,0)</f>
        <v>1</v>
      </c>
      <c r="P242" s="24">
        <f>IF(AND(L242=1,OR(Dashboard!$C$13="All",A242=Dashboard!$C$13),OR(Dashboard!$C$14="All",B242=Dashboard!$C$14),OR(Dashboard!$C$15="All",C242=Dashboard!$C$15),OR(Dashboard!$C$17="All",J242=Dashboard!$C$17)),1,0)</f>
        <v>1</v>
      </c>
      <c r="Q242" s="24">
        <f>IF(AND(L242=1,OR(Dashboard!$C$14="All",B242=Dashboard!$C$14),OR(Dashboard!$C$15="All",C242=Dashboard!$C$15),OR(Dashboard!$C$16="All",K242=Dashboard!$C$16),OR(Dashboard!$C$17="All",J242=Dashboard!$C$17)),1,0)</f>
        <v>1</v>
      </c>
      <c r="R242" s="24">
        <f>IF(AND(L242=1,OR(Dashboard!$C$13="All",A242=Dashboard!$C$13),OR(Dashboard!$C$14="All",B242=Dashboard!$C$14),OR(Dashboard!$C$15="All",C242=Dashboard!$C$15),OR(Dashboard!$C$16="All",K242=Dashboard!$C$16)),1,0)</f>
        <v>1</v>
      </c>
      <c r="S242" s="24">
        <f t="shared" si="3"/>
        <v>241</v>
      </c>
      <c r="V242" s="24" t="s">
        <v>423</v>
      </c>
    </row>
    <row r="243" ht="15.75" customHeight="1">
      <c r="A243" s="10" t="s">
        <v>188</v>
      </c>
      <c r="B243" s="13"/>
      <c r="C243" s="10" t="s">
        <v>578</v>
      </c>
      <c r="D243" s="13">
        <v>2.0</v>
      </c>
      <c r="E243" s="17">
        <v>36.0</v>
      </c>
      <c r="F243" s="15">
        <f t="shared" si="1"/>
        <v>72</v>
      </c>
      <c r="G243" s="6">
        <v>46185.0</v>
      </c>
      <c r="H243" s="22">
        <v>9.0</v>
      </c>
      <c r="I243" s="16">
        <f t="shared" si="2"/>
        <v>46248</v>
      </c>
      <c r="J243" s="13" t="s">
        <v>25</v>
      </c>
      <c r="K243" s="13" t="s">
        <v>31</v>
      </c>
      <c r="L243" s="24">
        <f>IF(A243="","",IF(OR(G243="",AND(G243&gt;=Dashboard!$C$18,G243&lt;=Dashboard!$C$19)),1,0))</f>
        <v>1</v>
      </c>
      <c r="M243" s="24">
        <f>IF(AND(L243=1,OR(Dashboard!$C$13="All",A243=Dashboard!$C$13),OR(Dashboard!$C$14="All",B243=Dashboard!$C$14),OR(Dashboard!$C$15="All",C243=Dashboard!$C$15),OR(Dashboard!$C$16="All",K243=Dashboard!$C$16),OR(Dashboard!$C$17="All",J243=Dashboard!$C$17)),1,0)</f>
        <v>1</v>
      </c>
      <c r="N243" s="24">
        <f>IF(AND(L243=1,OR(Dashboard!$C$13="All",A243=Dashboard!$C$13),OR(Dashboard!$C$14="All",B243=Dashboard!$C$14),OR(Dashboard!$C$16="All",K243=Dashboard!$C$16),OR(Dashboard!$C$17="All",J243=Dashboard!$C$17)),1,0)</f>
        <v>1</v>
      </c>
      <c r="O243" s="24">
        <f>IF(AND(L243=1,OR(Dashboard!$C$13="All",A243=Dashboard!$C$13),OR(Dashboard!$C$15="All",C243=Dashboard!$C$15),OR(Dashboard!$C$16="All",K243=Dashboard!$C$16),OR(Dashboard!$C$17="All",J243=Dashboard!$C$17)),1,0)</f>
        <v>1</v>
      </c>
      <c r="P243" s="24">
        <f>IF(AND(L243=1,OR(Dashboard!$C$13="All",A243=Dashboard!$C$13),OR(Dashboard!$C$14="All",B243=Dashboard!$C$14),OR(Dashboard!$C$15="All",C243=Dashboard!$C$15),OR(Dashboard!$C$17="All",J243=Dashboard!$C$17)),1,0)</f>
        <v>1</v>
      </c>
      <c r="Q243" s="24">
        <f>IF(AND(L243=1,OR(Dashboard!$C$14="All",B243=Dashboard!$C$14),OR(Dashboard!$C$15="All",C243=Dashboard!$C$15),OR(Dashboard!$C$16="All",K243=Dashboard!$C$16),OR(Dashboard!$C$17="All",J243=Dashboard!$C$17)),1,0)</f>
        <v>1</v>
      </c>
      <c r="R243" s="24">
        <f>IF(AND(L243=1,OR(Dashboard!$C$13="All",A243=Dashboard!$C$13),OR(Dashboard!$C$14="All",B243=Dashboard!$C$14),OR(Dashboard!$C$15="All",C243=Dashboard!$C$15),OR(Dashboard!$C$16="All",K243=Dashboard!$C$16)),1,0)</f>
        <v>1</v>
      </c>
      <c r="S243" s="24">
        <f t="shared" si="3"/>
        <v>242</v>
      </c>
      <c r="V243" s="24" t="s">
        <v>561</v>
      </c>
    </row>
    <row r="244" ht="15.75" customHeight="1">
      <c r="A244" s="3" t="s">
        <v>188</v>
      </c>
      <c r="B244" s="4"/>
      <c r="C244" s="3" t="s">
        <v>579</v>
      </c>
      <c r="D244" s="4">
        <v>2.0</v>
      </c>
      <c r="E244" s="14">
        <v>96.0</v>
      </c>
      <c r="F244" s="5">
        <f t="shared" si="1"/>
        <v>192</v>
      </c>
      <c r="G244" s="6">
        <v>46186.0</v>
      </c>
      <c r="H244" s="22">
        <v>9.0</v>
      </c>
      <c r="I244" s="7">
        <f t="shared" si="2"/>
        <v>46249</v>
      </c>
      <c r="J244" s="4" t="s">
        <v>25</v>
      </c>
      <c r="K244" s="4" t="s">
        <v>31</v>
      </c>
      <c r="L244" s="24">
        <f>IF(A244="","",IF(OR(G244="",AND(G244&gt;=Dashboard!$C$18,G244&lt;=Dashboard!$C$19)),1,0))</f>
        <v>1</v>
      </c>
      <c r="M244" s="24">
        <f>IF(AND(L244=1,OR(Dashboard!$C$13="All",A244=Dashboard!$C$13),OR(Dashboard!$C$14="All",B244=Dashboard!$C$14),OR(Dashboard!$C$15="All",C244=Dashboard!$C$15),OR(Dashboard!$C$16="All",K244=Dashboard!$C$16),OR(Dashboard!$C$17="All",J244=Dashboard!$C$17)),1,0)</f>
        <v>1</v>
      </c>
      <c r="N244" s="24">
        <f>IF(AND(L244=1,OR(Dashboard!$C$13="All",A244=Dashboard!$C$13),OR(Dashboard!$C$14="All",B244=Dashboard!$C$14),OR(Dashboard!$C$16="All",K244=Dashboard!$C$16),OR(Dashboard!$C$17="All",J244=Dashboard!$C$17)),1,0)</f>
        <v>1</v>
      </c>
      <c r="O244" s="24">
        <f>IF(AND(L244=1,OR(Dashboard!$C$13="All",A244=Dashboard!$C$13),OR(Dashboard!$C$15="All",C244=Dashboard!$C$15),OR(Dashboard!$C$16="All",K244=Dashboard!$C$16),OR(Dashboard!$C$17="All",J244=Dashboard!$C$17)),1,0)</f>
        <v>1</v>
      </c>
      <c r="P244" s="24">
        <f>IF(AND(L244=1,OR(Dashboard!$C$13="All",A244=Dashboard!$C$13),OR(Dashboard!$C$14="All",B244=Dashboard!$C$14),OR(Dashboard!$C$15="All",C244=Dashboard!$C$15),OR(Dashboard!$C$17="All",J244=Dashboard!$C$17)),1,0)</f>
        <v>1</v>
      </c>
      <c r="Q244" s="24">
        <f>IF(AND(L244=1,OR(Dashboard!$C$14="All",B244=Dashboard!$C$14),OR(Dashboard!$C$15="All",C244=Dashboard!$C$15),OR(Dashboard!$C$16="All",K244=Dashboard!$C$16),OR(Dashboard!$C$17="All",J244=Dashboard!$C$17)),1,0)</f>
        <v>1</v>
      </c>
      <c r="R244" s="24">
        <f>IF(AND(L244=1,OR(Dashboard!$C$13="All",A244=Dashboard!$C$13),OR(Dashboard!$C$14="All",B244=Dashboard!$C$14),OR(Dashboard!$C$15="All",C244=Dashboard!$C$15),OR(Dashboard!$C$16="All",K244=Dashboard!$C$16)),1,0)</f>
        <v>1</v>
      </c>
      <c r="S244" s="24">
        <f t="shared" si="3"/>
        <v>243</v>
      </c>
      <c r="V244" s="24" t="s">
        <v>296</v>
      </c>
    </row>
    <row r="245" ht="15.75" customHeight="1">
      <c r="A245" s="10" t="s">
        <v>303</v>
      </c>
      <c r="B245" s="13"/>
      <c r="C245" s="10" t="s">
        <v>580</v>
      </c>
      <c r="D245" s="13">
        <v>1.0</v>
      </c>
      <c r="E245" s="17">
        <v>8.0</v>
      </c>
      <c r="F245" s="15">
        <f t="shared" si="1"/>
        <v>8</v>
      </c>
      <c r="G245" s="6">
        <v>46187.0</v>
      </c>
      <c r="H245" s="22">
        <v>9.0</v>
      </c>
      <c r="I245" s="16">
        <f t="shared" si="2"/>
        <v>46250</v>
      </c>
      <c r="J245" s="13" t="s">
        <v>25</v>
      </c>
      <c r="K245" s="13" t="s">
        <v>31</v>
      </c>
      <c r="L245" s="24">
        <f>IF(A245="","",IF(OR(G245="",AND(G245&gt;=Dashboard!$C$18,G245&lt;=Dashboard!$C$19)),1,0))</f>
        <v>1</v>
      </c>
      <c r="M245" s="24">
        <f>IF(AND(L245=1,OR(Dashboard!$C$13="All",A245=Dashboard!$C$13),OR(Dashboard!$C$14="All",B245=Dashboard!$C$14),OR(Dashboard!$C$15="All",C245=Dashboard!$C$15),OR(Dashboard!$C$16="All",K245=Dashboard!$C$16),OR(Dashboard!$C$17="All",J245=Dashboard!$C$17)),1,0)</f>
        <v>1</v>
      </c>
      <c r="N245" s="24">
        <f>IF(AND(L245=1,OR(Dashboard!$C$13="All",A245=Dashboard!$C$13),OR(Dashboard!$C$14="All",B245=Dashboard!$C$14),OR(Dashboard!$C$16="All",K245=Dashboard!$C$16),OR(Dashboard!$C$17="All",J245=Dashboard!$C$17)),1,0)</f>
        <v>1</v>
      </c>
      <c r="O245" s="24">
        <f>IF(AND(L245=1,OR(Dashboard!$C$13="All",A245=Dashboard!$C$13),OR(Dashboard!$C$15="All",C245=Dashboard!$C$15),OR(Dashboard!$C$16="All",K245=Dashboard!$C$16),OR(Dashboard!$C$17="All",J245=Dashboard!$C$17)),1,0)</f>
        <v>1</v>
      </c>
      <c r="P245" s="24">
        <f>IF(AND(L245=1,OR(Dashboard!$C$13="All",A245=Dashboard!$C$13),OR(Dashboard!$C$14="All",B245=Dashboard!$C$14),OR(Dashboard!$C$15="All",C245=Dashboard!$C$15),OR(Dashboard!$C$17="All",J245=Dashboard!$C$17)),1,0)</f>
        <v>1</v>
      </c>
      <c r="Q245" s="24">
        <f>IF(AND(L245=1,OR(Dashboard!$C$14="All",B245=Dashboard!$C$14),OR(Dashboard!$C$15="All",C245=Dashboard!$C$15),OR(Dashboard!$C$16="All",K245=Dashboard!$C$16),OR(Dashboard!$C$17="All",J245=Dashboard!$C$17)),1,0)</f>
        <v>1</v>
      </c>
      <c r="R245" s="24">
        <f>IF(AND(L245=1,OR(Dashboard!$C$13="All",A245=Dashboard!$C$13),OR(Dashboard!$C$14="All",B245=Dashboard!$C$14),OR(Dashboard!$C$15="All",C245=Dashboard!$C$15),OR(Dashboard!$C$16="All",K245=Dashboard!$C$16)),1,0)</f>
        <v>1</v>
      </c>
      <c r="S245" s="24">
        <f t="shared" si="3"/>
        <v>244</v>
      </c>
      <c r="V245" s="24" t="s">
        <v>509</v>
      </c>
    </row>
    <row r="246" ht="15.75" customHeight="1">
      <c r="A246" s="3" t="s">
        <v>303</v>
      </c>
      <c r="B246" s="4"/>
      <c r="C246" s="3" t="s">
        <v>581</v>
      </c>
      <c r="D246" s="4">
        <v>1.0</v>
      </c>
      <c r="E246" s="14">
        <v>5.0</v>
      </c>
      <c r="F246" s="5">
        <f t="shared" si="1"/>
        <v>5</v>
      </c>
      <c r="G246" s="6">
        <v>46188.0</v>
      </c>
      <c r="H246" s="22">
        <v>9.0</v>
      </c>
      <c r="I246" s="7">
        <f t="shared" si="2"/>
        <v>46251</v>
      </c>
      <c r="J246" s="4" t="s">
        <v>25</v>
      </c>
      <c r="K246" s="4" t="s">
        <v>31</v>
      </c>
      <c r="L246" s="24">
        <f>IF(A246="","",IF(OR(G246="",AND(G246&gt;=Dashboard!$C$18,G246&lt;=Dashboard!$C$19)),1,0))</f>
        <v>1</v>
      </c>
      <c r="M246" s="24">
        <f>IF(AND(L246=1,OR(Dashboard!$C$13="All",A246=Dashboard!$C$13),OR(Dashboard!$C$14="All",B246=Dashboard!$C$14),OR(Dashboard!$C$15="All",C246=Dashboard!$C$15),OR(Dashboard!$C$16="All",K246=Dashboard!$C$16),OR(Dashboard!$C$17="All",J246=Dashboard!$C$17)),1,0)</f>
        <v>1</v>
      </c>
      <c r="N246" s="24">
        <f>IF(AND(L246=1,OR(Dashboard!$C$13="All",A246=Dashboard!$C$13),OR(Dashboard!$C$14="All",B246=Dashboard!$C$14),OR(Dashboard!$C$16="All",K246=Dashboard!$C$16),OR(Dashboard!$C$17="All",J246=Dashboard!$C$17)),1,0)</f>
        <v>1</v>
      </c>
      <c r="O246" s="24">
        <f>IF(AND(L246=1,OR(Dashboard!$C$13="All",A246=Dashboard!$C$13),OR(Dashboard!$C$15="All",C246=Dashboard!$C$15),OR(Dashboard!$C$16="All",K246=Dashboard!$C$16),OR(Dashboard!$C$17="All",J246=Dashboard!$C$17)),1,0)</f>
        <v>1</v>
      </c>
      <c r="P246" s="24">
        <f>IF(AND(L246=1,OR(Dashboard!$C$13="All",A246=Dashboard!$C$13),OR(Dashboard!$C$14="All",B246=Dashboard!$C$14),OR(Dashboard!$C$15="All",C246=Dashboard!$C$15),OR(Dashboard!$C$17="All",J246=Dashboard!$C$17)),1,0)</f>
        <v>1</v>
      </c>
      <c r="Q246" s="24">
        <f>IF(AND(L246=1,OR(Dashboard!$C$14="All",B246=Dashboard!$C$14),OR(Dashboard!$C$15="All",C246=Dashboard!$C$15),OR(Dashboard!$C$16="All",K246=Dashboard!$C$16),OR(Dashboard!$C$17="All",J246=Dashboard!$C$17)),1,0)</f>
        <v>1</v>
      </c>
      <c r="R246" s="24">
        <f>IF(AND(L246=1,OR(Dashboard!$C$13="All",A246=Dashboard!$C$13),OR(Dashboard!$C$14="All",B246=Dashboard!$C$14),OR(Dashboard!$C$15="All",C246=Dashboard!$C$15),OR(Dashboard!$C$16="All",K246=Dashboard!$C$16)),1,0)</f>
        <v>1</v>
      </c>
      <c r="S246" s="24">
        <f t="shared" si="3"/>
        <v>245</v>
      </c>
      <c r="V246" s="24" t="s">
        <v>190</v>
      </c>
    </row>
    <row r="247" ht="15.75" customHeight="1">
      <c r="A247" s="10" t="s">
        <v>304</v>
      </c>
      <c r="B247" s="13"/>
      <c r="C247" s="10" t="s">
        <v>126</v>
      </c>
      <c r="D247" s="13">
        <v>4.0</v>
      </c>
      <c r="E247" s="17">
        <v>4.0</v>
      </c>
      <c r="F247" s="15">
        <f t="shared" si="1"/>
        <v>16</v>
      </c>
      <c r="G247" s="6">
        <v>46189.0</v>
      </c>
      <c r="H247" s="22">
        <v>9.0</v>
      </c>
      <c r="I247" s="16">
        <f t="shared" si="2"/>
        <v>46252</v>
      </c>
      <c r="J247" s="13" t="s">
        <v>25</v>
      </c>
      <c r="K247" s="13" t="s">
        <v>31</v>
      </c>
      <c r="L247" s="24">
        <f>IF(A247="","",IF(OR(G247="",AND(G247&gt;=Dashboard!$C$18,G247&lt;=Dashboard!$C$19)),1,0))</f>
        <v>1</v>
      </c>
      <c r="M247" s="24">
        <f>IF(AND(L247=1,OR(Dashboard!$C$13="All",A247=Dashboard!$C$13),OR(Dashboard!$C$14="All",B247=Dashboard!$C$14),OR(Dashboard!$C$15="All",C247=Dashboard!$C$15),OR(Dashboard!$C$16="All",K247=Dashboard!$C$16),OR(Dashboard!$C$17="All",J247=Dashboard!$C$17)),1,0)</f>
        <v>1</v>
      </c>
      <c r="N247" s="24">
        <f>IF(AND(L247=1,OR(Dashboard!$C$13="All",A247=Dashboard!$C$13),OR(Dashboard!$C$14="All",B247=Dashboard!$C$14),OR(Dashboard!$C$16="All",K247=Dashboard!$C$16),OR(Dashboard!$C$17="All",J247=Dashboard!$C$17)),1,0)</f>
        <v>1</v>
      </c>
      <c r="O247" s="24">
        <f>IF(AND(L247=1,OR(Dashboard!$C$13="All",A247=Dashboard!$C$13),OR(Dashboard!$C$15="All",C247=Dashboard!$C$15),OR(Dashboard!$C$16="All",K247=Dashboard!$C$16),OR(Dashboard!$C$17="All",J247=Dashboard!$C$17)),1,0)</f>
        <v>1</v>
      </c>
      <c r="P247" s="24">
        <f>IF(AND(L247=1,OR(Dashboard!$C$13="All",A247=Dashboard!$C$13),OR(Dashboard!$C$14="All",B247=Dashboard!$C$14),OR(Dashboard!$C$15="All",C247=Dashboard!$C$15),OR(Dashboard!$C$17="All",J247=Dashboard!$C$17)),1,0)</f>
        <v>1</v>
      </c>
      <c r="Q247" s="24">
        <f>IF(AND(L247=1,OR(Dashboard!$C$14="All",B247=Dashboard!$C$14),OR(Dashboard!$C$15="All",C247=Dashboard!$C$15),OR(Dashboard!$C$16="All",K247=Dashboard!$C$16),OR(Dashboard!$C$17="All",J247=Dashboard!$C$17)),1,0)</f>
        <v>1</v>
      </c>
      <c r="R247" s="24">
        <f>IF(AND(L247=1,OR(Dashboard!$C$13="All",A247=Dashboard!$C$13),OR(Dashboard!$C$14="All",B247=Dashboard!$C$14),OR(Dashboard!$C$15="All",C247=Dashboard!$C$15),OR(Dashboard!$C$16="All",K247=Dashboard!$C$16)),1,0)</f>
        <v>1</v>
      </c>
      <c r="S247" s="24">
        <f t="shared" si="3"/>
        <v>246</v>
      </c>
      <c r="V247" s="24" t="s">
        <v>582</v>
      </c>
    </row>
    <row r="248" ht="15.75" customHeight="1">
      <c r="A248" s="3" t="s">
        <v>306</v>
      </c>
      <c r="B248" s="4"/>
      <c r="C248" s="3" t="s">
        <v>160</v>
      </c>
      <c r="D248" s="4">
        <v>1.0</v>
      </c>
      <c r="E248" s="14">
        <v>2.0</v>
      </c>
      <c r="F248" s="5">
        <f t="shared" si="1"/>
        <v>2</v>
      </c>
      <c r="G248" s="6">
        <v>46190.0</v>
      </c>
      <c r="H248" s="22">
        <v>7.0</v>
      </c>
      <c r="I248" s="7">
        <f t="shared" si="2"/>
        <v>46239</v>
      </c>
      <c r="J248" s="4" t="s">
        <v>25</v>
      </c>
      <c r="K248" s="4" t="s">
        <v>31</v>
      </c>
      <c r="L248" s="24">
        <f>IF(A248="","",IF(OR(G248="",AND(G248&gt;=Dashboard!$C$18,G248&lt;=Dashboard!$C$19)),1,0))</f>
        <v>1</v>
      </c>
      <c r="M248" s="24">
        <f>IF(AND(L248=1,OR(Dashboard!$C$13="All",A248=Dashboard!$C$13),OR(Dashboard!$C$14="All",B248=Dashboard!$C$14),OR(Dashboard!$C$15="All",C248=Dashboard!$C$15),OR(Dashboard!$C$16="All",K248=Dashboard!$C$16),OR(Dashboard!$C$17="All",J248=Dashboard!$C$17)),1,0)</f>
        <v>1</v>
      </c>
      <c r="N248" s="24">
        <f>IF(AND(L248=1,OR(Dashboard!$C$13="All",A248=Dashboard!$C$13),OR(Dashboard!$C$14="All",B248=Dashboard!$C$14),OR(Dashboard!$C$16="All",K248=Dashboard!$C$16),OR(Dashboard!$C$17="All",J248=Dashboard!$C$17)),1,0)</f>
        <v>1</v>
      </c>
      <c r="O248" s="24">
        <f>IF(AND(L248=1,OR(Dashboard!$C$13="All",A248=Dashboard!$C$13),OR(Dashboard!$C$15="All",C248=Dashboard!$C$15),OR(Dashboard!$C$16="All",K248=Dashboard!$C$16),OR(Dashboard!$C$17="All",J248=Dashboard!$C$17)),1,0)</f>
        <v>1</v>
      </c>
      <c r="P248" s="24">
        <f>IF(AND(L248=1,OR(Dashboard!$C$13="All",A248=Dashboard!$C$13),OR(Dashboard!$C$14="All",B248=Dashboard!$C$14),OR(Dashboard!$C$15="All",C248=Dashboard!$C$15),OR(Dashboard!$C$17="All",J248=Dashboard!$C$17)),1,0)</f>
        <v>1</v>
      </c>
      <c r="Q248" s="24">
        <f>IF(AND(L248=1,OR(Dashboard!$C$14="All",B248=Dashboard!$C$14),OR(Dashboard!$C$15="All",C248=Dashboard!$C$15),OR(Dashboard!$C$16="All",K248=Dashboard!$C$16),OR(Dashboard!$C$17="All",J248=Dashboard!$C$17)),1,0)</f>
        <v>1</v>
      </c>
      <c r="R248" s="24">
        <f>IF(AND(L248=1,OR(Dashboard!$C$13="All",A248=Dashboard!$C$13),OR(Dashboard!$C$14="All",B248=Dashboard!$C$14),OR(Dashboard!$C$15="All",C248=Dashboard!$C$15),OR(Dashboard!$C$16="All",K248=Dashboard!$C$16)),1,0)</f>
        <v>1</v>
      </c>
      <c r="S248" s="24">
        <f t="shared" si="3"/>
        <v>247</v>
      </c>
      <c r="V248" s="24" t="s">
        <v>583</v>
      </c>
    </row>
    <row r="249" ht="15.75" customHeight="1">
      <c r="A249" s="10" t="s">
        <v>309</v>
      </c>
      <c r="B249" s="13"/>
      <c r="C249" s="10" t="s">
        <v>539</v>
      </c>
      <c r="D249" s="13">
        <v>1000.0</v>
      </c>
      <c r="E249" s="17">
        <v>36.0</v>
      </c>
      <c r="F249" s="15">
        <f t="shared" si="1"/>
        <v>36000</v>
      </c>
      <c r="G249" s="6">
        <v>46191.0</v>
      </c>
      <c r="H249" s="22">
        <v>10.0</v>
      </c>
      <c r="I249" s="16">
        <f t="shared" si="2"/>
        <v>46261</v>
      </c>
      <c r="J249" s="13" t="s">
        <v>25</v>
      </c>
      <c r="K249" s="13" t="s">
        <v>31</v>
      </c>
      <c r="L249" s="24">
        <f>IF(A249="","",IF(OR(G249="",AND(G249&gt;=Dashboard!$C$18,G249&lt;=Dashboard!$C$19)),1,0))</f>
        <v>1</v>
      </c>
      <c r="M249" s="24">
        <f>IF(AND(L249=1,OR(Dashboard!$C$13="All",A249=Dashboard!$C$13),OR(Dashboard!$C$14="All",B249=Dashboard!$C$14),OR(Dashboard!$C$15="All",C249=Dashboard!$C$15),OR(Dashboard!$C$16="All",K249=Dashboard!$C$16),OR(Dashboard!$C$17="All",J249=Dashboard!$C$17)),1,0)</f>
        <v>1</v>
      </c>
      <c r="N249" s="24">
        <f>IF(AND(L249=1,OR(Dashboard!$C$13="All",A249=Dashboard!$C$13),OR(Dashboard!$C$14="All",B249=Dashboard!$C$14),OR(Dashboard!$C$16="All",K249=Dashboard!$C$16),OR(Dashboard!$C$17="All",J249=Dashboard!$C$17)),1,0)</f>
        <v>1</v>
      </c>
      <c r="O249" s="24">
        <f>IF(AND(L249=1,OR(Dashboard!$C$13="All",A249=Dashboard!$C$13),OR(Dashboard!$C$15="All",C249=Dashboard!$C$15),OR(Dashboard!$C$16="All",K249=Dashboard!$C$16),OR(Dashboard!$C$17="All",J249=Dashboard!$C$17)),1,0)</f>
        <v>1</v>
      </c>
      <c r="P249" s="24">
        <f>IF(AND(L249=1,OR(Dashboard!$C$13="All",A249=Dashboard!$C$13),OR(Dashboard!$C$14="All",B249=Dashboard!$C$14),OR(Dashboard!$C$15="All",C249=Dashboard!$C$15),OR(Dashboard!$C$17="All",J249=Dashboard!$C$17)),1,0)</f>
        <v>1</v>
      </c>
      <c r="Q249" s="24">
        <f>IF(AND(L249=1,OR(Dashboard!$C$14="All",B249=Dashboard!$C$14),OR(Dashboard!$C$15="All",C249=Dashboard!$C$15),OR(Dashboard!$C$16="All",K249=Dashboard!$C$16),OR(Dashboard!$C$17="All",J249=Dashboard!$C$17)),1,0)</f>
        <v>1</v>
      </c>
      <c r="R249" s="24">
        <f>IF(AND(L249=1,OR(Dashboard!$C$13="All",A249=Dashboard!$C$13),OR(Dashboard!$C$14="All",B249=Dashboard!$C$14),OR(Dashboard!$C$15="All",C249=Dashboard!$C$15),OR(Dashboard!$C$16="All",K249=Dashboard!$C$16)),1,0)</f>
        <v>1</v>
      </c>
      <c r="S249" s="24">
        <f t="shared" si="3"/>
        <v>248</v>
      </c>
      <c r="V249" s="24" t="s">
        <v>566</v>
      </c>
    </row>
    <row r="250" ht="15.75" customHeight="1">
      <c r="A250" s="3" t="s">
        <v>309</v>
      </c>
      <c r="B250" s="4"/>
      <c r="C250" s="3" t="s">
        <v>584</v>
      </c>
      <c r="D250" s="4">
        <v>3.0</v>
      </c>
      <c r="E250" s="5">
        <v>2.0</v>
      </c>
      <c r="F250" s="5">
        <f t="shared" si="1"/>
        <v>6</v>
      </c>
      <c r="G250" s="6">
        <v>46192.0</v>
      </c>
      <c r="H250" s="22">
        <v>9.0</v>
      </c>
      <c r="I250" s="7">
        <f t="shared" si="2"/>
        <v>46255</v>
      </c>
      <c r="J250" s="4" t="s">
        <v>25</v>
      </c>
      <c r="K250" s="4" t="s">
        <v>31</v>
      </c>
      <c r="L250" s="24">
        <f>IF(A250="","",IF(OR(G250="",AND(G250&gt;=Dashboard!$C$18,G250&lt;=Dashboard!$C$19)),1,0))</f>
        <v>1</v>
      </c>
      <c r="M250" s="24">
        <f>IF(AND(L250=1,OR(Dashboard!$C$13="All",A250=Dashboard!$C$13),OR(Dashboard!$C$14="All",B250=Dashboard!$C$14),OR(Dashboard!$C$15="All",C250=Dashboard!$C$15),OR(Dashboard!$C$16="All",K250=Dashboard!$C$16),OR(Dashboard!$C$17="All",J250=Dashboard!$C$17)),1,0)</f>
        <v>1</v>
      </c>
      <c r="N250" s="24">
        <f>IF(AND(L250=1,OR(Dashboard!$C$13="All",A250=Dashboard!$C$13),OR(Dashboard!$C$14="All",B250=Dashboard!$C$14),OR(Dashboard!$C$16="All",K250=Dashboard!$C$16),OR(Dashboard!$C$17="All",J250=Dashboard!$C$17)),1,0)</f>
        <v>1</v>
      </c>
      <c r="O250" s="24">
        <f>IF(AND(L250=1,OR(Dashboard!$C$13="All",A250=Dashboard!$C$13),OR(Dashboard!$C$15="All",C250=Dashboard!$C$15),OR(Dashboard!$C$16="All",K250=Dashboard!$C$16),OR(Dashboard!$C$17="All",J250=Dashboard!$C$17)),1,0)</f>
        <v>1</v>
      </c>
      <c r="P250" s="24">
        <f>IF(AND(L250=1,OR(Dashboard!$C$13="All",A250=Dashboard!$C$13),OR(Dashboard!$C$14="All",B250=Dashboard!$C$14),OR(Dashboard!$C$15="All",C250=Dashboard!$C$15),OR(Dashboard!$C$17="All",J250=Dashboard!$C$17)),1,0)</f>
        <v>1</v>
      </c>
      <c r="Q250" s="24">
        <f>IF(AND(L250=1,OR(Dashboard!$C$14="All",B250=Dashboard!$C$14),OR(Dashboard!$C$15="All",C250=Dashboard!$C$15),OR(Dashboard!$C$16="All",K250=Dashboard!$C$16),OR(Dashboard!$C$17="All",J250=Dashboard!$C$17)),1,0)</f>
        <v>1</v>
      </c>
      <c r="R250" s="24">
        <f>IF(AND(L250=1,OR(Dashboard!$C$13="All",A250=Dashboard!$C$13),OR(Dashboard!$C$14="All",B250=Dashboard!$C$14),OR(Dashboard!$C$15="All",C250=Dashboard!$C$15),OR(Dashboard!$C$16="All",K250=Dashboard!$C$16)),1,0)</f>
        <v>1</v>
      </c>
      <c r="S250" s="24">
        <f t="shared" si="3"/>
        <v>249</v>
      </c>
      <c r="V250" s="24" t="s">
        <v>69</v>
      </c>
    </row>
    <row r="251" ht="15.75" customHeight="1">
      <c r="A251" s="10" t="s">
        <v>309</v>
      </c>
      <c r="B251" s="13"/>
      <c r="C251" s="10" t="s">
        <v>585</v>
      </c>
      <c r="D251" s="13">
        <v>1.0</v>
      </c>
      <c r="E251" s="14">
        <v>5.0</v>
      </c>
      <c r="F251" s="15">
        <f t="shared" si="1"/>
        <v>5</v>
      </c>
      <c r="G251" s="6">
        <v>46193.0</v>
      </c>
      <c r="H251" s="22">
        <v>9.0</v>
      </c>
      <c r="I251" s="16">
        <f t="shared" si="2"/>
        <v>46256</v>
      </c>
      <c r="J251" s="13" t="s">
        <v>25</v>
      </c>
      <c r="K251" s="13" t="s">
        <v>31</v>
      </c>
      <c r="L251" s="24">
        <f>IF(A251="","",IF(OR(G251="",AND(G251&gt;=Dashboard!$C$18,G251&lt;=Dashboard!$C$19)),1,0))</f>
        <v>1</v>
      </c>
      <c r="M251" s="24">
        <f>IF(AND(L251=1,OR(Dashboard!$C$13="All",A251=Dashboard!$C$13),OR(Dashboard!$C$14="All",B251=Dashboard!$C$14),OR(Dashboard!$C$15="All",C251=Dashboard!$C$15),OR(Dashboard!$C$16="All",K251=Dashboard!$C$16),OR(Dashboard!$C$17="All",J251=Dashboard!$C$17)),1,0)</f>
        <v>1</v>
      </c>
      <c r="N251" s="24">
        <f>IF(AND(L251=1,OR(Dashboard!$C$13="All",A251=Dashboard!$C$13),OR(Dashboard!$C$14="All",B251=Dashboard!$C$14),OR(Dashboard!$C$16="All",K251=Dashboard!$C$16),OR(Dashboard!$C$17="All",J251=Dashboard!$C$17)),1,0)</f>
        <v>1</v>
      </c>
      <c r="O251" s="24">
        <f>IF(AND(L251=1,OR(Dashboard!$C$13="All",A251=Dashboard!$C$13),OR(Dashboard!$C$15="All",C251=Dashboard!$C$15),OR(Dashboard!$C$16="All",K251=Dashboard!$C$16),OR(Dashboard!$C$17="All",J251=Dashboard!$C$17)),1,0)</f>
        <v>1</v>
      </c>
      <c r="P251" s="24">
        <f>IF(AND(L251=1,OR(Dashboard!$C$13="All",A251=Dashboard!$C$13),OR(Dashboard!$C$14="All",B251=Dashboard!$C$14),OR(Dashboard!$C$15="All",C251=Dashboard!$C$15),OR(Dashboard!$C$17="All",J251=Dashboard!$C$17)),1,0)</f>
        <v>1</v>
      </c>
      <c r="Q251" s="24">
        <f>IF(AND(L251=1,OR(Dashboard!$C$14="All",B251=Dashboard!$C$14),OR(Dashboard!$C$15="All",C251=Dashboard!$C$15),OR(Dashboard!$C$16="All",K251=Dashboard!$C$16),OR(Dashboard!$C$17="All",J251=Dashboard!$C$17)),1,0)</f>
        <v>1</v>
      </c>
      <c r="R251" s="24">
        <f>IF(AND(L251=1,OR(Dashboard!$C$13="All",A251=Dashboard!$C$13),OR(Dashboard!$C$14="All",B251=Dashboard!$C$14),OR(Dashboard!$C$15="All",C251=Dashboard!$C$15),OR(Dashboard!$C$16="All",K251=Dashboard!$C$16)),1,0)</f>
        <v>1</v>
      </c>
      <c r="S251" s="24">
        <f t="shared" si="3"/>
        <v>250</v>
      </c>
      <c r="V251" s="24" t="s">
        <v>586</v>
      </c>
    </row>
    <row r="252" ht="15.75" customHeight="1">
      <c r="A252" s="3" t="s">
        <v>309</v>
      </c>
      <c r="B252" s="4"/>
      <c r="C252" s="3" t="s">
        <v>587</v>
      </c>
      <c r="D252" s="4">
        <v>1.0</v>
      </c>
      <c r="E252" s="17">
        <v>6.0</v>
      </c>
      <c r="F252" s="5">
        <f t="shared" si="1"/>
        <v>6</v>
      </c>
      <c r="G252" s="6">
        <v>46194.0</v>
      </c>
      <c r="H252" s="22">
        <v>9.0</v>
      </c>
      <c r="I252" s="7">
        <f t="shared" si="2"/>
        <v>46257</v>
      </c>
      <c r="J252" s="4" t="s">
        <v>25</v>
      </c>
      <c r="K252" s="4" t="s">
        <v>31</v>
      </c>
      <c r="L252" s="24">
        <f>IF(A252="","",IF(OR(G252="",AND(G252&gt;=Dashboard!$C$18,G252&lt;=Dashboard!$C$19)),1,0))</f>
        <v>1</v>
      </c>
      <c r="M252" s="24">
        <f>IF(AND(L252=1,OR(Dashboard!$C$13="All",A252=Dashboard!$C$13),OR(Dashboard!$C$14="All",B252=Dashboard!$C$14),OR(Dashboard!$C$15="All",C252=Dashboard!$C$15),OR(Dashboard!$C$16="All",K252=Dashboard!$C$16),OR(Dashboard!$C$17="All",J252=Dashboard!$C$17)),1,0)</f>
        <v>1</v>
      </c>
      <c r="N252" s="24">
        <f>IF(AND(L252=1,OR(Dashboard!$C$13="All",A252=Dashboard!$C$13),OR(Dashboard!$C$14="All",B252=Dashboard!$C$14),OR(Dashboard!$C$16="All",K252=Dashboard!$C$16),OR(Dashboard!$C$17="All",J252=Dashboard!$C$17)),1,0)</f>
        <v>1</v>
      </c>
      <c r="O252" s="24">
        <f>IF(AND(L252=1,OR(Dashboard!$C$13="All",A252=Dashboard!$C$13),OR(Dashboard!$C$15="All",C252=Dashboard!$C$15),OR(Dashboard!$C$16="All",K252=Dashboard!$C$16),OR(Dashboard!$C$17="All",J252=Dashboard!$C$17)),1,0)</f>
        <v>1</v>
      </c>
      <c r="P252" s="24">
        <f>IF(AND(L252=1,OR(Dashboard!$C$13="All",A252=Dashboard!$C$13),OR(Dashboard!$C$14="All",B252=Dashboard!$C$14),OR(Dashboard!$C$15="All",C252=Dashboard!$C$15),OR(Dashboard!$C$17="All",J252=Dashboard!$C$17)),1,0)</f>
        <v>1</v>
      </c>
      <c r="Q252" s="24">
        <f>IF(AND(L252=1,OR(Dashboard!$C$14="All",B252=Dashboard!$C$14),OR(Dashboard!$C$15="All",C252=Dashboard!$C$15),OR(Dashboard!$C$16="All",K252=Dashboard!$C$16),OR(Dashboard!$C$17="All",J252=Dashboard!$C$17)),1,0)</f>
        <v>1</v>
      </c>
      <c r="R252" s="24">
        <f>IF(AND(L252=1,OR(Dashboard!$C$13="All",A252=Dashboard!$C$13),OR(Dashboard!$C$14="All",B252=Dashboard!$C$14),OR(Dashboard!$C$15="All",C252=Dashboard!$C$15),OR(Dashboard!$C$16="All",K252=Dashboard!$C$16)),1,0)</f>
        <v>1</v>
      </c>
      <c r="S252" s="24">
        <f t="shared" si="3"/>
        <v>251</v>
      </c>
      <c r="V252" s="24" t="s">
        <v>57</v>
      </c>
    </row>
    <row r="253" ht="15.75" customHeight="1">
      <c r="A253" s="10" t="s">
        <v>311</v>
      </c>
      <c r="B253" s="13"/>
      <c r="C253" s="10" t="s">
        <v>588</v>
      </c>
      <c r="D253" s="13">
        <v>20000.0</v>
      </c>
      <c r="E253" s="14">
        <v>7.0</v>
      </c>
      <c r="F253" s="15">
        <f t="shared" si="1"/>
        <v>140000</v>
      </c>
      <c r="G253" s="6">
        <v>46195.0</v>
      </c>
      <c r="H253" s="22">
        <v>7.0</v>
      </c>
      <c r="I253" s="16">
        <f t="shared" si="2"/>
        <v>46244</v>
      </c>
      <c r="J253" s="13" t="s">
        <v>25</v>
      </c>
      <c r="K253" s="13" t="s">
        <v>31</v>
      </c>
      <c r="L253" s="24">
        <f>IF(A253="","",IF(OR(G253="",AND(G253&gt;=Dashboard!$C$18,G253&lt;=Dashboard!$C$19)),1,0))</f>
        <v>1</v>
      </c>
      <c r="M253" s="24">
        <f>IF(AND(L253=1,OR(Dashboard!$C$13="All",A253=Dashboard!$C$13),OR(Dashboard!$C$14="All",B253=Dashboard!$C$14),OR(Dashboard!$C$15="All",C253=Dashboard!$C$15),OR(Dashboard!$C$16="All",K253=Dashboard!$C$16),OR(Dashboard!$C$17="All",J253=Dashboard!$C$17)),1,0)</f>
        <v>1</v>
      </c>
      <c r="N253" s="24">
        <f>IF(AND(L253=1,OR(Dashboard!$C$13="All",A253=Dashboard!$C$13),OR(Dashboard!$C$14="All",B253=Dashboard!$C$14),OR(Dashboard!$C$16="All",K253=Dashboard!$C$16),OR(Dashboard!$C$17="All",J253=Dashboard!$C$17)),1,0)</f>
        <v>1</v>
      </c>
      <c r="O253" s="24">
        <f>IF(AND(L253=1,OR(Dashboard!$C$13="All",A253=Dashboard!$C$13),OR(Dashboard!$C$15="All",C253=Dashboard!$C$15),OR(Dashboard!$C$16="All",K253=Dashboard!$C$16),OR(Dashboard!$C$17="All",J253=Dashboard!$C$17)),1,0)</f>
        <v>1</v>
      </c>
      <c r="P253" s="24">
        <f>IF(AND(L253=1,OR(Dashboard!$C$13="All",A253=Dashboard!$C$13),OR(Dashboard!$C$14="All",B253=Dashboard!$C$14),OR(Dashboard!$C$15="All",C253=Dashboard!$C$15),OR(Dashboard!$C$17="All",J253=Dashboard!$C$17)),1,0)</f>
        <v>1</v>
      </c>
      <c r="Q253" s="24">
        <f>IF(AND(L253=1,OR(Dashboard!$C$14="All",B253=Dashboard!$C$14),OR(Dashboard!$C$15="All",C253=Dashboard!$C$15),OR(Dashboard!$C$16="All",K253=Dashboard!$C$16),OR(Dashboard!$C$17="All",J253=Dashboard!$C$17)),1,0)</f>
        <v>1</v>
      </c>
      <c r="R253" s="24">
        <f>IF(AND(L253=1,OR(Dashboard!$C$13="All",A253=Dashboard!$C$13),OR(Dashboard!$C$14="All",B253=Dashboard!$C$14),OR(Dashboard!$C$15="All",C253=Dashboard!$C$15),OR(Dashboard!$C$16="All",K253=Dashboard!$C$16)),1,0)</f>
        <v>1</v>
      </c>
      <c r="S253" s="24">
        <f t="shared" si="3"/>
        <v>252</v>
      </c>
      <c r="V253" s="24" t="s">
        <v>549</v>
      </c>
    </row>
    <row r="254" ht="15.75" customHeight="1">
      <c r="A254" s="3" t="s">
        <v>311</v>
      </c>
      <c r="B254" s="4"/>
      <c r="C254" s="3" t="s">
        <v>589</v>
      </c>
      <c r="D254" s="4">
        <v>20000.0</v>
      </c>
      <c r="E254" s="17">
        <v>8.0</v>
      </c>
      <c r="F254" s="5">
        <f t="shared" si="1"/>
        <v>160000</v>
      </c>
      <c r="G254" s="6">
        <v>46196.0</v>
      </c>
      <c r="H254" s="22">
        <v>10.0</v>
      </c>
      <c r="I254" s="7">
        <f t="shared" si="2"/>
        <v>46266</v>
      </c>
      <c r="J254" s="4" t="s">
        <v>25</v>
      </c>
      <c r="K254" s="4" t="s">
        <v>31</v>
      </c>
      <c r="L254" s="24">
        <f>IF(A254="","",IF(OR(G254="",AND(G254&gt;=Dashboard!$C$18,G254&lt;=Dashboard!$C$19)),1,0))</f>
        <v>1</v>
      </c>
      <c r="M254" s="24">
        <f>IF(AND(L254=1,OR(Dashboard!$C$13="All",A254=Dashboard!$C$13),OR(Dashboard!$C$14="All",B254=Dashboard!$C$14),OR(Dashboard!$C$15="All",C254=Dashboard!$C$15),OR(Dashboard!$C$16="All",K254=Dashboard!$C$16),OR(Dashboard!$C$17="All",J254=Dashboard!$C$17)),1,0)</f>
        <v>1</v>
      </c>
      <c r="N254" s="24">
        <f>IF(AND(L254=1,OR(Dashboard!$C$13="All",A254=Dashboard!$C$13),OR(Dashboard!$C$14="All",B254=Dashboard!$C$14),OR(Dashboard!$C$16="All",K254=Dashboard!$C$16),OR(Dashboard!$C$17="All",J254=Dashboard!$C$17)),1,0)</f>
        <v>1</v>
      </c>
      <c r="O254" s="24">
        <f>IF(AND(L254=1,OR(Dashboard!$C$13="All",A254=Dashboard!$C$13),OR(Dashboard!$C$15="All",C254=Dashboard!$C$15),OR(Dashboard!$C$16="All",K254=Dashboard!$C$16),OR(Dashboard!$C$17="All",J254=Dashboard!$C$17)),1,0)</f>
        <v>1</v>
      </c>
      <c r="P254" s="24">
        <f>IF(AND(L254=1,OR(Dashboard!$C$13="All",A254=Dashboard!$C$13),OR(Dashboard!$C$14="All",B254=Dashboard!$C$14),OR(Dashboard!$C$15="All",C254=Dashboard!$C$15),OR(Dashboard!$C$17="All",J254=Dashboard!$C$17)),1,0)</f>
        <v>1</v>
      </c>
      <c r="Q254" s="24">
        <f>IF(AND(L254=1,OR(Dashboard!$C$14="All",B254=Dashboard!$C$14),OR(Dashboard!$C$15="All",C254=Dashboard!$C$15),OR(Dashboard!$C$16="All",K254=Dashboard!$C$16),OR(Dashboard!$C$17="All",J254=Dashboard!$C$17)),1,0)</f>
        <v>1</v>
      </c>
      <c r="R254" s="24">
        <f>IF(AND(L254=1,OR(Dashboard!$C$13="All",A254=Dashboard!$C$13),OR(Dashboard!$C$14="All",B254=Dashboard!$C$14),OR(Dashboard!$C$15="All",C254=Dashboard!$C$15),OR(Dashboard!$C$16="All",K254=Dashboard!$C$16)),1,0)</f>
        <v>1</v>
      </c>
      <c r="S254" s="24">
        <f t="shared" si="3"/>
        <v>253</v>
      </c>
      <c r="V254" s="24" t="s">
        <v>490</v>
      </c>
    </row>
    <row r="255" ht="15.75" customHeight="1">
      <c r="A255" s="10" t="s">
        <v>314</v>
      </c>
      <c r="B255" s="13"/>
      <c r="C255" s="10" t="s">
        <v>550</v>
      </c>
      <c r="D255" s="13">
        <v>26.0</v>
      </c>
      <c r="E255" s="14">
        <v>2.0</v>
      </c>
      <c r="F255" s="15">
        <f t="shared" si="1"/>
        <v>52</v>
      </c>
      <c r="G255" s="6">
        <v>46197.0</v>
      </c>
      <c r="H255" s="22">
        <v>6.0</v>
      </c>
      <c r="I255" s="16">
        <f t="shared" si="2"/>
        <v>46239</v>
      </c>
      <c r="J255" s="13" t="s">
        <v>25</v>
      </c>
      <c r="K255" s="13" t="s">
        <v>31</v>
      </c>
      <c r="L255" s="24">
        <f>IF(A255="","",IF(OR(G255="",AND(G255&gt;=Dashboard!$C$18,G255&lt;=Dashboard!$C$19)),1,0))</f>
        <v>1</v>
      </c>
      <c r="M255" s="24">
        <f>IF(AND(L255=1,OR(Dashboard!$C$13="All",A255=Dashboard!$C$13),OR(Dashboard!$C$14="All",B255=Dashboard!$C$14),OR(Dashboard!$C$15="All",C255=Dashboard!$C$15),OR(Dashboard!$C$16="All",K255=Dashboard!$C$16),OR(Dashboard!$C$17="All",J255=Dashboard!$C$17)),1,0)</f>
        <v>1</v>
      </c>
      <c r="N255" s="24">
        <f>IF(AND(L255=1,OR(Dashboard!$C$13="All",A255=Dashboard!$C$13),OR(Dashboard!$C$14="All",B255=Dashboard!$C$14),OR(Dashboard!$C$16="All",K255=Dashboard!$C$16),OR(Dashboard!$C$17="All",J255=Dashboard!$C$17)),1,0)</f>
        <v>1</v>
      </c>
      <c r="O255" s="24">
        <f>IF(AND(L255=1,OR(Dashboard!$C$13="All",A255=Dashboard!$C$13),OR(Dashboard!$C$15="All",C255=Dashboard!$C$15),OR(Dashboard!$C$16="All",K255=Dashboard!$C$16),OR(Dashboard!$C$17="All",J255=Dashboard!$C$17)),1,0)</f>
        <v>1</v>
      </c>
      <c r="P255" s="24">
        <f>IF(AND(L255=1,OR(Dashboard!$C$13="All",A255=Dashboard!$C$13),OR(Dashboard!$C$14="All",B255=Dashboard!$C$14),OR(Dashboard!$C$15="All",C255=Dashboard!$C$15),OR(Dashboard!$C$17="All",J255=Dashboard!$C$17)),1,0)</f>
        <v>1</v>
      </c>
      <c r="Q255" s="24">
        <f>IF(AND(L255=1,OR(Dashboard!$C$14="All",B255=Dashboard!$C$14),OR(Dashboard!$C$15="All",C255=Dashboard!$C$15),OR(Dashboard!$C$16="All",K255=Dashboard!$C$16),OR(Dashboard!$C$17="All",J255=Dashboard!$C$17)),1,0)</f>
        <v>1</v>
      </c>
      <c r="R255" s="24">
        <f>IF(AND(L255=1,OR(Dashboard!$C$13="All",A255=Dashboard!$C$13),OR(Dashboard!$C$14="All",B255=Dashboard!$C$14),OR(Dashboard!$C$15="All",C255=Dashboard!$C$15),OR(Dashboard!$C$16="All",K255=Dashboard!$C$16)),1,0)</f>
        <v>1</v>
      </c>
      <c r="S255" s="24">
        <f t="shared" si="3"/>
        <v>254</v>
      </c>
      <c r="V255" s="24" t="s">
        <v>196</v>
      </c>
    </row>
    <row r="256" ht="15.75" customHeight="1">
      <c r="A256" s="3" t="s">
        <v>314</v>
      </c>
      <c r="B256" s="4"/>
      <c r="C256" s="3" t="s">
        <v>302</v>
      </c>
      <c r="D256" s="4">
        <v>2.0</v>
      </c>
      <c r="E256" s="17">
        <v>15.0</v>
      </c>
      <c r="F256" s="5">
        <f t="shared" si="1"/>
        <v>30</v>
      </c>
      <c r="G256" s="6">
        <v>46198.0</v>
      </c>
      <c r="H256" s="22">
        <v>9.0</v>
      </c>
      <c r="I256" s="7">
        <f t="shared" si="2"/>
        <v>46261</v>
      </c>
      <c r="J256" s="4" t="s">
        <v>25</v>
      </c>
      <c r="K256" s="4" t="s">
        <v>31</v>
      </c>
      <c r="L256" s="24">
        <f>IF(A256="","",IF(OR(G256="",AND(G256&gt;=Dashboard!$C$18,G256&lt;=Dashboard!$C$19)),1,0))</f>
        <v>1</v>
      </c>
      <c r="M256" s="24">
        <f>IF(AND(L256=1,OR(Dashboard!$C$13="All",A256=Dashboard!$C$13),OR(Dashboard!$C$14="All",B256=Dashboard!$C$14),OR(Dashboard!$C$15="All",C256=Dashboard!$C$15),OR(Dashboard!$C$16="All",K256=Dashboard!$C$16),OR(Dashboard!$C$17="All",J256=Dashboard!$C$17)),1,0)</f>
        <v>1</v>
      </c>
      <c r="N256" s="24">
        <f>IF(AND(L256=1,OR(Dashboard!$C$13="All",A256=Dashboard!$C$13),OR(Dashboard!$C$14="All",B256=Dashboard!$C$14),OR(Dashboard!$C$16="All",K256=Dashboard!$C$16),OR(Dashboard!$C$17="All",J256=Dashboard!$C$17)),1,0)</f>
        <v>1</v>
      </c>
      <c r="O256" s="24">
        <f>IF(AND(L256=1,OR(Dashboard!$C$13="All",A256=Dashboard!$C$13),OR(Dashboard!$C$15="All",C256=Dashboard!$C$15),OR(Dashboard!$C$16="All",K256=Dashboard!$C$16),OR(Dashboard!$C$17="All",J256=Dashboard!$C$17)),1,0)</f>
        <v>1</v>
      </c>
      <c r="P256" s="24">
        <f>IF(AND(L256=1,OR(Dashboard!$C$13="All",A256=Dashboard!$C$13),OR(Dashboard!$C$14="All",B256=Dashboard!$C$14),OR(Dashboard!$C$15="All",C256=Dashboard!$C$15),OR(Dashboard!$C$17="All",J256=Dashboard!$C$17)),1,0)</f>
        <v>1</v>
      </c>
      <c r="Q256" s="24">
        <f>IF(AND(L256=1,OR(Dashboard!$C$14="All",B256=Dashboard!$C$14),OR(Dashboard!$C$15="All",C256=Dashboard!$C$15),OR(Dashboard!$C$16="All",K256=Dashboard!$C$16),OR(Dashboard!$C$17="All",J256=Dashboard!$C$17)),1,0)</f>
        <v>1</v>
      </c>
      <c r="R256" s="24">
        <f>IF(AND(L256=1,OR(Dashboard!$C$13="All",A256=Dashboard!$C$13),OR(Dashboard!$C$14="All",B256=Dashboard!$C$14),OR(Dashboard!$C$15="All",C256=Dashboard!$C$15),OR(Dashboard!$C$16="All",K256=Dashboard!$C$16)),1,0)</f>
        <v>1</v>
      </c>
      <c r="S256" s="24">
        <f t="shared" si="3"/>
        <v>255</v>
      </c>
      <c r="V256" s="24" t="s">
        <v>590</v>
      </c>
    </row>
    <row r="257" ht="15.75" customHeight="1">
      <c r="A257" s="10" t="s">
        <v>314</v>
      </c>
      <c r="B257" s="13"/>
      <c r="C257" s="10" t="s">
        <v>591</v>
      </c>
      <c r="D257" s="13">
        <v>10.0</v>
      </c>
      <c r="E257" s="14">
        <v>45.0</v>
      </c>
      <c r="F257" s="15">
        <f t="shared" si="1"/>
        <v>450</v>
      </c>
      <c r="G257" s="6">
        <v>46199.0</v>
      </c>
      <c r="H257" s="22">
        <v>7.0</v>
      </c>
      <c r="I257" s="16">
        <f t="shared" si="2"/>
        <v>46248</v>
      </c>
      <c r="J257" s="13" t="s">
        <v>25</v>
      </c>
      <c r="K257" s="13" t="s">
        <v>31</v>
      </c>
      <c r="L257" s="24">
        <f>IF(A257="","",IF(OR(G257="",AND(G257&gt;=Dashboard!$C$18,G257&lt;=Dashboard!$C$19)),1,0))</f>
        <v>1</v>
      </c>
      <c r="M257" s="24">
        <f>IF(AND(L257=1,OR(Dashboard!$C$13="All",A257=Dashboard!$C$13),OR(Dashboard!$C$14="All",B257=Dashboard!$C$14),OR(Dashboard!$C$15="All",C257=Dashboard!$C$15),OR(Dashboard!$C$16="All",K257=Dashboard!$C$16),OR(Dashboard!$C$17="All",J257=Dashboard!$C$17)),1,0)</f>
        <v>1</v>
      </c>
      <c r="N257" s="24">
        <f>IF(AND(L257=1,OR(Dashboard!$C$13="All",A257=Dashboard!$C$13),OR(Dashboard!$C$14="All",B257=Dashboard!$C$14),OR(Dashboard!$C$16="All",K257=Dashboard!$C$16),OR(Dashboard!$C$17="All",J257=Dashboard!$C$17)),1,0)</f>
        <v>1</v>
      </c>
      <c r="O257" s="24">
        <f>IF(AND(L257=1,OR(Dashboard!$C$13="All",A257=Dashboard!$C$13),OR(Dashboard!$C$15="All",C257=Dashboard!$C$15),OR(Dashboard!$C$16="All",K257=Dashboard!$C$16),OR(Dashboard!$C$17="All",J257=Dashboard!$C$17)),1,0)</f>
        <v>1</v>
      </c>
      <c r="P257" s="24">
        <f>IF(AND(L257=1,OR(Dashboard!$C$13="All",A257=Dashboard!$C$13),OR(Dashboard!$C$14="All",B257=Dashboard!$C$14),OR(Dashboard!$C$15="All",C257=Dashboard!$C$15),OR(Dashboard!$C$17="All",J257=Dashboard!$C$17)),1,0)</f>
        <v>1</v>
      </c>
      <c r="Q257" s="24">
        <f>IF(AND(L257=1,OR(Dashboard!$C$14="All",B257=Dashboard!$C$14),OR(Dashboard!$C$15="All",C257=Dashboard!$C$15),OR(Dashboard!$C$16="All",K257=Dashboard!$C$16),OR(Dashboard!$C$17="All",J257=Dashboard!$C$17)),1,0)</f>
        <v>1</v>
      </c>
      <c r="R257" s="24">
        <f>IF(AND(L257=1,OR(Dashboard!$C$13="All",A257=Dashboard!$C$13),OR(Dashboard!$C$14="All",B257=Dashboard!$C$14),OR(Dashboard!$C$15="All",C257=Dashboard!$C$15),OR(Dashboard!$C$16="All",K257=Dashboard!$C$16)),1,0)</f>
        <v>1</v>
      </c>
      <c r="S257" s="24">
        <f t="shared" si="3"/>
        <v>256</v>
      </c>
      <c r="V257" s="24" t="s">
        <v>592</v>
      </c>
    </row>
    <row r="258" ht="15.75" customHeight="1">
      <c r="A258" s="3" t="s">
        <v>314</v>
      </c>
      <c r="B258" s="4"/>
      <c r="C258" s="3" t="s">
        <v>575</v>
      </c>
      <c r="D258" s="4" t="s">
        <v>593</v>
      </c>
      <c r="E258" s="17">
        <v>24.0</v>
      </c>
      <c r="F258" s="5" t="str">
        <f t="shared" si="1"/>
        <v>#VALUE!</v>
      </c>
      <c r="G258" s="6">
        <v>46200.0</v>
      </c>
      <c r="H258" s="22">
        <v>10.0</v>
      </c>
      <c r="I258" s="7">
        <f t="shared" si="2"/>
        <v>46270</v>
      </c>
      <c r="J258" s="4" t="s">
        <v>25</v>
      </c>
      <c r="K258" s="4" t="s">
        <v>31</v>
      </c>
      <c r="L258" s="24">
        <f>IF(A258="","",IF(OR(G258="",AND(G258&gt;=Dashboard!$C$18,G258&lt;=Dashboard!$C$19)),1,0))</f>
        <v>1</v>
      </c>
      <c r="M258" s="24">
        <f>IF(AND(L258=1,OR(Dashboard!$C$13="All",A258=Dashboard!$C$13),OR(Dashboard!$C$14="All",B258=Dashboard!$C$14),OR(Dashboard!$C$15="All",C258=Dashboard!$C$15),OR(Dashboard!$C$16="All",K258=Dashboard!$C$16),OR(Dashboard!$C$17="All",J258=Dashboard!$C$17)),1,0)</f>
        <v>1</v>
      </c>
      <c r="N258" s="24">
        <f>IF(AND(L258=1,OR(Dashboard!$C$13="All",A258=Dashboard!$C$13),OR(Dashboard!$C$14="All",B258=Dashboard!$C$14),OR(Dashboard!$C$16="All",K258=Dashboard!$C$16),OR(Dashboard!$C$17="All",J258=Dashboard!$C$17)),1,0)</f>
        <v>1</v>
      </c>
      <c r="O258" s="24">
        <f>IF(AND(L258=1,OR(Dashboard!$C$13="All",A258=Dashboard!$C$13),OR(Dashboard!$C$15="All",C258=Dashboard!$C$15),OR(Dashboard!$C$16="All",K258=Dashboard!$C$16),OR(Dashboard!$C$17="All",J258=Dashboard!$C$17)),1,0)</f>
        <v>1</v>
      </c>
      <c r="P258" s="24">
        <f>IF(AND(L258=1,OR(Dashboard!$C$13="All",A258=Dashboard!$C$13),OR(Dashboard!$C$14="All",B258=Dashboard!$C$14),OR(Dashboard!$C$15="All",C258=Dashboard!$C$15),OR(Dashboard!$C$17="All",J258=Dashboard!$C$17)),1,0)</f>
        <v>1</v>
      </c>
      <c r="Q258" s="24">
        <f>IF(AND(L258=1,OR(Dashboard!$C$14="All",B258=Dashboard!$C$14),OR(Dashboard!$C$15="All",C258=Dashboard!$C$15),OR(Dashboard!$C$16="All",K258=Dashboard!$C$16),OR(Dashboard!$C$17="All",J258=Dashboard!$C$17)),1,0)</f>
        <v>1</v>
      </c>
      <c r="R258" s="24">
        <f>IF(AND(L258=1,OR(Dashboard!$C$13="All",A258=Dashboard!$C$13),OR(Dashboard!$C$14="All",B258=Dashboard!$C$14),OR(Dashboard!$C$15="All",C258=Dashboard!$C$15),OR(Dashboard!$C$16="All",K258=Dashboard!$C$16)),1,0)</f>
        <v>1</v>
      </c>
      <c r="S258" s="24">
        <f t="shared" si="3"/>
        <v>257</v>
      </c>
      <c r="V258" s="24" t="s">
        <v>477</v>
      </c>
    </row>
    <row r="259" ht="15.75" customHeight="1">
      <c r="A259" s="10" t="s">
        <v>314</v>
      </c>
      <c r="B259" s="13"/>
      <c r="C259" s="10" t="s">
        <v>551</v>
      </c>
      <c r="D259" s="13">
        <v>3.0</v>
      </c>
      <c r="E259" s="14">
        <v>25.0</v>
      </c>
      <c r="F259" s="15">
        <f t="shared" si="1"/>
        <v>75</v>
      </c>
      <c r="G259" s="6">
        <v>46201.0</v>
      </c>
      <c r="H259" s="22">
        <v>6.0</v>
      </c>
      <c r="I259" s="16">
        <f t="shared" si="2"/>
        <v>46243</v>
      </c>
      <c r="J259" s="13" t="s">
        <v>25</v>
      </c>
      <c r="K259" s="13" t="s">
        <v>31</v>
      </c>
      <c r="L259" s="24">
        <f>IF(A259="","",IF(OR(G259="",AND(G259&gt;=Dashboard!$C$18,G259&lt;=Dashboard!$C$19)),1,0))</f>
        <v>1</v>
      </c>
      <c r="M259" s="24">
        <f>IF(AND(L259=1,OR(Dashboard!$C$13="All",A259=Dashboard!$C$13),OR(Dashboard!$C$14="All",B259=Dashboard!$C$14),OR(Dashboard!$C$15="All",C259=Dashboard!$C$15),OR(Dashboard!$C$16="All",K259=Dashboard!$C$16),OR(Dashboard!$C$17="All",J259=Dashboard!$C$17)),1,0)</f>
        <v>1</v>
      </c>
      <c r="N259" s="24">
        <f>IF(AND(L259=1,OR(Dashboard!$C$13="All",A259=Dashboard!$C$13),OR(Dashboard!$C$14="All",B259=Dashboard!$C$14),OR(Dashboard!$C$16="All",K259=Dashboard!$C$16),OR(Dashboard!$C$17="All",J259=Dashboard!$C$17)),1,0)</f>
        <v>1</v>
      </c>
      <c r="O259" s="24">
        <f>IF(AND(L259=1,OR(Dashboard!$C$13="All",A259=Dashboard!$C$13),OR(Dashboard!$C$15="All",C259=Dashboard!$C$15),OR(Dashboard!$C$16="All",K259=Dashboard!$C$16),OR(Dashboard!$C$17="All",J259=Dashboard!$C$17)),1,0)</f>
        <v>1</v>
      </c>
      <c r="P259" s="24">
        <f>IF(AND(L259=1,OR(Dashboard!$C$13="All",A259=Dashboard!$C$13),OR(Dashboard!$C$14="All",B259=Dashboard!$C$14),OR(Dashboard!$C$15="All",C259=Dashboard!$C$15),OR(Dashboard!$C$17="All",J259=Dashboard!$C$17)),1,0)</f>
        <v>1</v>
      </c>
      <c r="Q259" s="24">
        <f>IF(AND(L259=1,OR(Dashboard!$C$14="All",B259=Dashboard!$C$14),OR(Dashboard!$C$15="All",C259=Dashboard!$C$15),OR(Dashboard!$C$16="All",K259=Dashboard!$C$16),OR(Dashboard!$C$17="All",J259=Dashboard!$C$17)),1,0)</f>
        <v>1</v>
      </c>
      <c r="R259" s="24">
        <f>IF(AND(L259=1,OR(Dashboard!$C$13="All",A259=Dashboard!$C$13),OR(Dashboard!$C$14="All",B259=Dashboard!$C$14),OR(Dashboard!$C$15="All",C259=Dashboard!$C$15),OR(Dashboard!$C$16="All",K259=Dashboard!$C$16)),1,0)</f>
        <v>1</v>
      </c>
      <c r="S259" s="24">
        <f t="shared" si="3"/>
        <v>258</v>
      </c>
      <c r="V259" s="24" t="s">
        <v>594</v>
      </c>
    </row>
    <row r="260" ht="15.75" customHeight="1">
      <c r="A260" s="3" t="s">
        <v>317</v>
      </c>
      <c r="B260" s="4"/>
      <c r="C260" s="3" t="s">
        <v>595</v>
      </c>
      <c r="D260" s="4">
        <v>1.0</v>
      </c>
      <c r="E260" s="17">
        <v>36.0</v>
      </c>
      <c r="F260" s="5">
        <f t="shared" si="1"/>
        <v>36</v>
      </c>
      <c r="G260" s="6">
        <v>46202.0</v>
      </c>
      <c r="H260" s="22">
        <v>6.0</v>
      </c>
      <c r="I260" s="7">
        <f t="shared" si="2"/>
        <v>46244</v>
      </c>
      <c r="J260" s="4" t="s">
        <v>25</v>
      </c>
      <c r="K260" s="4" t="s">
        <v>31</v>
      </c>
      <c r="L260" s="24">
        <f>IF(A260="","",IF(OR(G260="",AND(G260&gt;=Dashboard!$C$18,G260&lt;=Dashboard!$C$19)),1,0))</f>
        <v>1</v>
      </c>
      <c r="M260" s="24">
        <f>IF(AND(L260=1,OR(Dashboard!$C$13="All",A260=Dashboard!$C$13),OR(Dashboard!$C$14="All",B260=Dashboard!$C$14),OR(Dashboard!$C$15="All",C260=Dashboard!$C$15),OR(Dashboard!$C$16="All",K260=Dashboard!$C$16),OR(Dashboard!$C$17="All",J260=Dashboard!$C$17)),1,0)</f>
        <v>1</v>
      </c>
      <c r="N260" s="24">
        <f>IF(AND(L260=1,OR(Dashboard!$C$13="All",A260=Dashboard!$C$13),OR(Dashboard!$C$14="All",B260=Dashboard!$C$14),OR(Dashboard!$C$16="All",K260=Dashboard!$C$16),OR(Dashboard!$C$17="All",J260=Dashboard!$C$17)),1,0)</f>
        <v>1</v>
      </c>
      <c r="O260" s="24">
        <f>IF(AND(L260=1,OR(Dashboard!$C$13="All",A260=Dashboard!$C$13),OR(Dashboard!$C$15="All",C260=Dashboard!$C$15),OR(Dashboard!$C$16="All",K260=Dashboard!$C$16),OR(Dashboard!$C$17="All",J260=Dashboard!$C$17)),1,0)</f>
        <v>1</v>
      </c>
      <c r="P260" s="24">
        <f>IF(AND(L260=1,OR(Dashboard!$C$13="All",A260=Dashboard!$C$13),OR(Dashboard!$C$14="All",B260=Dashboard!$C$14),OR(Dashboard!$C$15="All",C260=Dashboard!$C$15),OR(Dashboard!$C$17="All",J260=Dashboard!$C$17)),1,0)</f>
        <v>1</v>
      </c>
      <c r="Q260" s="24">
        <f>IF(AND(L260=1,OR(Dashboard!$C$14="All",B260=Dashboard!$C$14),OR(Dashboard!$C$15="All",C260=Dashboard!$C$15),OR(Dashboard!$C$16="All",K260=Dashboard!$C$16),OR(Dashboard!$C$17="All",J260=Dashboard!$C$17)),1,0)</f>
        <v>1</v>
      </c>
      <c r="R260" s="24">
        <f>IF(AND(L260=1,OR(Dashboard!$C$13="All",A260=Dashboard!$C$13),OR(Dashboard!$C$14="All",B260=Dashboard!$C$14),OR(Dashboard!$C$15="All",C260=Dashboard!$C$15),OR(Dashboard!$C$16="All",K260=Dashboard!$C$16)),1,0)</f>
        <v>1</v>
      </c>
      <c r="S260" s="24">
        <f t="shared" si="3"/>
        <v>259</v>
      </c>
      <c r="V260" s="24" t="s">
        <v>414</v>
      </c>
    </row>
    <row r="261" ht="15.75" customHeight="1">
      <c r="A261" s="10" t="s">
        <v>317</v>
      </c>
      <c r="B261" s="13"/>
      <c r="C261" s="10" t="s">
        <v>148</v>
      </c>
      <c r="D261" s="13">
        <v>5.0</v>
      </c>
      <c r="E261" s="14">
        <v>95.0</v>
      </c>
      <c r="F261" s="15">
        <f t="shared" si="1"/>
        <v>475</v>
      </c>
      <c r="G261" s="6">
        <v>46203.0</v>
      </c>
      <c r="H261" s="22">
        <v>7.0</v>
      </c>
      <c r="I261" s="16">
        <f t="shared" si="2"/>
        <v>46252</v>
      </c>
      <c r="J261" s="13" t="s">
        <v>25</v>
      </c>
      <c r="K261" s="13" t="s">
        <v>31</v>
      </c>
      <c r="L261" s="24">
        <f>IF(A261="","",IF(OR(G261="",AND(G261&gt;=Dashboard!$C$18,G261&lt;=Dashboard!$C$19)),1,0))</f>
        <v>1</v>
      </c>
      <c r="M261" s="24">
        <f>IF(AND(L261=1,OR(Dashboard!$C$13="All",A261=Dashboard!$C$13),OR(Dashboard!$C$14="All",B261=Dashboard!$C$14),OR(Dashboard!$C$15="All",C261=Dashboard!$C$15),OR(Dashboard!$C$16="All",K261=Dashboard!$C$16),OR(Dashboard!$C$17="All",J261=Dashboard!$C$17)),1,0)</f>
        <v>1</v>
      </c>
      <c r="N261" s="24">
        <f>IF(AND(L261=1,OR(Dashboard!$C$13="All",A261=Dashboard!$C$13),OR(Dashboard!$C$14="All",B261=Dashboard!$C$14),OR(Dashboard!$C$16="All",K261=Dashboard!$C$16),OR(Dashboard!$C$17="All",J261=Dashboard!$C$17)),1,0)</f>
        <v>1</v>
      </c>
      <c r="O261" s="24">
        <f>IF(AND(L261=1,OR(Dashboard!$C$13="All",A261=Dashboard!$C$13),OR(Dashboard!$C$15="All",C261=Dashboard!$C$15),OR(Dashboard!$C$16="All",K261=Dashboard!$C$16),OR(Dashboard!$C$17="All",J261=Dashboard!$C$17)),1,0)</f>
        <v>1</v>
      </c>
      <c r="P261" s="24">
        <f>IF(AND(L261=1,OR(Dashboard!$C$13="All",A261=Dashboard!$C$13),OR(Dashboard!$C$14="All",B261=Dashboard!$C$14),OR(Dashboard!$C$15="All",C261=Dashboard!$C$15),OR(Dashboard!$C$17="All",J261=Dashboard!$C$17)),1,0)</f>
        <v>1</v>
      </c>
      <c r="Q261" s="24">
        <f>IF(AND(L261=1,OR(Dashboard!$C$14="All",B261=Dashboard!$C$14),OR(Dashboard!$C$15="All",C261=Dashboard!$C$15),OR(Dashboard!$C$16="All",K261=Dashboard!$C$16),OR(Dashboard!$C$17="All",J261=Dashboard!$C$17)),1,0)</f>
        <v>1</v>
      </c>
      <c r="R261" s="24">
        <f>IF(AND(L261=1,OR(Dashboard!$C$13="All",A261=Dashboard!$C$13),OR(Dashboard!$C$14="All",B261=Dashboard!$C$14),OR(Dashboard!$C$15="All",C261=Dashboard!$C$15),OR(Dashboard!$C$16="All",K261=Dashboard!$C$16)),1,0)</f>
        <v>1</v>
      </c>
      <c r="S261" s="24">
        <f t="shared" si="3"/>
        <v>260</v>
      </c>
      <c r="V261" s="24" t="s">
        <v>596</v>
      </c>
    </row>
    <row r="262" ht="15.75" customHeight="1">
      <c r="A262" s="3" t="s">
        <v>317</v>
      </c>
      <c r="B262" s="4"/>
      <c r="C262" s="3" t="s">
        <v>597</v>
      </c>
      <c r="D262" s="4">
        <v>1.0</v>
      </c>
      <c r="E262" s="17">
        <v>574.0</v>
      </c>
      <c r="F262" s="5">
        <f t="shared" si="1"/>
        <v>574</v>
      </c>
      <c r="G262" s="6">
        <v>46204.0</v>
      </c>
      <c r="H262" s="22">
        <v>8.0</v>
      </c>
      <c r="I262" s="7">
        <f t="shared" si="2"/>
        <v>46260</v>
      </c>
      <c r="J262" s="4" t="s">
        <v>25</v>
      </c>
      <c r="K262" s="4" t="s">
        <v>31</v>
      </c>
      <c r="L262" s="24">
        <f>IF(A262="","",IF(OR(G262="",AND(G262&gt;=Dashboard!$C$18,G262&lt;=Dashboard!$C$19)),1,0))</f>
        <v>1</v>
      </c>
      <c r="M262" s="24">
        <f>IF(AND(L262=1,OR(Dashboard!$C$13="All",A262=Dashboard!$C$13),OR(Dashboard!$C$14="All",B262=Dashboard!$C$14),OR(Dashboard!$C$15="All",C262=Dashboard!$C$15),OR(Dashboard!$C$16="All",K262=Dashboard!$C$16),OR(Dashboard!$C$17="All",J262=Dashboard!$C$17)),1,0)</f>
        <v>1</v>
      </c>
      <c r="N262" s="24">
        <f>IF(AND(L262=1,OR(Dashboard!$C$13="All",A262=Dashboard!$C$13),OR(Dashboard!$C$14="All",B262=Dashboard!$C$14),OR(Dashboard!$C$16="All",K262=Dashboard!$C$16),OR(Dashboard!$C$17="All",J262=Dashboard!$C$17)),1,0)</f>
        <v>1</v>
      </c>
      <c r="O262" s="24">
        <f>IF(AND(L262=1,OR(Dashboard!$C$13="All",A262=Dashboard!$C$13),OR(Dashboard!$C$15="All",C262=Dashboard!$C$15),OR(Dashboard!$C$16="All",K262=Dashboard!$C$16),OR(Dashboard!$C$17="All",J262=Dashboard!$C$17)),1,0)</f>
        <v>1</v>
      </c>
      <c r="P262" s="24">
        <f>IF(AND(L262=1,OR(Dashboard!$C$13="All",A262=Dashboard!$C$13),OR(Dashboard!$C$14="All",B262=Dashboard!$C$14),OR(Dashboard!$C$15="All",C262=Dashboard!$C$15),OR(Dashboard!$C$17="All",J262=Dashboard!$C$17)),1,0)</f>
        <v>1</v>
      </c>
      <c r="Q262" s="24">
        <f>IF(AND(L262=1,OR(Dashboard!$C$14="All",B262=Dashboard!$C$14),OR(Dashboard!$C$15="All",C262=Dashboard!$C$15),OR(Dashboard!$C$16="All",K262=Dashboard!$C$16),OR(Dashboard!$C$17="All",J262=Dashboard!$C$17)),1,0)</f>
        <v>1</v>
      </c>
      <c r="R262" s="24">
        <f>IF(AND(L262=1,OR(Dashboard!$C$13="All",A262=Dashboard!$C$13),OR(Dashboard!$C$14="All",B262=Dashboard!$C$14),OR(Dashboard!$C$15="All",C262=Dashboard!$C$15),OR(Dashboard!$C$16="All",K262=Dashboard!$C$16)),1,0)</f>
        <v>1</v>
      </c>
      <c r="S262" s="24">
        <f t="shared" si="3"/>
        <v>261</v>
      </c>
      <c r="V262" s="24" t="s">
        <v>598</v>
      </c>
    </row>
    <row r="263" ht="15.75" customHeight="1">
      <c r="A263" s="10" t="s">
        <v>317</v>
      </c>
      <c r="B263" s="13"/>
      <c r="C263" s="10" t="s">
        <v>520</v>
      </c>
      <c r="D263" s="13">
        <v>1.0</v>
      </c>
      <c r="E263" s="14">
        <v>558.0</v>
      </c>
      <c r="F263" s="15">
        <f t="shared" si="1"/>
        <v>558</v>
      </c>
      <c r="G263" s="6">
        <v>46205.0</v>
      </c>
      <c r="H263" s="22">
        <v>14.0</v>
      </c>
      <c r="I263" s="16">
        <f t="shared" si="2"/>
        <v>46303</v>
      </c>
      <c r="J263" s="13" t="s">
        <v>25</v>
      </c>
      <c r="K263" s="13" t="s">
        <v>31</v>
      </c>
      <c r="L263" s="24">
        <f>IF(A263="","",IF(OR(G263="",AND(G263&gt;=Dashboard!$C$18,G263&lt;=Dashboard!$C$19)),1,0))</f>
        <v>1</v>
      </c>
      <c r="M263" s="24">
        <f>IF(AND(L263=1,OR(Dashboard!$C$13="All",A263=Dashboard!$C$13),OR(Dashboard!$C$14="All",B263=Dashboard!$C$14),OR(Dashboard!$C$15="All",C263=Dashboard!$C$15),OR(Dashboard!$C$16="All",K263=Dashboard!$C$16),OR(Dashboard!$C$17="All",J263=Dashboard!$C$17)),1,0)</f>
        <v>1</v>
      </c>
      <c r="N263" s="24">
        <f>IF(AND(L263=1,OR(Dashboard!$C$13="All",A263=Dashboard!$C$13),OR(Dashboard!$C$14="All",B263=Dashboard!$C$14),OR(Dashboard!$C$16="All",K263=Dashboard!$C$16),OR(Dashboard!$C$17="All",J263=Dashboard!$C$17)),1,0)</f>
        <v>1</v>
      </c>
      <c r="O263" s="24">
        <f>IF(AND(L263=1,OR(Dashboard!$C$13="All",A263=Dashboard!$C$13),OR(Dashboard!$C$15="All",C263=Dashboard!$C$15),OR(Dashboard!$C$16="All",K263=Dashboard!$C$16),OR(Dashboard!$C$17="All",J263=Dashboard!$C$17)),1,0)</f>
        <v>1</v>
      </c>
      <c r="P263" s="24">
        <f>IF(AND(L263=1,OR(Dashboard!$C$13="All",A263=Dashboard!$C$13),OR(Dashboard!$C$14="All",B263=Dashboard!$C$14),OR(Dashboard!$C$15="All",C263=Dashboard!$C$15),OR(Dashboard!$C$17="All",J263=Dashboard!$C$17)),1,0)</f>
        <v>1</v>
      </c>
      <c r="Q263" s="24">
        <f>IF(AND(L263=1,OR(Dashboard!$C$14="All",B263=Dashboard!$C$14),OR(Dashboard!$C$15="All",C263=Dashboard!$C$15),OR(Dashboard!$C$16="All",K263=Dashboard!$C$16),OR(Dashboard!$C$17="All",J263=Dashboard!$C$17)),1,0)</f>
        <v>1</v>
      </c>
      <c r="R263" s="24">
        <f>IF(AND(L263=1,OR(Dashboard!$C$13="All",A263=Dashboard!$C$13),OR(Dashboard!$C$14="All",B263=Dashboard!$C$14),OR(Dashboard!$C$15="All",C263=Dashboard!$C$15),OR(Dashboard!$C$16="All",K263=Dashboard!$C$16)),1,0)</f>
        <v>1</v>
      </c>
      <c r="S263" s="24">
        <f t="shared" si="3"/>
        <v>262</v>
      </c>
      <c r="V263" s="24" t="s">
        <v>557</v>
      </c>
    </row>
    <row r="264" ht="15.75" customHeight="1">
      <c r="A264" s="3" t="s">
        <v>317</v>
      </c>
      <c r="B264" s="4"/>
      <c r="C264" s="3" t="s">
        <v>599</v>
      </c>
      <c r="D264" s="4">
        <v>2.0</v>
      </c>
      <c r="E264" s="17">
        <v>2265.0</v>
      </c>
      <c r="F264" s="5">
        <f t="shared" si="1"/>
        <v>4530</v>
      </c>
      <c r="G264" s="6">
        <v>46206.0</v>
      </c>
      <c r="H264" s="22">
        <v>16.0</v>
      </c>
      <c r="I264" s="7">
        <f t="shared" si="2"/>
        <v>46318</v>
      </c>
      <c r="J264" s="4" t="s">
        <v>25</v>
      </c>
      <c r="K264" s="4" t="s">
        <v>31</v>
      </c>
      <c r="L264" s="24">
        <f>IF(A264="","",IF(OR(G264="",AND(G264&gt;=Dashboard!$C$18,G264&lt;=Dashboard!$C$19)),1,0))</f>
        <v>1</v>
      </c>
      <c r="M264" s="24">
        <f>IF(AND(L264=1,OR(Dashboard!$C$13="All",A264=Dashboard!$C$13),OR(Dashboard!$C$14="All",B264=Dashboard!$C$14),OR(Dashboard!$C$15="All",C264=Dashboard!$C$15),OR(Dashboard!$C$16="All",K264=Dashboard!$C$16),OR(Dashboard!$C$17="All",J264=Dashboard!$C$17)),1,0)</f>
        <v>1</v>
      </c>
      <c r="N264" s="24">
        <f>IF(AND(L264=1,OR(Dashboard!$C$13="All",A264=Dashboard!$C$13),OR(Dashboard!$C$14="All",B264=Dashboard!$C$14),OR(Dashboard!$C$16="All",K264=Dashboard!$C$16),OR(Dashboard!$C$17="All",J264=Dashboard!$C$17)),1,0)</f>
        <v>1</v>
      </c>
      <c r="O264" s="24">
        <f>IF(AND(L264=1,OR(Dashboard!$C$13="All",A264=Dashboard!$C$13),OR(Dashboard!$C$15="All",C264=Dashboard!$C$15),OR(Dashboard!$C$16="All",K264=Dashboard!$C$16),OR(Dashboard!$C$17="All",J264=Dashboard!$C$17)),1,0)</f>
        <v>1</v>
      </c>
      <c r="P264" s="24">
        <f>IF(AND(L264=1,OR(Dashboard!$C$13="All",A264=Dashboard!$C$13),OR(Dashboard!$C$14="All",B264=Dashboard!$C$14),OR(Dashboard!$C$15="All",C264=Dashboard!$C$15),OR(Dashboard!$C$17="All",J264=Dashboard!$C$17)),1,0)</f>
        <v>1</v>
      </c>
      <c r="Q264" s="24">
        <f>IF(AND(L264=1,OR(Dashboard!$C$14="All",B264=Dashboard!$C$14),OR(Dashboard!$C$15="All",C264=Dashboard!$C$15),OR(Dashboard!$C$16="All",K264=Dashboard!$C$16),OR(Dashboard!$C$17="All",J264=Dashboard!$C$17)),1,0)</f>
        <v>1</v>
      </c>
      <c r="R264" s="24">
        <f>IF(AND(L264=1,OR(Dashboard!$C$13="All",A264=Dashboard!$C$13),OR(Dashboard!$C$14="All",B264=Dashboard!$C$14),OR(Dashboard!$C$15="All",C264=Dashboard!$C$15),OR(Dashboard!$C$16="All",K264=Dashboard!$C$16)),1,0)</f>
        <v>1</v>
      </c>
      <c r="S264" s="24">
        <f t="shared" si="3"/>
        <v>263</v>
      </c>
      <c r="V264" s="24" t="s">
        <v>600</v>
      </c>
    </row>
    <row r="265" ht="15.75" customHeight="1">
      <c r="A265" s="10" t="s">
        <v>319</v>
      </c>
      <c r="B265" s="13"/>
      <c r="C265" s="10" t="s">
        <v>601</v>
      </c>
      <c r="D265" s="13">
        <v>300.0</v>
      </c>
      <c r="E265" s="14">
        <v>45.0</v>
      </c>
      <c r="F265" s="15">
        <f t="shared" si="1"/>
        <v>13500</v>
      </c>
      <c r="G265" s="6">
        <v>46207.0</v>
      </c>
      <c r="H265" s="22">
        <v>15.0</v>
      </c>
      <c r="I265" s="16">
        <f t="shared" si="2"/>
        <v>46312</v>
      </c>
      <c r="J265" s="13" t="s">
        <v>25</v>
      </c>
      <c r="K265" s="13" t="s">
        <v>31</v>
      </c>
      <c r="L265" s="24">
        <f>IF(A265="","",IF(OR(G265="",AND(G265&gt;=Dashboard!$C$18,G265&lt;=Dashboard!$C$19)),1,0))</f>
        <v>1</v>
      </c>
      <c r="M265" s="24">
        <f>IF(AND(L265=1,OR(Dashboard!$C$13="All",A265=Dashboard!$C$13),OR(Dashboard!$C$14="All",B265=Dashboard!$C$14),OR(Dashboard!$C$15="All",C265=Dashboard!$C$15),OR(Dashboard!$C$16="All",K265=Dashboard!$C$16),OR(Dashboard!$C$17="All",J265=Dashboard!$C$17)),1,0)</f>
        <v>1</v>
      </c>
      <c r="N265" s="24">
        <f>IF(AND(L265=1,OR(Dashboard!$C$13="All",A265=Dashboard!$C$13),OR(Dashboard!$C$14="All",B265=Dashboard!$C$14),OR(Dashboard!$C$16="All",K265=Dashboard!$C$16),OR(Dashboard!$C$17="All",J265=Dashboard!$C$17)),1,0)</f>
        <v>1</v>
      </c>
      <c r="O265" s="24">
        <f>IF(AND(L265=1,OR(Dashboard!$C$13="All",A265=Dashboard!$C$13),OR(Dashboard!$C$15="All",C265=Dashboard!$C$15),OR(Dashboard!$C$16="All",K265=Dashboard!$C$16),OR(Dashboard!$C$17="All",J265=Dashboard!$C$17)),1,0)</f>
        <v>1</v>
      </c>
      <c r="P265" s="24">
        <f>IF(AND(L265=1,OR(Dashboard!$C$13="All",A265=Dashboard!$C$13),OR(Dashboard!$C$14="All",B265=Dashboard!$C$14),OR(Dashboard!$C$15="All",C265=Dashboard!$C$15),OR(Dashboard!$C$17="All",J265=Dashboard!$C$17)),1,0)</f>
        <v>1</v>
      </c>
      <c r="Q265" s="24">
        <f>IF(AND(L265=1,OR(Dashboard!$C$14="All",B265=Dashboard!$C$14),OR(Dashboard!$C$15="All",C265=Dashboard!$C$15),OR(Dashboard!$C$16="All",K265=Dashboard!$C$16),OR(Dashboard!$C$17="All",J265=Dashboard!$C$17)),1,0)</f>
        <v>1</v>
      </c>
      <c r="R265" s="24">
        <f>IF(AND(L265=1,OR(Dashboard!$C$13="All",A265=Dashboard!$C$13),OR(Dashboard!$C$14="All",B265=Dashboard!$C$14),OR(Dashboard!$C$15="All",C265=Dashboard!$C$15),OR(Dashboard!$C$16="All",K265=Dashboard!$C$16)),1,0)</f>
        <v>1</v>
      </c>
      <c r="S265" s="24">
        <f t="shared" si="3"/>
        <v>264</v>
      </c>
      <c r="V265" s="24" t="s">
        <v>602</v>
      </c>
    </row>
    <row r="266" ht="15.75" customHeight="1">
      <c r="A266" s="3" t="s">
        <v>321</v>
      </c>
      <c r="B266" s="4"/>
      <c r="C266" s="3" t="s">
        <v>550</v>
      </c>
      <c r="D266" s="4">
        <v>2.0</v>
      </c>
      <c r="E266" s="17">
        <v>5554.0</v>
      </c>
      <c r="F266" s="5">
        <f t="shared" si="1"/>
        <v>11108</v>
      </c>
      <c r="G266" s="6">
        <v>46208.0</v>
      </c>
      <c r="H266" s="22">
        <v>15.0</v>
      </c>
      <c r="I266" s="7">
        <f t="shared" si="2"/>
        <v>46313</v>
      </c>
      <c r="J266" s="4" t="s">
        <v>25</v>
      </c>
      <c r="K266" s="4" t="s">
        <v>31</v>
      </c>
      <c r="L266" s="24">
        <f>IF(A266="","",IF(OR(G266="",AND(G266&gt;=Dashboard!$C$18,G266&lt;=Dashboard!$C$19)),1,0))</f>
        <v>1</v>
      </c>
      <c r="M266" s="24">
        <f>IF(AND(L266=1,OR(Dashboard!$C$13="All",A266=Dashboard!$C$13),OR(Dashboard!$C$14="All",B266=Dashboard!$C$14),OR(Dashboard!$C$15="All",C266=Dashboard!$C$15),OR(Dashboard!$C$16="All",K266=Dashboard!$C$16),OR(Dashboard!$C$17="All",J266=Dashboard!$C$17)),1,0)</f>
        <v>1</v>
      </c>
      <c r="N266" s="24">
        <f>IF(AND(L266=1,OR(Dashboard!$C$13="All",A266=Dashboard!$C$13),OR(Dashboard!$C$14="All",B266=Dashboard!$C$14),OR(Dashboard!$C$16="All",K266=Dashboard!$C$16),OR(Dashboard!$C$17="All",J266=Dashboard!$C$17)),1,0)</f>
        <v>1</v>
      </c>
      <c r="O266" s="24">
        <f>IF(AND(L266=1,OR(Dashboard!$C$13="All",A266=Dashboard!$C$13),OR(Dashboard!$C$15="All",C266=Dashboard!$C$15),OR(Dashboard!$C$16="All",K266=Dashboard!$C$16),OR(Dashboard!$C$17="All",J266=Dashboard!$C$17)),1,0)</f>
        <v>1</v>
      </c>
      <c r="P266" s="24">
        <f>IF(AND(L266=1,OR(Dashboard!$C$13="All",A266=Dashboard!$C$13),OR(Dashboard!$C$14="All",B266=Dashboard!$C$14),OR(Dashboard!$C$15="All",C266=Dashboard!$C$15),OR(Dashboard!$C$17="All",J266=Dashboard!$C$17)),1,0)</f>
        <v>1</v>
      </c>
      <c r="Q266" s="24">
        <f>IF(AND(L266=1,OR(Dashboard!$C$14="All",B266=Dashboard!$C$14),OR(Dashboard!$C$15="All",C266=Dashboard!$C$15),OR(Dashboard!$C$16="All",K266=Dashboard!$C$16),OR(Dashboard!$C$17="All",J266=Dashboard!$C$17)),1,0)</f>
        <v>1</v>
      </c>
      <c r="R266" s="24">
        <f>IF(AND(L266=1,OR(Dashboard!$C$13="All",A266=Dashboard!$C$13),OR(Dashboard!$C$14="All",B266=Dashboard!$C$14),OR(Dashboard!$C$15="All",C266=Dashboard!$C$15),OR(Dashboard!$C$16="All",K266=Dashboard!$C$16)),1,0)</f>
        <v>1</v>
      </c>
      <c r="S266" s="24">
        <f t="shared" si="3"/>
        <v>265</v>
      </c>
      <c r="V266" s="24" t="s">
        <v>550</v>
      </c>
    </row>
    <row r="267" ht="15.75" customHeight="1">
      <c r="A267" s="10" t="s">
        <v>321</v>
      </c>
      <c r="B267" s="13"/>
      <c r="C267" s="10" t="s">
        <v>591</v>
      </c>
      <c r="D267" s="13">
        <v>2.0</v>
      </c>
      <c r="E267" s="14">
        <v>41.0</v>
      </c>
      <c r="F267" s="15">
        <f t="shared" si="1"/>
        <v>82</v>
      </c>
      <c r="G267" s="6">
        <v>46209.0</v>
      </c>
      <c r="H267" s="22">
        <v>14.0</v>
      </c>
      <c r="I267" s="16">
        <f t="shared" si="2"/>
        <v>46307</v>
      </c>
      <c r="J267" s="13" t="s">
        <v>25</v>
      </c>
      <c r="K267" s="13" t="s">
        <v>31</v>
      </c>
      <c r="L267" s="24">
        <f>IF(A267="","",IF(OR(G267="",AND(G267&gt;=Dashboard!$C$18,G267&lt;=Dashboard!$C$19)),1,0))</f>
        <v>1</v>
      </c>
      <c r="M267" s="24">
        <f>IF(AND(L267=1,OR(Dashboard!$C$13="All",A267=Dashboard!$C$13),OR(Dashboard!$C$14="All",B267=Dashboard!$C$14),OR(Dashboard!$C$15="All",C267=Dashboard!$C$15),OR(Dashboard!$C$16="All",K267=Dashboard!$C$16),OR(Dashboard!$C$17="All",J267=Dashboard!$C$17)),1,0)</f>
        <v>1</v>
      </c>
      <c r="N267" s="24">
        <f>IF(AND(L267=1,OR(Dashboard!$C$13="All",A267=Dashboard!$C$13),OR(Dashboard!$C$14="All",B267=Dashboard!$C$14),OR(Dashboard!$C$16="All",K267=Dashboard!$C$16),OR(Dashboard!$C$17="All",J267=Dashboard!$C$17)),1,0)</f>
        <v>1</v>
      </c>
      <c r="O267" s="24">
        <f>IF(AND(L267=1,OR(Dashboard!$C$13="All",A267=Dashboard!$C$13),OR(Dashboard!$C$15="All",C267=Dashboard!$C$15),OR(Dashboard!$C$16="All",K267=Dashboard!$C$16),OR(Dashboard!$C$17="All",J267=Dashboard!$C$17)),1,0)</f>
        <v>1</v>
      </c>
      <c r="P267" s="24">
        <f>IF(AND(L267=1,OR(Dashboard!$C$13="All",A267=Dashboard!$C$13),OR(Dashboard!$C$14="All",B267=Dashboard!$C$14),OR(Dashboard!$C$15="All",C267=Dashboard!$C$15),OR(Dashboard!$C$17="All",J267=Dashboard!$C$17)),1,0)</f>
        <v>1</v>
      </c>
      <c r="Q267" s="24">
        <f>IF(AND(L267=1,OR(Dashboard!$C$14="All",B267=Dashboard!$C$14),OR(Dashboard!$C$15="All",C267=Dashboard!$C$15),OR(Dashboard!$C$16="All",K267=Dashboard!$C$16),OR(Dashboard!$C$17="All",J267=Dashboard!$C$17)),1,0)</f>
        <v>1</v>
      </c>
      <c r="R267" s="24">
        <f>IF(AND(L267=1,OR(Dashboard!$C$13="All",A267=Dashboard!$C$13),OR(Dashboard!$C$14="All",B267=Dashboard!$C$14),OR(Dashboard!$C$15="All",C267=Dashboard!$C$15),OR(Dashboard!$C$16="All",K267=Dashboard!$C$16)),1,0)</f>
        <v>1</v>
      </c>
      <c r="S267" s="24">
        <f t="shared" si="3"/>
        <v>266</v>
      </c>
      <c r="V267" s="24" t="s">
        <v>597</v>
      </c>
    </row>
    <row r="268" ht="15.75" customHeight="1">
      <c r="A268" s="3" t="s">
        <v>154</v>
      </c>
      <c r="B268" s="4"/>
      <c r="C268" s="3" t="s">
        <v>603</v>
      </c>
      <c r="D268" s="4">
        <v>22000.0</v>
      </c>
      <c r="E268" s="17">
        <v>231.0</v>
      </c>
      <c r="F268" s="5">
        <f t="shared" si="1"/>
        <v>5082000</v>
      </c>
      <c r="G268" s="6">
        <v>46210.0</v>
      </c>
      <c r="H268" s="22">
        <v>15.0</v>
      </c>
      <c r="I268" s="7">
        <f t="shared" si="2"/>
        <v>46315</v>
      </c>
      <c r="J268" s="4" t="s">
        <v>25</v>
      </c>
      <c r="K268" s="4" t="s">
        <v>31</v>
      </c>
      <c r="L268" s="24">
        <f>IF(A268="","",IF(OR(G268="",AND(G268&gt;=Dashboard!$C$18,G268&lt;=Dashboard!$C$19)),1,0))</f>
        <v>1</v>
      </c>
      <c r="M268" s="24">
        <f>IF(AND(L268=1,OR(Dashboard!$C$13="All",A268=Dashboard!$C$13),OR(Dashboard!$C$14="All",B268=Dashboard!$C$14),OR(Dashboard!$C$15="All",C268=Dashboard!$C$15),OR(Dashboard!$C$16="All",K268=Dashboard!$C$16),OR(Dashboard!$C$17="All",J268=Dashboard!$C$17)),1,0)</f>
        <v>1</v>
      </c>
      <c r="N268" s="24">
        <f>IF(AND(L268=1,OR(Dashboard!$C$13="All",A268=Dashboard!$C$13),OR(Dashboard!$C$14="All",B268=Dashboard!$C$14),OR(Dashboard!$C$16="All",K268=Dashboard!$C$16),OR(Dashboard!$C$17="All",J268=Dashboard!$C$17)),1,0)</f>
        <v>1</v>
      </c>
      <c r="O268" s="24">
        <f>IF(AND(L268=1,OR(Dashboard!$C$13="All",A268=Dashboard!$C$13),OR(Dashboard!$C$15="All",C268=Dashboard!$C$15),OR(Dashboard!$C$16="All",K268=Dashboard!$C$16),OR(Dashboard!$C$17="All",J268=Dashboard!$C$17)),1,0)</f>
        <v>1</v>
      </c>
      <c r="P268" s="24">
        <f>IF(AND(L268=1,OR(Dashboard!$C$13="All",A268=Dashboard!$C$13),OR(Dashboard!$C$14="All",B268=Dashboard!$C$14),OR(Dashboard!$C$15="All",C268=Dashboard!$C$15),OR(Dashboard!$C$17="All",J268=Dashboard!$C$17)),1,0)</f>
        <v>1</v>
      </c>
      <c r="Q268" s="24">
        <f>IF(AND(L268=1,OR(Dashboard!$C$14="All",B268=Dashboard!$C$14),OR(Dashboard!$C$15="All",C268=Dashboard!$C$15),OR(Dashboard!$C$16="All",K268=Dashboard!$C$16),OR(Dashboard!$C$17="All",J268=Dashboard!$C$17)),1,0)</f>
        <v>1</v>
      </c>
      <c r="R268" s="24">
        <f>IF(AND(L268=1,OR(Dashboard!$C$13="All",A268=Dashboard!$C$13),OR(Dashboard!$C$14="All",B268=Dashboard!$C$14),OR(Dashboard!$C$15="All",C268=Dashboard!$C$15),OR(Dashboard!$C$16="All",K268=Dashboard!$C$16)),1,0)</f>
        <v>1</v>
      </c>
      <c r="S268" s="24">
        <f t="shared" si="3"/>
        <v>267</v>
      </c>
      <c r="V268" s="24" t="s">
        <v>302</v>
      </c>
    </row>
    <row r="269" ht="15.75" customHeight="1">
      <c r="A269" s="10" t="s">
        <v>324</v>
      </c>
      <c r="B269" s="13"/>
      <c r="C269" s="10" t="s">
        <v>234</v>
      </c>
      <c r="D269" s="13">
        <v>5.0</v>
      </c>
      <c r="E269" s="14">
        <v>25.0</v>
      </c>
      <c r="F269" s="15">
        <f t="shared" si="1"/>
        <v>125</v>
      </c>
      <c r="G269" s="6">
        <v>46211.0</v>
      </c>
      <c r="H269" s="22">
        <v>14.0</v>
      </c>
      <c r="I269" s="16">
        <f t="shared" si="2"/>
        <v>46309</v>
      </c>
      <c r="J269" s="13" t="s">
        <v>25</v>
      </c>
      <c r="K269" s="13" t="s">
        <v>31</v>
      </c>
      <c r="L269" s="24">
        <f>IF(A269="","",IF(OR(G269="",AND(G269&gt;=Dashboard!$C$18,G269&lt;=Dashboard!$C$19)),1,0))</f>
        <v>1</v>
      </c>
      <c r="M269" s="24">
        <f>IF(AND(L269=1,OR(Dashboard!$C$13="All",A269=Dashboard!$C$13),OR(Dashboard!$C$14="All",B269=Dashboard!$C$14),OR(Dashboard!$C$15="All",C269=Dashboard!$C$15),OR(Dashboard!$C$16="All",K269=Dashboard!$C$16),OR(Dashboard!$C$17="All",J269=Dashboard!$C$17)),1,0)</f>
        <v>1</v>
      </c>
      <c r="N269" s="24">
        <f>IF(AND(L269=1,OR(Dashboard!$C$13="All",A269=Dashboard!$C$13),OR(Dashboard!$C$14="All",B269=Dashboard!$C$14),OR(Dashboard!$C$16="All",K269=Dashboard!$C$16),OR(Dashboard!$C$17="All",J269=Dashboard!$C$17)),1,0)</f>
        <v>1</v>
      </c>
      <c r="O269" s="24">
        <f>IF(AND(L269=1,OR(Dashboard!$C$13="All",A269=Dashboard!$C$13),OR(Dashboard!$C$15="All",C269=Dashboard!$C$15),OR(Dashboard!$C$16="All",K269=Dashboard!$C$16),OR(Dashboard!$C$17="All",J269=Dashboard!$C$17)),1,0)</f>
        <v>1</v>
      </c>
      <c r="P269" s="24">
        <f>IF(AND(L269=1,OR(Dashboard!$C$13="All",A269=Dashboard!$C$13),OR(Dashboard!$C$14="All",B269=Dashboard!$C$14),OR(Dashboard!$C$15="All",C269=Dashboard!$C$15),OR(Dashboard!$C$17="All",J269=Dashboard!$C$17)),1,0)</f>
        <v>1</v>
      </c>
      <c r="Q269" s="24">
        <f>IF(AND(L269=1,OR(Dashboard!$C$14="All",B269=Dashboard!$C$14),OR(Dashboard!$C$15="All",C269=Dashboard!$C$15),OR(Dashboard!$C$16="All",K269=Dashboard!$C$16),OR(Dashboard!$C$17="All",J269=Dashboard!$C$17)),1,0)</f>
        <v>1</v>
      </c>
      <c r="R269" s="24">
        <f>IF(AND(L269=1,OR(Dashboard!$C$13="All",A269=Dashboard!$C$13),OR(Dashboard!$C$14="All",B269=Dashboard!$C$14),OR(Dashboard!$C$15="All",C269=Dashboard!$C$15),OR(Dashboard!$C$16="All",K269=Dashboard!$C$16)),1,0)</f>
        <v>1</v>
      </c>
      <c r="S269" s="24">
        <f t="shared" si="3"/>
        <v>268</v>
      </c>
      <c r="V269" s="24" t="s">
        <v>578</v>
      </c>
    </row>
    <row r="270" ht="15.75" customHeight="1">
      <c r="A270" s="3" t="s">
        <v>324</v>
      </c>
      <c r="B270" s="4"/>
      <c r="C270" s="3" t="s">
        <v>522</v>
      </c>
      <c r="D270" s="4">
        <v>2.0</v>
      </c>
      <c r="E270" s="17">
        <v>245.0</v>
      </c>
      <c r="F270" s="5">
        <f t="shared" si="1"/>
        <v>490</v>
      </c>
      <c r="G270" s="6">
        <v>46212.0</v>
      </c>
      <c r="H270" s="22">
        <v>12.0</v>
      </c>
      <c r="I270" s="7">
        <f t="shared" si="2"/>
        <v>46296</v>
      </c>
      <c r="J270" s="4" t="s">
        <v>25</v>
      </c>
      <c r="K270" s="4" t="s">
        <v>31</v>
      </c>
      <c r="L270" s="24">
        <f>IF(A270="","",IF(OR(G270="",AND(G270&gt;=Dashboard!$C$18,G270&lt;=Dashboard!$C$19)),1,0))</f>
        <v>1</v>
      </c>
      <c r="M270" s="24">
        <f>IF(AND(L270=1,OR(Dashboard!$C$13="All",A270=Dashboard!$C$13),OR(Dashboard!$C$14="All",B270=Dashboard!$C$14),OR(Dashboard!$C$15="All",C270=Dashboard!$C$15),OR(Dashboard!$C$16="All",K270=Dashboard!$C$16),OR(Dashboard!$C$17="All",J270=Dashboard!$C$17)),1,0)</f>
        <v>1</v>
      </c>
      <c r="N270" s="24">
        <f>IF(AND(L270=1,OR(Dashboard!$C$13="All",A270=Dashboard!$C$13),OR(Dashboard!$C$14="All",B270=Dashboard!$C$14),OR(Dashboard!$C$16="All",K270=Dashboard!$C$16),OR(Dashboard!$C$17="All",J270=Dashboard!$C$17)),1,0)</f>
        <v>1</v>
      </c>
      <c r="O270" s="24">
        <f>IF(AND(L270=1,OR(Dashboard!$C$13="All",A270=Dashboard!$C$13),OR(Dashboard!$C$15="All",C270=Dashboard!$C$15),OR(Dashboard!$C$16="All",K270=Dashboard!$C$16),OR(Dashboard!$C$17="All",J270=Dashboard!$C$17)),1,0)</f>
        <v>1</v>
      </c>
      <c r="P270" s="24">
        <f>IF(AND(L270=1,OR(Dashboard!$C$13="All",A270=Dashboard!$C$13),OR(Dashboard!$C$14="All",B270=Dashboard!$C$14),OR(Dashboard!$C$15="All",C270=Dashboard!$C$15),OR(Dashboard!$C$17="All",J270=Dashboard!$C$17)),1,0)</f>
        <v>1</v>
      </c>
      <c r="Q270" s="24">
        <f>IF(AND(L270=1,OR(Dashboard!$C$14="All",B270=Dashboard!$C$14),OR(Dashboard!$C$15="All",C270=Dashboard!$C$15),OR(Dashboard!$C$16="All",K270=Dashboard!$C$16),OR(Dashboard!$C$17="All",J270=Dashboard!$C$17)),1,0)</f>
        <v>1</v>
      </c>
      <c r="R270" s="24">
        <f>IF(AND(L270=1,OR(Dashboard!$C$13="All",A270=Dashboard!$C$13),OR(Dashboard!$C$14="All",B270=Dashboard!$C$14),OR(Dashboard!$C$15="All",C270=Dashboard!$C$15),OR(Dashboard!$C$16="All",K270=Dashboard!$C$16)),1,0)</f>
        <v>1</v>
      </c>
      <c r="S270" s="24">
        <f t="shared" si="3"/>
        <v>269</v>
      </c>
      <c r="V270" s="24" t="s">
        <v>501</v>
      </c>
    </row>
    <row r="271" ht="15.75" customHeight="1">
      <c r="A271" s="10" t="s">
        <v>324</v>
      </c>
      <c r="B271" s="13"/>
      <c r="C271" s="10" t="s">
        <v>588</v>
      </c>
      <c r="D271" s="13">
        <v>10000.0</v>
      </c>
      <c r="E271" s="14">
        <v>2555.0</v>
      </c>
      <c r="F271" s="15">
        <f t="shared" si="1"/>
        <v>25550000</v>
      </c>
      <c r="G271" s="6">
        <v>46213.0</v>
      </c>
      <c r="H271" s="22">
        <v>14.0</v>
      </c>
      <c r="I271" s="16">
        <f t="shared" si="2"/>
        <v>46311</v>
      </c>
      <c r="J271" s="13" t="s">
        <v>25</v>
      </c>
      <c r="K271" s="13" t="s">
        <v>31</v>
      </c>
      <c r="L271" s="24">
        <f>IF(A271="","",IF(OR(G271="",AND(G271&gt;=Dashboard!$C$18,G271&lt;=Dashboard!$C$19)),1,0))</f>
        <v>1</v>
      </c>
      <c r="M271" s="24">
        <f>IF(AND(L271=1,OR(Dashboard!$C$13="All",A271=Dashboard!$C$13),OR(Dashboard!$C$14="All",B271=Dashboard!$C$14),OR(Dashboard!$C$15="All",C271=Dashboard!$C$15),OR(Dashboard!$C$16="All",K271=Dashboard!$C$16),OR(Dashboard!$C$17="All",J271=Dashboard!$C$17)),1,0)</f>
        <v>1</v>
      </c>
      <c r="N271" s="24">
        <f>IF(AND(L271=1,OR(Dashboard!$C$13="All",A271=Dashboard!$C$13),OR(Dashboard!$C$14="All",B271=Dashboard!$C$14),OR(Dashboard!$C$16="All",K271=Dashboard!$C$16),OR(Dashboard!$C$17="All",J271=Dashboard!$C$17)),1,0)</f>
        <v>1</v>
      </c>
      <c r="O271" s="24">
        <f>IF(AND(L271=1,OR(Dashboard!$C$13="All",A271=Dashboard!$C$13),OR(Dashboard!$C$15="All",C271=Dashboard!$C$15),OR(Dashboard!$C$16="All",K271=Dashboard!$C$16),OR(Dashboard!$C$17="All",J271=Dashboard!$C$17)),1,0)</f>
        <v>1</v>
      </c>
      <c r="P271" s="24">
        <f>IF(AND(L271=1,OR(Dashboard!$C$13="All",A271=Dashboard!$C$13),OR(Dashboard!$C$14="All",B271=Dashboard!$C$14),OR(Dashboard!$C$15="All",C271=Dashboard!$C$15),OR(Dashboard!$C$17="All",J271=Dashboard!$C$17)),1,0)</f>
        <v>1</v>
      </c>
      <c r="Q271" s="24">
        <f>IF(AND(L271=1,OR(Dashboard!$C$14="All",B271=Dashboard!$C$14),OR(Dashboard!$C$15="All",C271=Dashboard!$C$15),OR(Dashboard!$C$16="All",K271=Dashboard!$C$16),OR(Dashboard!$C$17="All",J271=Dashboard!$C$17)),1,0)</f>
        <v>1</v>
      </c>
      <c r="R271" s="24">
        <f>IF(AND(L271=1,OR(Dashboard!$C$13="All",A271=Dashboard!$C$13),OR(Dashboard!$C$14="All",B271=Dashboard!$C$14),OR(Dashboard!$C$15="All",C271=Dashboard!$C$15),OR(Dashboard!$C$16="All",K271=Dashboard!$C$16)),1,0)</f>
        <v>1</v>
      </c>
      <c r="S271" s="24">
        <f t="shared" si="3"/>
        <v>270</v>
      </c>
      <c r="V271" s="24" t="s">
        <v>604</v>
      </c>
    </row>
    <row r="272" ht="15.75" customHeight="1">
      <c r="A272" s="3" t="s">
        <v>324</v>
      </c>
      <c r="B272" s="4"/>
      <c r="C272" s="3" t="s">
        <v>42</v>
      </c>
      <c r="D272" s="4">
        <v>10000.0</v>
      </c>
      <c r="E272" s="17">
        <v>255.0</v>
      </c>
      <c r="F272" s="5">
        <f t="shared" si="1"/>
        <v>2550000</v>
      </c>
      <c r="G272" s="6">
        <v>46214.0</v>
      </c>
      <c r="H272" s="22">
        <v>13.0</v>
      </c>
      <c r="I272" s="7">
        <f t="shared" si="2"/>
        <v>46305</v>
      </c>
      <c r="J272" s="4" t="s">
        <v>25</v>
      </c>
      <c r="K272" s="4" t="s">
        <v>31</v>
      </c>
      <c r="L272" s="24">
        <f>IF(A272="","",IF(OR(G272="",AND(G272&gt;=Dashboard!$C$18,G272&lt;=Dashboard!$C$19)),1,0))</f>
        <v>1</v>
      </c>
      <c r="M272" s="24">
        <f>IF(AND(L272=1,OR(Dashboard!$C$13="All",A272=Dashboard!$C$13),OR(Dashboard!$C$14="All",B272=Dashboard!$C$14),OR(Dashboard!$C$15="All",C272=Dashboard!$C$15),OR(Dashboard!$C$16="All",K272=Dashboard!$C$16),OR(Dashboard!$C$17="All",J272=Dashboard!$C$17)),1,0)</f>
        <v>1</v>
      </c>
      <c r="N272" s="24">
        <f>IF(AND(L272=1,OR(Dashboard!$C$13="All",A272=Dashboard!$C$13),OR(Dashboard!$C$14="All",B272=Dashboard!$C$14),OR(Dashboard!$C$16="All",K272=Dashboard!$C$16),OR(Dashboard!$C$17="All",J272=Dashboard!$C$17)),1,0)</f>
        <v>1</v>
      </c>
      <c r="O272" s="24">
        <f>IF(AND(L272=1,OR(Dashboard!$C$13="All",A272=Dashboard!$C$13),OR(Dashboard!$C$15="All",C272=Dashboard!$C$15),OR(Dashboard!$C$16="All",K272=Dashboard!$C$16),OR(Dashboard!$C$17="All",J272=Dashboard!$C$17)),1,0)</f>
        <v>1</v>
      </c>
      <c r="P272" s="24">
        <f>IF(AND(L272=1,OR(Dashboard!$C$13="All",A272=Dashboard!$C$13),OR(Dashboard!$C$14="All",B272=Dashboard!$C$14),OR(Dashboard!$C$15="All",C272=Dashboard!$C$15),OR(Dashboard!$C$17="All",J272=Dashboard!$C$17)),1,0)</f>
        <v>1</v>
      </c>
      <c r="Q272" s="24">
        <f>IF(AND(L272=1,OR(Dashboard!$C$14="All",B272=Dashboard!$C$14),OR(Dashboard!$C$15="All",C272=Dashboard!$C$15),OR(Dashboard!$C$16="All",K272=Dashboard!$C$16),OR(Dashboard!$C$17="All",J272=Dashboard!$C$17)),1,0)</f>
        <v>1</v>
      </c>
      <c r="R272" s="24">
        <f>IF(AND(L272=1,OR(Dashboard!$C$13="All",A272=Dashboard!$C$13),OR(Dashboard!$C$14="All",B272=Dashboard!$C$14),OR(Dashboard!$C$15="All",C272=Dashboard!$C$15),OR(Dashboard!$C$16="All",K272=Dashboard!$C$16)),1,0)</f>
        <v>1</v>
      </c>
      <c r="S272" s="24">
        <f t="shared" si="3"/>
        <v>271</v>
      </c>
      <c r="V272" s="24" t="s">
        <v>308</v>
      </c>
    </row>
    <row r="273" ht="15.75" customHeight="1">
      <c r="A273" s="10" t="s">
        <v>324</v>
      </c>
      <c r="B273" s="13"/>
      <c r="C273" s="10" t="s">
        <v>333</v>
      </c>
      <c r="D273" s="13">
        <v>20.0</v>
      </c>
      <c r="E273" s="14">
        <v>45.0</v>
      </c>
      <c r="F273" s="15">
        <f t="shared" si="1"/>
        <v>900</v>
      </c>
      <c r="G273" s="6">
        <v>46215.0</v>
      </c>
      <c r="H273" s="22">
        <v>19.0</v>
      </c>
      <c r="I273" s="16">
        <f t="shared" si="2"/>
        <v>46348</v>
      </c>
      <c r="J273" s="13" t="s">
        <v>25</v>
      </c>
      <c r="K273" s="13" t="s">
        <v>31</v>
      </c>
      <c r="L273" s="24">
        <f>IF(A273="","",IF(OR(G273="",AND(G273&gt;=Dashboard!$C$18,G273&lt;=Dashboard!$C$19)),1,0))</f>
        <v>1</v>
      </c>
      <c r="M273" s="24">
        <f>IF(AND(L273=1,OR(Dashboard!$C$13="All",A273=Dashboard!$C$13),OR(Dashboard!$C$14="All",B273=Dashboard!$C$14),OR(Dashboard!$C$15="All",C273=Dashboard!$C$15),OR(Dashboard!$C$16="All",K273=Dashboard!$C$16),OR(Dashboard!$C$17="All",J273=Dashboard!$C$17)),1,0)</f>
        <v>1</v>
      </c>
      <c r="N273" s="24">
        <f>IF(AND(L273=1,OR(Dashboard!$C$13="All",A273=Dashboard!$C$13),OR(Dashboard!$C$14="All",B273=Dashboard!$C$14),OR(Dashboard!$C$16="All",K273=Dashboard!$C$16),OR(Dashboard!$C$17="All",J273=Dashboard!$C$17)),1,0)</f>
        <v>1</v>
      </c>
      <c r="O273" s="24">
        <f>IF(AND(L273=1,OR(Dashboard!$C$13="All",A273=Dashboard!$C$13),OR(Dashboard!$C$15="All",C273=Dashboard!$C$15),OR(Dashboard!$C$16="All",K273=Dashboard!$C$16),OR(Dashboard!$C$17="All",J273=Dashboard!$C$17)),1,0)</f>
        <v>1</v>
      </c>
      <c r="P273" s="24">
        <f>IF(AND(L273=1,OR(Dashboard!$C$13="All",A273=Dashboard!$C$13),OR(Dashboard!$C$14="All",B273=Dashboard!$C$14),OR(Dashboard!$C$15="All",C273=Dashboard!$C$15),OR(Dashboard!$C$17="All",J273=Dashboard!$C$17)),1,0)</f>
        <v>1</v>
      </c>
      <c r="Q273" s="24">
        <f>IF(AND(L273=1,OR(Dashboard!$C$14="All",B273=Dashboard!$C$14),OR(Dashboard!$C$15="All",C273=Dashboard!$C$15),OR(Dashboard!$C$16="All",K273=Dashboard!$C$16),OR(Dashboard!$C$17="All",J273=Dashboard!$C$17)),1,0)</f>
        <v>1</v>
      </c>
      <c r="R273" s="24">
        <f>IF(AND(L273=1,OR(Dashboard!$C$13="All",A273=Dashboard!$C$13),OR(Dashboard!$C$14="All",B273=Dashboard!$C$14),OR(Dashboard!$C$15="All",C273=Dashboard!$C$15),OR(Dashboard!$C$16="All",K273=Dashboard!$C$16)),1,0)</f>
        <v>1</v>
      </c>
      <c r="S273" s="24">
        <f t="shared" si="3"/>
        <v>272</v>
      </c>
      <c r="V273" s="24" t="s">
        <v>384</v>
      </c>
    </row>
    <row r="274" ht="15.75" customHeight="1">
      <c r="A274" s="3" t="s">
        <v>327</v>
      </c>
      <c r="B274" s="4"/>
      <c r="C274" s="3" t="s">
        <v>476</v>
      </c>
      <c r="D274" s="4">
        <v>30.0</v>
      </c>
      <c r="E274" s="17">
        <v>36.0</v>
      </c>
      <c r="F274" s="5">
        <f t="shared" si="1"/>
        <v>1080</v>
      </c>
      <c r="G274" s="6">
        <v>46216.0</v>
      </c>
      <c r="H274" s="22">
        <v>17.0</v>
      </c>
      <c r="I274" s="7">
        <f t="shared" si="2"/>
        <v>46335</v>
      </c>
      <c r="J274" s="4" t="s">
        <v>25</v>
      </c>
      <c r="K274" s="4" t="s">
        <v>31</v>
      </c>
      <c r="L274" s="24">
        <f>IF(A274="","",IF(OR(G274="",AND(G274&gt;=Dashboard!$C$18,G274&lt;=Dashboard!$C$19)),1,0))</f>
        <v>1</v>
      </c>
      <c r="M274" s="24">
        <f>IF(AND(L274=1,OR(Dashboard!$C$13="All",A274=Dashboard!$C$13),OR(Dashboard!$C$14="All",B274=Dashboard!$C$14),OR(Dashboard!$C$15="All",C274=Dashboard!$C$15),OR(Dashboard!$C$16="All",K274=Dashboard!$C$16),OR(Dashboard!$C$17="All",J274=Dashboard!$C$17)),1,0)</f>
        <v>1</v>
      </c>
      <c r="N274" s="24">
        <f>IF(AND(L274=1,OR(Dashboard!$C$13="All",A274=Dashboard!$C$13),OR(Dashboard!$C$14="All",B274=Dashboard!$C$14),OR(Dashboard!$C$16="All",K274=Dashboard!$C$16),OR(Dashboard!$C$17="All",J274=Dashboard!$C$17)),1,0)</f>
        <v>1</v>
      </c>
      <c r="O274" s="24">
        <f>IF(AND(L274=1,OR(Dashboard!$C$13="All",A274=Dashboard!$C$13),OR(Dashboard!$C$15="All",C274=Dashboard!$C$15),OR(Dashboard!$C$16="All",K274=Dashboard!$C$16),OR(Dashboard!$C$17="All",J274=Dashboard!$C$17)),1,0)</f>
        <v>1</v>
      </c>
      <c r="P274" s="24">
        <f>IF(AND(L274=1,OR(Dashboard!$C$13="All",A274=Dashboard!$C$13),OR(Dashboard!$C$14="All",B274=Dashboard!$C$14),OR(Dashboard!$C$15="All",C274=Dashboard!$C$15),OR(Dashboard!$C$17="All",J274=Dashboard!$C$17)),1,0)</f>
        <v>1</v>
      </c>
      <c r="Q274" s="24">
        <f>IF(AND(L274=1,OR(Dashboard!$C$14="All",B274=Dashboard!$C$14),OR(Dashboard!$C$15="All",C274=Dashboard!$C$15),OR(Dashboard!$C$16="All",K274=Dashboard!$C$16),OR(Dashboard!$C$17="All",J274=Dashboard!$C$17)),1,0)</f>
        <v>1</v>
      </c>
      <c r="R274" s="24">
        <f>IF(AND(L274=1,OR(Dashboard!$C$13="All",A274=Dashboard!$C$13),OR(Dashboard!$C$14="All",B274=Dashboard!$C$14),OR(Dashboard!$C$15="All",C274=Dashboard!$C$15),OR(Dashboard!$C$16="All",K274=Dashboard!$C$16)),1,0)</f>
        <v>1</v>
      </c>
      <c r="S274" s="24">
        <f t="shared" si="3"/>
        <v>273</v>
      </c>
      <c r="V274" s="24" t="s">
        <v>605</v>
      </c>
    </row>
    <row r="275" ht="15.75" customHeight="1">
      <c r="A275" s="10" t="s">
        <v>327</v>
      </c>
      <c r="B275" s="13"/>
      <c r="C275" s="10" t="s">
        <v>443</v>
      </c>
      <c r="D275" s="13">
        <v>500.0</v>
      </c>
      <c r="E275" s="14">
        <v>96.0</v>
      </c>
      <c r="F275" s="15">
        <f t="shared" si="1"/>
        <v>48000</v>
      </c>
      <c r="G275" s="6">
        <v>46217.0</v>
      </c>
      <c r="H275" s="22">
        <v>19.0</v>
      </c>
      <c r="I275" s="16">
        <f t="shared" si="2"/>
        <v>46350</v>
      </c>
      <c r="J275" s="13" t="s">
        <v>25</v>
      </c>
      <c r="K275" s="13" t="s">
        <v>31</v>
      </c>
      <c r="L275" s="24">
        <f>IF(A275="","",IF(OR(G275="",AND(G275&gt;=Dashboard!$C$18,G275&lt;=Dashboard!$C$19)),1,0))</f>
        <v>1</v>
      </c>
      <c r="M275" s="24">
        <f>IF(AND(L275=1,OR(Dashboard!$C$13="All",A275=Dashboard!$C$13),OR(Dashboard!$C$14="All",B275=Dashboard!$C$14),OR(Dashboard!$C$15="All",C275=Dashboard!$C$15),OR(Dashboard!$C$16="All",K275=Dashboard!$C$16),OR(Dashboard!$C$17="All",J275=Dashboard!$C$17)),1,0)</f>
        <v>1</v>
      </c>
      <c r="N275" s="24">
        <f>IF(AND(L275=1,OR(Dashboard!$C$13="All",A275=Dashboard!$C$13),OR(Dashboard!$C$14="All",B275=Dashboard!$C$14),OR(Dashboard!$C$16="All",K275=Dashboard!$C$16),OR(Dashboard!$C$17="All",J275=Dashboard!$C$17)),1,0)</f>
        <v>1</v>
      </c>
      <c r="O275" s="24">
        <f>IF(AND(L275=1,OR(Dashboard!$C$13="All",A275=Dashboard!$C$13),OR(Dashboard!$C$15="All",C275=Dashboard!$C$15),OR(Dashboard!$C$16="All",K275=Dashboard!$C$16),OR(Dashboard!$C$17="All",J275=Dashboard!$C$17)),1,0)</f>
        <v>1</v>
      </c>
      <c r="P275" s="24">
        <f>IF(AND(L275=1,OR(Dashboard!$C$13="All",A275=Dashboard!$C$13),OR(Dashboard!$C$14="All",B275=Dashboard!$C$14),OR(Dashboard!$C$15="All",C275=Dashboard!$C$15),OR(Dashboard!$C$17="All",J275=Dashboard!$C$17)),1,0)</f>
        <v>1</v>
      </c>
      <c r="Q275" s="24">
        <f>IF(AND(L275=1,OR(Dashboard!$C$14="All",B275=Dashboard!$C$14),OR(Dashboard!$C$15="All",C275=Dashboard!$C$15),OR(Dashboard!$C$16="All",K275=Dashboard!$C$16),OR(Dashboard!$C$17="All",J275=Dashboard!$C$17)),1,0)</f>
        <v>1</v>
      </c>
      <c r="R275" s="24">
        <f>IF(AND(L275=1,OR(Dashboard!$C$13="All",A275=Dashboard!$C$13),OR(Dashboard!$C$14="All",B275=Dashboard!$C$14),OR(Dashboard!$C$15="All",C275=Dashboard!$C$15),OR(Dashboard!$C$16="All",K275=Dashboard!$C$16)),1,0)</f>
        <v>1</v>
      </c>
      <c r="S275" s="24">
        <f t="shared" si="3"/>
        <v>274</v>
      </c>
      <c r="V275" s="24" t="s">
        <v>341</v>
      </c>
    </row>
    <row r="276" ht="15.75" customHeight="1">
      <c r="A276" s="3" t="s">
        <v>327</v>
      </c>
      <c r="B276" s="4"/>
      <c r="C276" s="3" t="s">
        <v>196</v>
      </c>
      <c r="D276" s="4">
        <v>13.0</v>
      </c>
      <c r="E276" s="17">
        <v>8.0</v>
      </c>
      <c r="F276" s="5">
        <f t="shared" si="1"/>
        <v>104</v>
      </c>
      <c r="G276" s="6">
        <v>46218.0</v>
      </c>
      <c r="H276" s="22">
        <v>21.0</v>
      </c>
      <c r="I276" s="7">
        <f t="shared" si="2"/>
        <v>46365</v>
      </c>
      <c r="J276" s="4" t="s">
        <v>25</v>
      </c>
      <c r="K276" s="4" t="s">
        <v>31</v>
      </c>
      <c r="L276" s="24">
        <f>IF(A276="","",IF(OR(G276="",AND(G276&gt;=Dashboard!$C$18,G276&lt;=Dashboard!$C$19)),1,0))</f>
        <v>1</v>
      </c>
      <c r="M276" s="24">
        <f>IF(AND(L276=1,OR(Dashboard!$C$13="All",A276=Dashboard!$C$13),OR(Dashboard!$C$14="All",B276=Dashboard!$C$14),OR(Dashboard!$C$15="All",C276=Dashboard!$C$15),OR(Dashboard!$C$16="All",K276=Dashboard!$C$16),OR(Dashboard!$C$17="All",J276=Dashboard!$C$17)),1,0)</f>
        <v>1</v>
      </c>
      <c r="N276" s="24">
        <f>IF(AND(L276=1,OR(Dashboard!$C$13="All",A276=Dashboard!$C$13),OR(Dashboard!$C$14="All",B276=Dashboard!$C$14),OR(Dashboard!$C$16="All",K276=Dashboard!$C$16),OR(Dashboard!$C$17="All",J276=Dashboard!$C$17)),1,0)</f>
        <v>1</v>
      </c>
      <c r="O276" s="24">
        <f>IF(AND(L276=1,OR(Dashboard!$C$13="All",A276=Dashboard!$C$13),OR(Dashboard!$C$15="All",C276=Dashboard!$C$15),OR(Dashboard!$C$16="All",K276=Dashboard!$C$16),OR(Dashboard!$C$17="All",J276=Dashboard!$C$17)),1,0)</f>
        <v>1</v>
      </c>
      <c r="P276" s="24">
        <f>IF(AND(L276=1,OR(Dashboard!$C$13="All",A276=Dashboard!$C$13),OR(Dashboard!$C$14="All",B276=Dashboard!$C$14),OR(Dashboard!$C$15="All",C276=Dashboard!$C$15),OR(Dashboard!$C$17="All",J276=Dashboard!$C$17)),1,0)</f>
        <v>1</v>
      </c>
      <c r="Q276" s="24">
        <f>IF(AND(L276=1,OR(Dashboard!$C$14="All",B276=Dashboard!$C$14),OR(Dashboard!$C$15="All",C276=Dashboard!$C$15),OR(Dashboard!$C$16="All",K276=Dashboard!$C$16),OR(Dashboard!$C$17="All",J276=Dashboard!$C$17)),1,0)</f>
        <v>1</v>
      </c>
      <c r="R276" s="24">
        <f>IF(AND(L276=1,OR(Dashboard!$C$13="All",A276=Dashboard!$C$13),OR(Dashboard!$C$14="All",B276=Dashboard!$C$14),OR(Dashboard!$C$15="All",C276=Dashboard!$C$15),OR(Dashboard!$C$16="All",K276=Dashboard!$C$16)),1,0)</f>
        <v>1</v>
      </c>
      <c r="S276" s="24">
        <f t="shared" si="3"/>
        <v>275</v>
      </c>
      <c r="V276" s="24" t="s">
        <v>395</v>
      </c>
    </row>
    <row r="277" ht="15.75" customHeight="1">
      <c r="A277" s="10" t="s">
        <v>207</v>
      </c>
      <c r="B277" s="13"/>
      <c r="C277" s="10" t="s">
        <v>606</v>
      </c>
      <c r="D277" s="13">
        <v>100.0</v>
      </c>
      <c r="E277" s="14">
        <v>5.0</v>
      </c>
      <c r="F277" s="15">
        <f t="shared" si="1"/>
        <v>500</v>
      </c>
      <c r="G277" s="6">
        <v>46219.0</v>
      </c>
      <c r="H277" s="22">
        <v>20.0</v>
      </c>
      <c r="I277" s="16">
        <f t="shared" si="2"/>
        <v>46359</v>
      </c>
      <c r="J277" s="13" t="s">
        <v>25</v>
      </c>
      <c r="K277" s="13" t="s">
        <v>31</v>
      </c>
      <c r="L277" s="24">
        <f>IF(A277="","",IF(OR(G277="",AND(G277&gt;=Dashboard!$C$18,G277&lt;=Dashboard!$C$19)),1,0))</f>
        <v>1</v>
      </c>
      <c r="M277" s="24">
        <f>IF(AND(L277=1,OR(Dashboard!$C$13="All",A277=Dashboard!$C$13),OR(Dashboard!$C$14="All",B277=Dashboard!$C$14),OR(Dashboard!$C$15="All",C277=Dashboard!$C$15),OR(Dashboard!$C$16="All",K277=Dashboard!$C$16),OR(Dashboard!$C$17="All",J277=Dashboard!$C$17)),1,0)</f>
        <v>1</v>
      </c>
      <c r="N277" s="24">
        <f>IF(AND(L277=1,OR(Dashboard!$C$13="All",A277=Dashboard!$C$13),OR(Dashboard!$C$14="All",B277=Dashboard!$C$14),OR(Dashboard!$C$16="All",K277=Dashboard!$C$16),OR(Dashboard!$C$17="All",J277=Dashboard!$C$17)),1,0)</f>
        <v>1</v>
      </c>
      <c r="O277" s="24">
        <f>IF(AND(L277=1,OR(Dashboard!$C$13="All",A277=Dashboard!$C$13),OR(Dashboard!$C$15="All",C277=Dashboard!$C$15),OR(Dashboard!$C$16="All",K277=Dashboard!$C$16),OR(Dashboard!$C$17="All",J277=Dashboard!$C$17)),1,0)</f>
        <v>1</v>
      </c>
      <c r="P277" s="24">
        <f>IF(AND(L277=1,OR(Dashboard!$C$13="All",A277=Dashboard!$C$13),OR(Dashboard!$C$14="All",B277=Dashboard!$C$14),OR(Dashboard!$C$15="All",C277=Dashboard!$C$15),OR(Dashboard!$C$17="All",J277=Dashboard!$C$17)),1,0)</f>
        <v>1</v>
      </c>
      <c r="Q277" s="24">
        <f>IF(AND(L277=1,OR(Dashboard!$C$14="All",B277=Dashboard!$C$14),OR(Dashboard!$C$15="All",C277=Dashboard!$C$15),OR(Dashboard!$C$16="All",K277=Dashboard!$C$16),OR(Dashboard!$C$17="All",J277=Dashboard!$C$17)),1,0)</f>
        <v>1</v>
      </c>
      <c r="R277" s="24">
        <f>IF(AND(L277=1,OR(Dashboard!$C$13="All",A277=Dashboard!$C$13),OR(Dashboard!$C$14="All",B277=Dashboard!$C$14),OR(Dashboard!$C$15="All",C277=Dashboard!$C$15),OR(Dashboard!$C$16="All",K277=Dashboard!$C$16)),1,0)</f>
        <v>1</v>
      </c>
      <c r="S277" s="24">
        <f t="shared" si="3"/>
        <v>276</v>
      </c>
      <c r="V277" s="24" t="s">
        <v>607</v>
      </c>
    </row>
    <row r="278" ht="15.75" customHeight="1">
      <c r="A278" s="3" t="s">
        <v>329</v>
      </c>
      <c r="B278" s="4"/>
      <c r="C278" s="3" t="s">
        <v>234</v>
      </c>
      <c r="D278" s="4">
        <v>4.0</v>
      </c>
      <c r="E278" s="17">
        <v>4.0</v>
      </c>
      <c r="F278" s="5">
        <f t="shared" si="1"/>
        <v>16</v>
      </c>
      <c r="G278" s="6">
        <v>46220.0</v>
      </c>
      <c r="H278" s="22">
        <v>21.0</v>
      </c>
      <c r="I278" s="7">
        <f t="shared" si="2"/>
        <v>46367</v>
      </c>
      <c r="J278" s="4" t="s">
        <v>25</v>
      </c>
      <c r="K278" s="4" t="s">
        <v>31</v>
      </c>
      <c r="L278" s="24">
        <f>IF(A278="","",IF(OR(G278="",AND(G278&gt;=Dashboard!$C$18,G278&lt;=Dashboard!$C$19)),1,0))</f>
        <v>1</v>
      </c>
      <c r="M278" s="24">
        <f>IF(AND(L278=1,OR(Dashboard!$C$13="All",A278=Dashboard!$C$13),OR(Dashboard!$C$14="All",B278=Dashboard!$C$14),OR(Dashboard!$C$15="All",C278=Dashboard!$C$15),OR(Dashboard!$C$16="All",K278=Dashboard!$C$16),OR(Dashboard!$C$17="All",J278=Dashboard!$C$17)),1,0)</f>
        <v>1</v>
      </c>
      <c r="N278" s="24">
        <f>IF(AND(L278=1,OR(Dashboard!$C$13="All",A278=Dashboard!$C$13),OR(Dashboard!$C$14="All",B278=Dashboard!$C$14),OR(Dashboard!$C$16="All",K278=Dashboard!$C$16),OR(Dashboard!$C$17="All",J278=Dashboard!$C$17)),1,0)</f>
        <v>1</v>
      </c>
      <c r="O278" s="24">
        <f>IF(AND(L278=1,OR(Dashboard!$C$13="All",A278=Dashboard!$C$13),OR(Dashboard!$C$15="All",C278=Dashboard!$C$15),OR(Dashboard!$C$16="All",K278=Dashboard!$C$16),OR(Dashboard!$C$17="All",J278=Dashboard!$C$17)),1,0)</f>
        <v>1</v>
      </c>
      <c r="P278" s="24">
        <f>IF(AND(L278=1,OR(Dashboard!$C$13="All",A278=Dashboard!$C$13),OR(Dashboard!$C$14="All",B278=Dashboard!$C$14),OR(Dashboard!$C$15="All",C278=Dashboard!$C$15),OR(Dashboard!$C$17="All",J278=Dashboard!$C$17)),1,0)</f>
        <v>1</v>
      </c>
      <c r="Q278" s="24">
        <f>IF(AND(L278=1,OR(Dashboard!$C$14="All",B278=Dashboard!$C$14),OR(Dashboard!$C$15="All",C278=Dashboard!$C$15),OR(Dashboard!$C$16="All",K278=Dashboard!$C$16),OR(Dashboard!$C$17="All",J278=Dashboard!$C$17)),1,0)</f>
        <v>1</v>
      </c>
      <c r="R278" s="24">
        <f>IF(AND(L278=1,OR(Dashboard!$C$13="All",A278=Dashboard!$C$13),OR(Dashboard!$C$14="All",B278=Dashboard!$C$14),OR(Dashboard!$C$15="All",C278=Dashboard!$C$15),OR(Dashboard!$C$16="All",K278=Dashboard!$C$16)),1,0)</f>
        <v>1</v>
      </c>
      <c r="S278" s="24">
        <f t="shared" si="3"/>
        <v>277</v>
      </c>
      <c r="V278" s="24" t="s">
        <v>608</v>
      </c>
    </row>
    <row r="279" ht="15.75" customHeight="1">
      <c r="A279" s="10" t="s">
        <v>329</v>
      </c>
      <c r="B279" s="13"/>
      <c r="C279" s="10" t="s">
        <v>609</v>
      </c>
      <c r="D279" s="13">
        <v>4.0</v>
      </c>
      <c r="E279" s="14">
        <v>2.0</v>
      </c>
      <c r="F279" s="15">
        <f t="shared" si="1"/>
        <v>8</v>
      </c>
      <c r="G279" s="6">
        <v>46221.0</v>
      </c>
      <c r="H279" s="22">
        <v>18.0</v>
      </c>
      <c r="I279" s="16">
        <f t="shared" si="2"/>
        <v>46347</v>
      </c>
      <c r="J279" s="13" t="s">
        <v>25</v>
      </c>
      <c r="K279" s="13" t="s">
        <v>31</v>
      </c>
      <c r="L279" s="24">
        <f>IF(A279="","",IF(OR(G279="",AND(G279&gt;=Dashboard!$C$18,G279&lt;=Dashboard!$C$19)),1,0))</f>
        <v>1</v>
      </c>
      <c r="M279" s="24">
        <f>IF(AND(L279=1,OR(Dashboard!$C$13="All",A279=Dashboard!$C$13),OR(Dashboard!$C$14="All",B279=Dashboard!$C$14),OR(Dashboard!$C$15="All",C279=Dashboard!$C$15),OR(Dashboard!$C$16="All",K279=Dashboard!$C$16),OR(Dashboard!$C$17="All",J279=Dashboard!$C$17)),1,0)</f>
        <v>1</v>
      </c>
      <c r="N279" s="24">
        <f>IF(AND(L279=1,OR(Dashboard!$C$13="All",A279=Dashboard!$C$13),OR(Dashboard!$C$14="All",B279=Dashboard!$C$14),OR(Dashboard!$C$16="All",K279=Dashboard!$C$16),OR(Dashboard!$C$17="All",J279=Dashboard!$C$17)),1,0)</f>
        <v>1</v>
      </c>
      <c r="O279" s="24">
        <f>IF(AND(L279=1,OR(Dashboard!$C$13="All",A279=Dashboard!$C$13),OR(Dashboard!$C$15="All",C279=Dashboard!$C$15),OR(Dashboard!$C$16="All",K279=Dashboard!$C$16),OR(Dashboard!$C$17="All",J279=Dashboard!$C$17)),1,0)</f>
        <v>1</v>
      </c>
      <c r="P279" s="24">
        <f>IF(AND(L279=1,OR(Dashboard!$C$13="All",A279=Dashboard!$C$13),OR(Dashboard!$C$14="All",B279=Dashboard!$C$14),OR(Dashboard!$C$15="All",C279=Dashboard!$C$15),OR(Dashboard!$C$17="All",J279=Dashboard!$C$17)),1,0)</f>
        <v>1</v>
      </c>
      <c r="Q279" s="24">
        <f>IF(AND(L279=1,OR(Dashboard!$C$14="All",B279=Dashboard!$C$14),OR(Dashboard!$C$15="All",C279=Dashboard!$C$15),OR(Dashboard!$C$16="All",K279=Dashboard!$C$16),OR(Dashboard!$C$17="All",J279=Dashboard!$C$17)),1,0)</f>
        <v>1</v>
      </c>
      <c r="R279" s="24">
        <f>IF(AND(L279=1,OR(Dashboard!$C$13="All",A279=Dashboard!$C$13),OR(Dashboard!$C$14="All",B279=Dashboard!$C$14),OR(Dashboard!$C$15="All",C279=Dashboard!$C$15),OR(Dashboard!$C$16="All",K279=Dashboard!$C$16)),1,0)</f>
        <v>1</v>
      </c>
      <c r="S279" s="24">
        <f t="shared" si="3"/>
        <v>278</v>
      </c>
      <c r="V279" s="24" t="s">
        <v>610</v>
      </c>
    </row>
    <row r="280" ht="15.75" customHeight="1">
      <c r="A280" s="3" t="s">
        <v>329</v>
      </c>
      <c r="B280" s="4"/>
      <c r="C280" s="3" t="s">
        <v>581</v>
      </c>
      <c r="D280" s="4">
        <v>4.0</v>
      </c>
      <c r="E280" s="17">
        <v>36.0</v>
      </c>
      <c r="F280" s="5">
        <f t="shared" si="1"/>
        <v>144</v>
      </c>
      <c r="G280" s="6">
        <v>46222.0</v>
      </c>
      <c r="H280" s="22">
        <v>17.0</v>
      </c>
      <c r="I280" s="7">
        <f t="shared" si="2"/>
        <v>46341</v>
      </c>
      <c r="J280" s="4" t="s">
        <v>25</v>
      </c>
      <c r="K280" s="4" t="s">
        <v>31</v>
      </c>
      <c r="L280" s="24">
        <f>IF(A280="","",IF(OR(G280="",AND(G280&gt;=Dashboard!$C$18,G280&lt;=Dashboard!$C$19)),1,0))</f>
        <v>1</v>
      </c>
      <c r="M280" s="24">
        <f>IF(AND(L280=1,OR(Dashboard!$C$13="All",A280=Dashboard!$C$13),OR(Dashboard!$C$14="All",B280=Dashboard!$C$14),OR(Dashboard!$C$15="All",C280=Dashboard!$C$15),OR(Dashboard!$C$16="All",K280=Dashboard!$C$16),OR(Dashboard!$C$17="All",J280=Dashboard!$C$17)),1,0)</f>
        <v>1</v>
      </c>
      <c r="N280" s="24">
        <f>IF(AND(L280=1,OR(Dashboard!$C$13="All",A280=Dashboard!$C$13),OR(Dashboard!$C$14="All",B280=Dashboard!$C$14),OR(Dashboard!$C$16="All",K280=Dashboard!$C$16),OR(Dashboard!$C$17="All",J280=Dashboard!$C$17)),1,0)</f>
        <v>1</v>
      </c>
      <c r="O280" s="24">
        <f>IF(AND(L280=1,OR(Dashboard!$C$13="All",A280=Dashboard!$C$13),OR(Dashboard!$C$15="All",C280=Dashboard!$C$15),OR(Dashboard!$C$16="All",K280=Dashboard!$C$16),OR(Dashboard!$C$17="All",J280=Dashboard!$C$17)),1,0)</f>
        <v>1</v>
      </c>
      <c r="P280" s="24">
        <f>IF(AND(L280=1,OR(Dashboard!$C$13="All",A280=Dashboard!$C$13),OR(Dashboard!$C$14="All",B280=Dashboard!$C$14),OR(Dashboard!$C$15="All",C280=Dashboard!$C$15),OR(Dashboard!$C$17="All",J280=Dashboard!$C$17)),1,0)</f>
        <v>1</v>
      </c>
      <c r="Q280" s="24">
        <f>IF(AND(L280=1,OR(Dashboard!$C$14="All",B280=Dashboard!$C$14),OR(Dashboard!$C$15="All",C280=Dashboard!$C$15),OR(Dashboard!$C$16="All",K280=Dashboard!$C$16),OR(Dashboard!$C$17="All",J280=Dashboard!$C$17)),1,0)</f>
        <v>1</v>
      </c>
      <c r="R280" s="24">
        <f>IF(AND(L280=1,OR(Dashboard!$C$13="All",A280=Dashboard!$C$13),OR(Dashboard!$C$14="All",B280=Dashboard!$C$14),OR(Dashboard!$C$15="All",C280=Dashboard!$C$15),OR(Dashboard!$C$16="All",K280=Dashboard!$C$16)),1,0)</f>
        <v>1</v>
      </c>
      <c r="S280" s="24">
        <f t="shared" si="3"/>
        <v>279</v>
      </c>
      <c r="V280" s="24" t="s">
        <v>611</v>
      </c>
    </row>
    <row r="281" ht="15.75" customHeight="1">
      <c r="A281" s="10" t="s">
        <v>329</v>
      </c>
      <c r="B281" s="13"/>
      <c r="C281" s="10" t="s">
        <v>42</v>
      </c>
      <c r="D281" s="13">
        <v>50000.0</v>
      </c>
      <c r="E281" s="5">
        <v>2.0</v>
      </c>
      <c r="F281" s="15">
        <f t="shared" si="1"/>
        <v>100000</v>
      </c>
      <c r="G281" s="6">
        <v>46223.0</v>
      </c>
      <c r="H281" s="22">
        <v>20.0</v>
      </c>
      <c r="I281" s="16">
        <f t="shared" si="2"/>
        <v>46363</v>
      </c>
      <c r="J281" s="13" t="s">
        <v>25</v>
      </c>
      <c r="K281" s="13" t="s">
        <v>31</v>
      </c>
      <c r="L281" s="24">
        <f>IF(A281="","",IF(OR(G281="",AND(G281&gt;=Dashboard!$C$18,G281&lt;=Dashboard!$C$19)),1,0))</f>
        <v>1</v>
      </c>
      <c r="M281" s="24">
        <f>IF(AND(L281=1,OR(Dashboard!$C$13="All",A281=Dashboard!$C$13),OR(Dashboard!$C$14="All",B281=Dashboard!$C$14),OR(Dashboard!$C$15="All",C281=Dashboard!$C$15),OR(Dashboard!$C$16="All",K281=Dashboard!$C$16),OR(Dashboard!$C$17="All",J281=Dashboard!$C$17)),1,0)</f>
        <v>1</v>
      </c>
      <c r="N281" s="24">
        <f>IF(AND(L281=1,OR(Dashboard!$C$13="All",A281=Dashboard!$C$13),OR(Dashboard!$C$14="All",B281=Dashboard!$C$14),OR(Dashboard!$C$16="All",K281=Dashboard!$C$16),OR(Dashboard!$C$17="All",J281=Dashboard!$C$17)),1,0)</f>
        <v>1</v>
      </c>
      <c r="O281" s="24">
        <f>IF(AND(L281=1,OR(Dashboard!$C$13="All",A281=Dashboard!$C$13),OR(Dashboard!$C$15="All",C281=Dashboard!$C$15),OR(Dashboard!$C$16="All",K281=Dashboard!$C$16),OR(Dashboard!$C$17="All",J281=Dashboard!$C$17)),1,0)</f>
        <v>1</v>
      </c>
      <c r="P281" s="24">
        <f>IF(AND(L281=1,OR(Dashboard!$C$13="All",A281=Dashboard!$C$13),OR(Dashboard!$C$14="All",B281=Dashboard!$C$14),OR(Dashboard!$C$15="All",C281=Dashboard!$C$15),OR(Dashboard!$C$17="All",J281=Dashboard!$C$17)),1,0)</f>
        <v>1</v>
      </c>
      <c r="Q281" s="24">
        <f>IF(AND(L281=1,OR(Dashboard!$C$14="All",B281=Dashboard!$C$14),OR(Dashboard!$C$15="All",C281=Dashboard!$C$15),OR(Dashboard!$C$16="All",K281=Dashboard!$C$16),OR(Dashboard!$C$17="All",J281=Dashboard!$C$17)),1,0)</f>
        <v>1</v>
      </c>
      <c r="R281" s="24">
        <f>IF(AND(L281=1,OR(Dashboard!$C$13="All",A281=Dashboard!$C$13),OR(Dashboard!$C$14="All",B281=Dashboard!$C$14),OR(Dashboard!$C$15="All",C281=Dashboard!$C$15),OR(Dashboard!$C$16="All",K281=Dashboard!$C$16)),1,0)</f>
        <v>1</v>
      </c>
      <c r="S281" s="24">
        <f t="shared" si="3"/>
        <v>280</v>
      </c>
      <c r="V281" s="24" t="s">
        <v>589</v>
      </c>
    </row>
    <row r="282" ht="15.75" customHeight="1">
      <c r="A282" s="3" t="s">
        <v>329</v>
      </c>
      <c r="B282" s="4"/>
      <c r="C282" s="3" t="s">
        <v>612</v>
      </c>
      <c r="D282" s="4">
        <v>10000.0</v>
      </c>
      <c r="E282" s="14">
        <v>5.0</v>
      </c>
      <c r="F282" s="5">
        <f t="shared" si="1"/>
        <v>50000</v>
      </c>
      <c r="G282" s="6">
        <v>46224.0</v>
      </c>
      <c r="H282" s="22">
        <v>20.0</v>
      </c>
      <c r="I282" s="7">
        <f t="shared" si="2"/>
        <v>46364</v>
      </c>
      <c r="J282" s="4" t="s">
        <v>25</v>
      </c>
      <c r="K282" s="4" t="s">
        <v>31</v>
      </c>
      <c r="L282" s="24">
        <f>IF(A282="","",IF(OR(G282="",AND(G282&gt;=Dashboard!$C$18,G282&lt;=Dashboard!$C$19)),1,0))</f>
        <v>1</v>
      </c>
      <c r="M282" s="24">
        <f>IF(AND(L282=1,OR(Dashboard!$C$13="All",A282=Dashboard!$C$13),OR(Dashboard!$C$14="All",B282=Dashboard!$C$14),OR(Dashboard!$C$15="All",C282=Dashboard!$C$15),OR(Dashboard!$C$16="All",K282=Dashboard!$C$16),OR(Dashboard!$C$17="All",J282=Dashboard!$C$17)),1,0)</f>
        <v>1</v>
      </c>
      <c r="N282" s="24">
        <f>IF(AND(L282=1,OR(Dashboard!$C$13="All",A282=Dashboard!$C$13),OR(Dashboard!$C$14="All",B282=Dashboard!$C$14),OR(Dashboard!$C$16="All",K282=Dashboard!$C$16),OR(Dashboard!$C$17="All",J282=Dashboard!$C$17)),1,0)</f>
        <v>1</v>
      </c>
      <c r="O282" s="24">
        <f>IF(AND(L282=1,OR(Dashboard!$C$13="All",A282=Dashboard!$C$13),OR(Dashboard!$C$15="All",C282=Dashboard!$C$15),OR(Dashboard!$C$16="All",K282=Dashboard!$C$16),OR(Dashboard!$C$17="All",J282=Dashboard!$C$17)),1,0)</f>
        <v>1</v>
      </c>
      <c r="P282" s="24">
        <f>IF(AND(L282=1,OR(Dashboard!$C$13="All",A282=Dashboard!$C$13),OR(Dashboard!$C$14="All",B282=Dashboard!$C$14),OR(Dashboard!$C$15="All",C282=Dashboard!$C$15),OR(Dashboard!$C$17="All",J282=Dashboard!$C$17)),1,0)</f>
        <v>1</v>
      </c>
      <c r="Q282" s="24">
        <f>IF(AND(L282=1,OR(Dashboard!$C$14="All",B282=Dashboard!$C$14),OR(Dashboard!$C$15="All",C282=Dashboard!$C$15),OR(Dashboard!$C$16="All",K282=Dashboard!$C$16),OR(Dashboard!$C$17="All",J282=Dashboard!$C$17)),1,0)</f>
        <v>1</v>
      </c>
      <c r="R282" s="24">
        <f>IF(AND(L282=1,OR(Dashboard!$C$13="All",A282=Dashboard!$C$13),OR(Dashboard!$C$14="All",B282=Dashboard!$C$14),OR(Dashboard!$C$15="All",C282=Dashboard!$C$15),OR(Dashboard!$C$16="All",K282=Dashboard!$C$16)),1,0)</f>
        <v>1</v>
      </c>
      <c r="S282" s="24">
        <f t="shared" si="3"/>
        <v>281</v>
      </c>
      <c r="V282" s="24" t="s">
        <v>528</v>
      </c>
    </row>
    <row r="283" ht="15.75" customHeight="1">
      <c r="A283" s="10" t="s">
        <v>330</v>
      </c>
      <c r="B283" s="13"/>
      <c r="C283" s="10" t="s">
        <v>613</v>
      </c>
      <c r="D283" s="13">
        <v>20000.0</v>
      </c>
      <c r="E283" s="17">
        <v>6.0</v>
      </c>
      <c r="F283" s="15">
        <f t="shared" si="1"/>
        <v>120000</v>
      </c>
      <c r="G283" s="6">
        <v>46225.0</v>
      </c>
      <c r="H283" s="22">
        <v>23.0</v>
      </c>
      <c r="I283" s="16">
        <f t="shared" si="2"/>
        <v>46386</v>
      </c>
      <c r="J283" s="13" t="s">
        <v>25</v>
      </c>
      <c r="K283" s="13" t="s">
        <v>31</v>
      </c>
      <c r="L283" s="24">
        <f>IF(A283="","",IF(OR(G283="",AND(G283&gt;=Dashboard!$C$18,G283&lt;=Dashboard!$C$19)),1,0))</f>
        <v>1</v>
      </c>
      <c r="M283" s="24">
        <f>IF(AND(L283=1,OR(Dashboard!$C$13="All",A283=Dashboard!$C$13),OR(Dashboard!$C$14="All",B283=Dashboard!$C$14),OR(Dashboard!$C$15="All",C283=Dashboard!$C$15),OR(Dashboard!$C$16="All",K283=Dashboard!$C$16),OR(Dashboard!$C$17="All",J283=Dashboard!$C$17)),1,0)</f>
        <v>1</v>
      </c>
      <c r="N283" s="24">
        <f>IF(AND(L283=1,OR(Dashboard!$C$13="All",A283=Dashboard!$C$13),OR(Dashboard!$C$14="All",B283=Dashboard!$C$14),OR(Dashboard!$C$16="All",K283=Dashboard!$C$16),OR(Dashboard!$C$17="All",J283=Dashboard!$C$17)),1,0)</f>
        <v>1</v>
      </c>
      <c r="O283" s="24">
        <f>IF(AND(L283=1,OR(Dashboard!$C$13="All",A283=Dashboard!$C$13),OR(Dashboard!$C$15="All",C283=Dashboard!$C$15),OR(Dashboard!$C$16="All",K283=Dashboard!$C$16),OR(Dashboard!$C$17="All",J283=Dashboard!$C$17)),1,0)</f>
        <v>1</v>
      </c>
      <c r="P283" s="24">
        <f>IF(AND(L283=1,OR(Dashboard!$C$13="All",A283=Dashboard!$C$13),OR(Dashboard!$C$14="All",B283=Dashboard!$C$14),OR(Dashboard!$C$15="All",C283=Dashboard!$C$15),OR(Dashboard!$C$17="All",J283=Dashboard!$C$17)),1,0)</f>
        <v>1</v>
      </c>
      <c r="Q283" s="24">
        <f>IF(AND(L283=1,OR(Dashboard!$C$14="All",B283=Dashboard!$C$14),OR(Dashboard!$C$15="All",C283=Dashboard!$C$15),OR(Dashboard!$C$16="All",K283=Dashboard!$C$16),OR(Dashboard!$C$17="All",J283=Dashboard!$C$17)),1,0)</f>
        <v>1</v>
      </c>
      <c r="R283" s="24">
        <f>IF(AND(L283=1,OR(Dashboard!$C$13="All",A283=Dashboard!$C$13),OR(Dashboard!$C$14="All",B283=Dashboard!$C$14),OR(Dashboard!$C$15="All",C283=Dashboard!$C$15),OR(Dashboard!$C$16="All",K283=Dashboard!$C$16)),1,0)</f>
        <v>1</v>
      </c>
      <c r="S283" s="24">
        <f t="shared" si="3"/>
        <v>282</v>
      </c>
      <c r="V283" s="24" t="s">
        <v>588</v>
      </c>
    </row>
    <row r="284" ht="15.75" customHeight="1">
      <c r="A284" s="3" t="s">
        <v>330</v>
      </c>
      <c r="B284" s="4"/>
      <c r="C284" s="3" t="s">
        <v>234</v>
      </c>
      <c r="D284" s="4">
        <v>4.0</v>
      </c>
      <c r="E284" s="14">
        <v>7.0</v>
      </c>
      <c r="F284" s="5">
        <f t="shared" si="1"/>
        <v>28</v>
      </c>
      <c r="G284" s="6">
        <v>46226.0</v>
      </c>
      <c r="H284" s="22">
        <v>24.0</v>
      </c>
      <c r="I284" s="7">
        <f t="shared" si="2"/>
        <v>46394</v>
      </c>
      <c r="J284" s="4" t="s">
        <v>25</v>
      </c>
      <c r="K284" s="4" t="s">
        <v>31</v>
      </c>
      <c r="L284" s="24">
        <f>IF(A284="","",IF(OR(G284="",AND(G284&gt;=Dashboard!$C$18,G284&lt;=Dashboard!$C$19)),1,0))</f>
        <v>1</v>
      </c>
      <c r="M284" s="24">
        <f>IF(AND(L284=1,OR(Dashboard!$C$13="All",A284=Dashboard!$C$13),OR(Dashboard!$C$14="All",B284=Dashboard!$C$14),OR(Dashboard!$C$15="All",C284=Dashboard!$C$15),OR(Dashboard!$C$16="All",K284=Dashboard!$C$16),OR(Dashboard!$C$17="All",J284=Dashboard!$C$17)),1,0)</f>
        <v>1</v>
      </c>
      <c r="N284" s="24">
        <f>IF(AND(L284=1,OR(Dashboard!$C$13="All",A284=Dashboard!$C$13),OR(Dashboard!$C$14="All",B284=Dashboard!$C$14),OR(Dashboard!$C$16="All",K284=Dashboard!$C$16),OR(Dashboard!$C$17="All",J284=Dashboard!$C$17)),1,0)</f>
        <v>1</v>
      </c>
      <c r="O284" s="24">
        <f>IF(AND(L284=1,OR(Dashboard!$C$13="All",A284=Dashboard!$C$13),OR(Dashboard!$C$15="All",C284=Dashboard!$C$15),OR(Dashboard!$C$16="All",K284=Dashboard!$C$16),OR(Dashboard!$C$17="All",J284=Dashboard!$C$17)),1,0)</f>
        <v>1</v>
      </c>
      <c r="P284" s="24">
        <f>IF(AND(L284=1,OR(Dashboard!$C$13="All",A284=Dashboard!$C$13),OR(Dashboard!$C$14="All",B284=Dashboard!$C$14),OR(Dashboard!$C$15="All",C284=Dashboard!$C$15),OR(Dashboard!$C$17="All",J284=Dashboard!$C$17)),1,0)</f>
        <v>1</v>
      </c>
      <c r="Q284" s="24">
        <f>IF(AND(L284=1,OR(Dashboard!$C$14="All",B284=Dashboard!$C$14),OR(Dashboard!$C$15="All",C284=Dashboard!$C$15),OR(Dashboard!$C$16="All",K284=Dashboard!$C$16),OR(Dashboard!$C$17="All",J284=Dashboard!$C$17)),1,0)</f>
        <v>1</v>
      </c>
      <c r="R284" s="24">
        <f>IF(AND(L284=1,OR(Dashboard!$C$13="All",A284=Dashboard!$C$13),OR(Dashboard!$C$14="All",B284=Dashboard!$C$14),OR(Dashboard!$C$15="All",C284=Dashboard!$C$15),OR(Dashboard!$C$16="All",K284=Dashboard!$C$16)),1,0)</f>
        <v>1</v>
      </c>
      <c r="S284" s="24">
        <f t="shared" si="3"/>
        <v>283</v>
      </c>
      <c r="V284" s="24" t="s">
        <v>614</v>
      </c>
    </row>
    <row r="285" ht="15.75" customHeight="1">
      <c r="A285" s="10" t="s">
        <v>177</v>
      </c>
      <c r="B285" s="13"/>
      <c r="C285" s="10" t="s">
        <v>422</v>
      </c>
      <c r="D285" s="13">
        <v>1.0</v>
      </c>
      <c r="E285" s="17">
        <v>8.0</v>
      </c>
      <c r="F285" s="15">
        <f t="shared" si="1"/>
        <v>8</v>
      </c>
      <c r="G285" s="6">
        <v>46227.0</v>
      </c>
      <c r="H285" s="22">
        <v>23.0</v>
      </c>
      <c r="I285" s="16">
        <f t="shared" si="2"/>
        <v>46388</v>
      </c>
      <c r="J285" s="13" t="s">
        <v>25</v>
      </c>
      <c r="K285" s="13" t="s">
        <v>31</v>
      </c>
      <c r="L285" s="24">
        <f>IF(A285="","",IF(OR(G285="",AND(G285&gt;=Dashboard!$C$18,G285&lt;=Dashboard!$C$19)),1,0))</f>
        <v>1</v>
      </c>
      <c r="M285" s="24">
        <f>IF(AND(L285=1,OR(Dashboard!$C$13="All",A285=Dashboard!$C$13),OR(Dashboard!$C$14="All",B285=Dashboard!$C$14),OR(Dashboard!$C$15="All",C285=Dashboard!$C$15),OR(Dashboard!$C$16="All",K285=Dashboard!$C$16),OR(Dashboard!$C$17="All",J285=Dashboard!$C$17)),1,0)</f>
        <v>1</v>
      </c>
      <c r="N285" s="24">
        <f>IF(AND(L285=1,OR(Dashboard!$C$13="All",A285=Dashboard!$C$13),OR(Dashboard!$C$14="All",B285=Dashboard!$C$14),OR(Dashboard!$C$16="All",K285=Dashboard!$C$16),OR(Dashboard!$C$17="All",J285=Dashboard!$C$17)),1,0)</f>
        <v>1</v>
      </c>
      <c r="O285" s="24">
        <f>IF(AND(L285=1,OR(Dashboard!$C$13="All",A285=Dashboard!$C$13),OR(Dashboard!$C$15="All",C285=Dashboard!$C$15),OR(Dashboard!$C$16="All",K285=Dashboard!$C$16),OR(Dashboard!$C$17="All",J285=Dashboard!$C$17)),1,0)</f>
        <v>1</v>
      </c>
      <c r="P285" s="24">
        <f>IF(AND(L285=1,OR(Dashboard!$C$13="All",A285=Dashboard!$C$13),OR(Dashboard!$C$14="All",B285=Dashboard!$C$14),OR(Dashboard!$C$15="All",C285=Dashboard!$C$15),OR(Dashboard!$C$17="All",J285=Dashboard!$C$17)),1,0)</f>
        <v>1</v>
      </c>
      <c r="Q285" s="24">
        <f>IF(AND(L285=1,OR(Dashboard!$C$14="All",B285=Dashboard!$C$14),OR(Dashboard!$C$15="All",C285=Dashboard!$C$15),OR(Dashboard!$C$16="All",K285=Dashboard!$C$16),OR(Dashboard!$C$17="All",J285=Dashboard!$C$17)),1,0)</f>
        <v>1</v>
      </c>
      <c r="R285" s="24">
        <f>IF(AND(L285=1,OR(Dashboard!$C$13="All",A285=Dashboard!$C$13),OR(Dashboard!$C$14="All",B285=Dashboard!$C$14),OR(Dashboard!$C$15="All",C285=Dashboard!$C$15),OR(Dashboard!$C$16="All",K285=Dashboard!$C$16)),1,0)</f>
        <v>1</v>
      </c>
      <c r="S285" s="24">
        <f t="shared" si="3"/>
        <v>284</v>
      </c>
      <c r="V285" s="24" t="s">
        <v>615</v>
      </c>
    </row>
    <row r="286" ht="15.75" customHeight="1">
      <c r="A286" s="3" t="s">
        <v>177</v>
      </c>
      <c r="B286" s="4"/>
      <c r="C286" s="3" t="s">
        <v>111</v>
      </c>
      <c r="D286" s="4">
        <v>1.0</v>
      </c>
      <c r="E286" s="14">
        <v>2.0</v>
      </c>
      <c r="F286" s="5">
        <f t="shared" si="1"/>
        <v>2</v>
      </c>
      <c r="G286" s="6">
        <v>46228.0</v>
      </c>
      <c r="H286" s="22">
        <v>21.0</v>
      </c>
      <c r="I286" s="7">
        <f t="shared" si="2"/>
        <v>46375</v>
      </c>
      <c r="J286" s="4" t="s">
        <v>25</v>
      </c>
      <c r="K286" s="4" t="s">
        <v>31</v>
      </c>
      <c r="L286" s="24">
        <f>IF(A286="","",IF(OR(G286="",AND(G286&gt;=Dashboard!$C$18,G286&lt;=Dashboard!$C$19)),1,0))</f>
        <v>1</v>
      </c>
      <c r="M286" s="24">
        <f>IF(AND(L286=1,OR(Dashboard!$C$13="All",A286=Dashboard!$C$13),OR(Dashboard!$C$14="All",B286=Dashboard!$C$14),OR(Dashboard!$C$15="All",C286=Dashboard!$C$15),OR(Dashboard!$C$16="All",K286=Dashboard!$C$16),OR(Dashboard!$C$17="All",J286=Dashboard!$C$17)),1,0)</f>
        <v>1</v>
      </c>
      <c r="N286" s="24">
        <f>IF(AND(L286=1,OR(Dashboard!$C$13="All",A286=Dashboard!$C$13),OR(Dashboard!$C$14="All",B286=Dashboard!$C$14),OR(Dashboard!$C$16="All",K286=Dashboard!$C$16),OR(Dashboard!$C$17="All",J286=Dashboard!$C$17)),1,0)</f>
        <v>1</v>
      </c>
      <c r="O286" s="24">
        <f>IF(AND(L286=1,OR(Dashboard!$C$13="All",A286=Dashboard!$C$13),OR(Dashboard!$C$15="All",C286=Dashboard!$C$15),OR(Dashboard!$C$16="All",K286=Dashboard!$C$16),OR(Dashboard!$C$17="All",J286=Dashboard!$C$17)),1,0)</f>
        <v>1</v>
      </c>
      <c r="P286" s="24">
        <f>IF(AND(L286=1,OR(Dashboard!$C$13="All",A286=Dashboard!$C$13),OR(Dashboard!$C$14="All",B286=Dashboard!$C$14),OR(Dashboard!$C$15="All",C286=Dashboard!$C$15),OR(Dashboard!$C$17="All",J286=Dashboard!$C$17)),1,0)</f>
        <v>1</v>
      </c>
      <c r="Q286" s="24">
        <f>IF(AND(L286=1,OR(Dashboard!$C$14="All",B286=Dashboard!$C$14),OR(Dashboard!$C$15="All",C286=Dashboard!$C$15),OR(Dashboard!$C$16="All",K286=Dashboard!$C$16),OR(Dashboard!$C$17="All",J286=Dashboard!$C$17)),1,0)</f>
        <v>1</v>
      </c>
      <c r="R286" s="24">
        <f>IF(AND(L286=1,OR(Dashboard!$C$13="All",A286=Dashboard!$C$13),OR(Dashboard!$C$14="All",B286=Dashboard!$C$14),OR(Dashboard!$C$15="All",C286=Dashboard!$C$15),OR(Dashboard!$C$16="All",K286=Dashboard!$C$16)),1,0)</f>
        <v>1</v>
      </c>
      <c r="S286" s="24">
        <f t="shared" si="3"/>
        <v>285</v>
      </c>
      <c r="V286" s="24" t="s">
        <v>564</v>
      </c>
    </row>
    <row r="287" ht="15.75" customHeight="1">
      <c r="A287" s="10" t="s">
        <v>332</v>
      </c>
      <c r="B287" s="13"/>
      <c r="C287" s="10" t="s">
        <v>76</v>
      </c>
      <c r="D287" s="13">
        <v>1.0</v>
      </c>
      <c r="E287" s="17">
        <v>15.0</v>
      </c>
      <c r="F287" s="15">
        <f t="shared" si="1"/>
        <v>15</v>
      </c>
      <c r="G287" s="6">
        <v>46229.0</v>
      </c>
      <c r="H287" s="22">
        <v>24.0</v>
      </c>
      <c r="I287" s="16">
        <f t="shared" si="2"/>
        <v>46397</v>
      </c>
      <c r="J287" s="13" t="s">
        <v>25</v>
      </c>
      <c r="K287" s="13" t="s">
        <v>31</v>
      </c>
      <c r="L287" s="24">
        <f>IF(A287="","",IF(OR(G287="",AND(G287&gt;=Dashboard!$C$18,G287&lt;=Dashboard!$C$19)),1,0))</f>
        <v>1</v>
      </c>
      <c r="M287" s="24">
        <f>IF(AND(L287=1,OR(Dashboard!$C$13="All",A287=Dashboard!$C$13),OR(Dashboard!$C$14="All",B287=Dashboard!$C$14),OR(Dashboard!$C$15="All",C287=Dashboard!$C$15),OR(Dashboard!$C$16="All",K287=Dashboard!$C$16),OR(Dashboard!$C$17="All",J287=Dashboard!$C$17)),1,0)</f>
        <v>1</v>
      </c>
      <c r="N287" s="24">
        <f>IF(AND(L287=1,OR(Dashboard!$C$13="All",A287=Dashboard!$C$13),OR(Dashboard!$C$14="All",B287=Dashboard!$C$14),OR(Dashboard!$C$16="All",K287=Dashboard!$C$16),OR(Dashboard!$C$17="All",J287=Dashboard!$C$17)),1,0)</f>
        <v>1</v>
      </c>
      <c r="O287" s="24">
        <f>IF(AND(L287=1,OR(Dashboard!$C$13="All",A287=Dashboard!$C$13),OR(Dashboard!$C$15="All",C287=Dashboard!$C$15),OR(Dashboard!$C$16="All",K287=Dashboard!$C$16),OR(Dashboard!$C$17="All",J287=Dashboard!$C$17)),1,0)</f>
        <v>1</v>
      </c>
      <c r="P287" s="24">
        <f>IF(AND(L287=1,OR(Dashboard!$C$13="All",A287=Dashboard!$C$13),OR(Dashboard!$C$14="All",B287=Dashboard!$C$14),OR(Dashboard!$C$15="All",C287=Dashboard!$C$15),OR(Dashboard!$C$17="All",J287=Dashboard!$C$17)),1,0)</f>
        <v>1</v>
      </c>
      <c r="Q287" s="24">
        <f>IF(AND(L287=1,OR(Dashboard!$C$14="All",B287=Dashboard!$C$14),OR(Dashboard!$C$15="All",C287=Dashboard!$C$15),OR(Dashboard!$C$16="All",K287=Dashboard!$C$16),OR(Dashboard!$C$17="All",J287=Dashboard!$C$17)),1,0)</f>
        <v>1</v>
      </c>
      <c r="R287" s="24">
        <f>IF(AND(L287=1,OR(Dashboard!$C$13="All",A287=Dashboard!$C$13),OR(Dashboard!$C$14="All",B287=Dashboard!$C$14),OR(Dashboard!$C$15="All",C287=Dashboard!$C$15),OR(Dashboard!$C$16="All",K287=Dashboard!$C$16)),1,0)</f>
        <v>1</v>
      </c>
      <c r="S287" s="24">
        <f t="shared" si="3"/>
        <v>286</v>
      </c>
      <c r="V287" s="24" t="s">
        <v>536</v>
      </c>
    </row>
    <row r="288" ht="15.75" customHeight="1">
      <c r="A288" s="3" t="s">
        <v>162</v>
      </c>
      <c r="B288" s="4"/>
      <c r="C288" s="3" t="s">
        <v>616</v>
      </c>
      <c r="D288" s="4">
        <v>2.0</v>
      </c>
      <c r="E288" s="14">
        <v>45.0</v>
      </c>
      <c r="F288" s="5">
        <f t="shared" si="1"/>
        <v>90</v>
      </c>
      <c r="G288" s="6">
        <v>46230.0</v>
      </c>
      <c r="H288" s="22">
        <v>22.0</v>
      </c>
      <c r="I288" s="7">
        <f t="shared" si="2"/>
        <v>46384</v>
      </c>
      <c r="J288" s="4" t="s">
        <v>25</v>
      </c>
      <c r="K288" s="4" t="s">
        <v>31</v>
      </c>
      <c r="L288" s="24">
        <f>IF(A288="","",IF(OR(G288="",AND(G288&gt;=Dashboard!$C$18,G288&lt;=Dashboard!$C$19)),1,0))</f>
        <v>1</v>
      </c>
      <c r="M288" s="24">
        <f>IF(AND(L288=1,OR(Dashboard!$C$13="All",A288=Dashboard!$C$13),OR(Dashboard!$C$14="All",B288=Dashboard!$C$14),OR(Dashboard!$C$15="All",C288=Dashboard!$C$15),OR(Dashboard!$C$16="All",K288=Dashboard!$C$16),OR(Dashboard!$C$17="All",J288=Dashboard!$C$17)),1,0)</f>
        <v>1</v>
      </c>
      <c r="N288" s="24">
        <f>IF(AND(L288=1,OR(Dashboard!$C$13="All",A288=Dashboard!$C$13),OR(Dashboard!$C$14="All",B288=Dashboard!$C$14),OR(Dashboard!$C$16="All",K288=Dashboard!$C$16),OR(Dashboard!$C$17="All",J288=Dashboard!$C$17)),1,0)</f>
        <v>1</v>
      </c>
      <c r="O288" s="24">
        <f>IF(AND(L288=1,OR(Dashboard!$C$13="All",A288=Dashboard!$C$13),OR(Dashboard!$C$15="All",C288=Dashboard!$C$15),OR(Dashboard!$C$16="All",K288=Dashboard!$C$16),OR(Dashboard!$C$17="All",J288=Dashboard!$C$17)),1,0)</f>
        <v>1</v>
      </c>
      <c r="P288" s="24">
        <f>IF(AND(L288=1,OR(Dashboard!$C$13="All",A288=Dashboard!$C$13),OR(Dashboard!$C$14="All",B288=Dashboard!$C$14),OR(Dashboard!$C$15="All",C288=Dashboard!$C$15),OR(Dashboard!$C$17="All",J288=Dashboard!$C$17)),1,0)</f>
        <v>1</v>
      </c>
      <c r="Q288" s="24">
        <f>IF(AND(L288=1,OR(Dashboard!$C$14="All",B288=Dashboard!$C$14),OR(Dashboard!$C$15="All",C288=Dashboard!$C$15),OR(Dashboard!$C$16="All",K288=Dashboard!$C$16),OR(Dashboard!$C$17="All",J288=Dashboard!$C$17)),1,0)</f>
        <v>1</v>
      </c>
      <c r="R288" s="24">
        <f>IF(AND(L288=1,OR(Dashboard!$C$13="All",A288=Dashboard!$C$13),OR(Dashboard!$C$14="All",B288=Dashboard!$C$14),OR(Dashboard!$C$15="All",C288=Dashboard!$C$15),OR(Dashboard!$C$16="All",K288=Dashboard!$C$16)),1,0)</f>
        <v>1</v>
      </c>
      <c r="S288" s="24">
        <f t="shared" si="3"/>
        <v>287</v>
      </c>
      <c r="V288" s="24" t="s">
        <v>617</v>
      </c>
    </row>
    <row r="289" ht="15.75" customHeight="1">
      <c r="A289" s="10" t="s">
        <v>162</v>
      </c>
      <c r="B289" s="13"/>
      <c r="C289" s="10" t="s">
        <v>166</v>
      </c>
      <c r="D289" s="13">
        <v>2.0</v>
      </c>
      <c r="E289" s="17">
        <v>24.0</v>
      </c>
      <c r="F289" s="15">
        <f t="shared" si="1"/>
        <v>48</v>
      </c>
      <c r="G289" s="6">
        <v>46231.0</v>
      </c>
      <c r="H289" s="22">
        <v>23.0</v>
      </c>
      <c r="I289" s="16">
        <f t="shared" si="2"/>
        <v>46392</v>
      </c>
      <c r="J289" s="13" t="s">
        <v>25</v>
      </c>
      <c r="K289" s="13" t="s">
        <v>31</v>
      </c>
      <c r="L289" s="24">
        <f>IF(A289="","",IF(OR(G289="",AND(G289&gt;=Dashboard!$C$18,G289&lt;=Dashboard!$C$19)),1,0))</f>
        <v>1</v>
      </c>
      <c r="M289" s="24">
        <f>IF(AND(L289=1,OR(Dashboard!$C$13="All",A289=Dashboard!$C$13),OR(Dashboard!$C$14="All",B289=Dashboard!$C$14),OR(Dashboard!$C$15="All",C289=Dashboard!$C$15),OR(Dashboard!$C$16="All",K289=Dashboard!$C$16),OR(Dashboard!$C$17="All",J289=Dashboard!$C$17)),1,0)</f>
        <v>1</v>
      </c>
      <c r="N289" s="24">
        <f>IF(AND(L289=1,OR(Dashboard!$C$13="All",A289=Dashboard!$C$13),OR(Dashboard!$C$14="All",B289=Dashboard!$C$14),OR(Dashboard!$C$16="All",K289=Dashboard!$C$16),OR(Dashboard!$C$17="All",J289=Dashboard!$C$17)),1,0)</f>
        <v>1</v>
      </c>
      <c r="O289" s="24">
        <f>IF(AND(L289=1,OR(Dashboard!$C$13="All",A289=Dashboard!$C$13),OR(Dashboard!$C$15="All",C289=Dashboard!$C$15),OR(Dashboard!$C$16="All",K289=Dashboard!$C$16),OR(Dashboard!$C$17="All",J289=Dashboard!$C$17)),1,0)</f>
        <v>1</v>
      </c>
      <c r="P289" s="24">
        <f>IF(AND(L289=1,OR(Dashboard!$C$13="All",A289=Dashboard!$C$13),OR(Dashboard!$C$14="All",B289=Dashboard!$C$14),OR(Dashboard!$C$15="All",C289=Dashboard!$C$15),OR(Dashboard!$C$17="All",J289=Dashboard!$C$17)),1,0)</f>
        <v>1</v>
      </c>
      <c r="Q289" s="24">
        <f>IF(AND(L289=1,OR(Dashboard!$C$14="All",B289=Dashboard!$C$14),OR(Dashboard!$C$15="All",C289=Dashboard!$C$15),OR(Dashboard!$C$16="All",K289=Dashboard!$C$16),OR(Dashboard!$C$17="All",J289=Dashboard!$C$17)),1,0)</f>
        <v>1</v>
      </c>
      <c r="R289" s="24">
        <f>IF(AND(L289=1,OR(Dashboard!$C$13="All",A289=Dashboard!$C$13),OR(Dashboard!$C$14="All",B289=Dashboard!$C$14),OR(Dashboard!$C$15="All",C289=Dashboard!$C$15),OR(Dashboard!$C$16="All",K289=Dashboard!$C$16)),1,0)</f>
        <v>1</v>
      </c>
      <c r="S289" s="24">
        <f t="shared" si="3"/>
        <v>288</v>
      </c>
      <c r="V289" s="24" t="s">
        <v>612</v>
      </c>
    </row>
    <row r="290" ht="15.75" customHeight="1">
      <c r="A290" s="3" t="s">
        <v>162</v>
      </c>
      <c r="B290" s="4"/>
      <c r="C290" s="3" t="s">
        <v>618</v>
      </c>
      <c r="D290" s="4">
        <v>2.0</v>
      </c>
      <c r="E290" s="14">
        <v>25.0</v>
      </c>
      <c r="F290" s="5">
        <f t="shared" si="1"/>
        <v>50</v>
      </c>
      <c r="G290" s="6">
        <v>46232.0</v>
      </c>
      <c r="H290" s="22">
        <v>21.0</v>
      </c>
      <c r="I290" s="7">
        <f t="shared" si="2"/>
        <v>46379</v>
      </c>
      <c r="J290" s="4" t="s">
        <v>25</v>
      </c>
      <c r="K290" s="4" t="s">
        <v>31</v>
      </c>
      <c r="L290" s="24">
        <f>IF(A290="","",IF(OR(G290="",AND(G290&gt;=Dashboard!$C$18,G290&lt;=Dashboard!$C$19)),1,0))</f>
        <v>1</v>
      </c>
      <c r="M290" s="24">
        <f>IF(AND(L290=1,OR(Dashboard!$C$13="All",A290=Dashboard!$C$13),OR(Dashboard!$C$14="All",B290=Dashboard!$C$14),OR(Dashboard!$C$15="All",C290=Dashboard!$C$15),OR(Dashboard!$C$16="All",K290=Dashboard!$C$16),OR(Dashboard!$C$17="All",J290=Dashboard!$C$17)),1,0)</f>
        <v>1</v>
      </c>
      <c r="N290" s="24">
        <f>IF(AND(L290=1,OR(Dashboard!$C$13="All",A290=Dashboard!$C$13),OR(Dashboard!$C$14="All",B290=Dashboard!$C$14),OR(Dashboard!$C$16="All",K290=Dashboard!$C$16),OR(Dashboard!$C$17="All",J290=Dashboard!$C$17)),1,0)</f>
        <v>1</v>
      </c>
      <c r="O290" s="24">
        <f>IF(AND(L290=1,OR(Dashboard!$C$13="All",A290=Dashboard!$C$13),OR(Dashboard!$C$15="All",C290=Dashboard!$C$15),OR(Dashboard!$C$16="All",K290=Dashboard!$C$16),OR(Dashboard!$C$17="All",J290=Dashboard!$C$17)),1,0)</f>
        <v>1</v>
      </c>
      <c r="P290" s="24">
        <f>IF(AND(L290=1,OR(Dashboard!$C$13="All",A290=Dashboard!$C$13),OR(Dashboard!$C$14="All",B290=Dashboard!$C$14),OR(Dashboard!$C$15="All",C290=Dashboard!$C$15),OR(Dashboard!$C$17="All",J290=Dashboard!$C$17)),1,0)</f>
        <v>1</v>
      </c>
      <c r="Q290" s="24">
        <f>IF(AND(L290=1,OR(Dashboard!$C$14="All",B290=Dashboard!$C$14),OR(Dashboard!$C$15="All",C290=Dashboard!$C$15),OR(Dashboard!$C$16="All",K290=Dashboard!$C$16),OR(Dashboard!$C$17="All",J290=Dashboard!$C$17)),1,0)</f>
        <v>1</v>
      </c>
      <c r="R290" s="24">
        <f>IF(AND(L290=1,OR(Dashboard!$C$13="All",A290=Dashboard!$C$13),OR(Dashboard!$C$14="All",B290=Dashboard!$C$14),OR(Dashboard!$C$15="All",C290=Dashboard!$C$15),OR(Dashboard!$C$16="All",K290=Dashboard!$C$16)),1,0)</f>
        <v>1</v>
      </c>
      <c r="S290" s="24">
        <f t="shared" si="3"/>
        <v>289</v>
      </c>
      <c r="V290" s="24" t="s">
        <v>619</v>
      </c>
    </row>
    <row r="291" ht="15.75" customHeight="1">
      <c r="A291" s="10" t="s">
        <v>162</v>
      </c>
      <c r="B291" s="13"/>
      <c r="C291" s="10" t="s">
        <v>217</v>
      </c>
      <c r="D291" s="13">
        <v>1.0</v>
      </c>
      <c r="E291" s="17">
        <v>36.0</v>
      </c>
      <c r="F291" s="15">
        <f t="shared" si="1"/>
        <v>36</v>
      </c>
      <c r="G291" s="6">
        <v>46233.0</v>
      </c>
      <c r="H291" s="22">
        <v>24.0</v>
      </c>
      <c r="I291" s="16">
        <f t="shared" si="2"/>
        <v>46401</v>
      </c>
      <c r="J291" s="13" t="s">
        <v>25</v>
      </c>
      <c r="K291" s="13" t="s">
        <v>31</v>
      </c>
      <c r="L291" s="24">
        <f>IF(A291="","",IF(OR(G291="",AND(G291&gt;=Dashboard!$C$18,G291&lt;=Dashboard!$C$19)),1,0))</f>
        <v>1</v>
      </c>
      <c r="M291" s="24">
        <f>IF(AND(L291=1,OR(Dashboard!$C$13="All",A291=Dashboard!$C$13),OR(Dashboard!$C$14="All",B291=Dashboard!$C$14),OR(Dashboard!$C$15="All",C291=Dashboard!$C$15),OR(Dashboard!$C$16="All",K291=Dashboard!$C$16),OR(Dashboard!$C$17="All",J291=Dashboard!$C$17)),1,0)</f>
        <v>1</v>
      </c>
      <c r="N291" s="24">
        <f>IF(AND(L291=1,OR(Dashboard!$C$13="All",A291=Dashboard!$C$13),OR(Dashboard!$C$14="All",B291=Dashboard!$C$14),OR(Dashboard!$C$16="All",K291=Dashboard!$C$16),OR(Dashboard!$C$17="All",J291=Dashboard!$C$17)),1,0)</f>
        <v>1</v>
      </c>
      <c r="O291" s="24">
        <f>IF(AND(L291=1,OR(Dashboard!$C$13="All",A291=Dashboard!$C$13),OR(Dashboard!$C$15="All",C291=Dashboard!$C$15),OR(Dashboard!$C$16="All",K291=Dashboard!$C$16),OR(Dashboard!$C$17="All",J291=Dashboard!$C$17)),1,0)</f>
        <v>1</v>
      </c>
      <c r="P291" s="24">
        <f>IF(AND(L291=1,OR(Dashboard!$C$13="All",A291=Dashboard!$C$13),OR(Dashboard!$C$14="All",B291=Dashboard!$C$14),OR(Dashboard!$C$15="All",C291=Dashboard!$C$15),OR(Dashboard!$C$17="All",J291=Dashboard!$C$17)),1,0)</f>
        <v>1</v>
      </c>
      <c r="Q291" s="24">
        <f>IF(AND(L291=1,OR(Dashboard!$C$14="All",B291=Dashboard!$C$14),OR(Dashboard!$C$15="All",C291=Dashboard!$C$15),OR(Dashboard!$C$16="All",K291=Dashboard!$C$16),OR(Dashboard!$C$17="All",J291=Dashboard!$C$17)),1,0)</f>
        <v>1</v>
      </c>
      <c r="R291" s="24">
        <f>IF(AND(L291=1,OR(Dashboard!$C$13="All",A291=Dashboard!$C$13),OR(Dashboard!$C$14="All",B291=Dashboard!$C$14),OR(Dashboard!$C$15="All",C291=Dashboard!$C$15),OR(Dashboard!$C$16="All",K291=Dashboard!$C$16)),1,0)</f>
        <v>1</v>
      </c>
      <c r="S291" s="24">
        <f t="shared" si="3"/>
        <v>290</v>
      </c>
      <c r="V291" s="24" t="s">
        <v>620</v>
      </c>
    </row>
    <row r="292" ht="15.75" customHeight="1">
      <c r="A292" s="3" t="s">
        <v>162</v>
      </c>
      <c r="B292" s="4"/>
      <c r="C292" s="3" t="s">
        <v>508</v>
      </c>
      <c r="D292" s="4">
        <v>1.0</v>
      </c>
      <c r="E292" s="14">
        <v>95.0</v>
      </c>
      <c r="F292" s="5">
        <f t="shared" si="1"/>
        <v>95</v>
      </c>
      <c r="G292" s="6">
        <v>46234.0</v>
      </c>
      <c r="H292" s="22">
        <v>20.0</v>
      </c>
      <c r="I292" s="7">
        <f t="shared" si="2"/>
        <v>46374</v>
      </c>
      <c r="J292" s="4" t="s">
        <v>25</v>
      </c>
      <c r="K292" s="4" t="s">
        <v>31</v>
      </c>
      <c r="L292" s="24">
        <f>IF(A292="","",IF(OR(G292="",AND(G292&gt;=Dashboard!$C$18,G292&lt;=Dashboard!$C$19)),1,0))</f>
        <v>1</v>
      </c>
      <c r="M292" s="24">
        <f>IF(AND(L292=1,OR(Dashboard!$C$13="All",A292=Dashboard!$C$13),OR(Dashboard!$C$14="All",B292=Dashboard!$C$14),OR(Dashboard!$C$15="All",C292=Dashboard!$C$15),OR(Dashboard!$C$16="All",K292=Dashboard!$C$16),OR(Dashboard!$C$17="All",J292=Dashboard!$C$17)),1,0)</f>
        <v>1</v>
      </c>
      <c r="N292" s="24">
        <f>IF(AND(L292=1,OR(Dashboard!$C$13="All",A292=Dashboard!$C$13),OR(Dashboard!$C$14="All",B292=Dashboard!$C$14),OR(Dashboard!$C$16="All",K292=Dashboard!$C$16),OR(Dashboard!$C$17="All",J292=Dashboard!$C$17)),1,0)</f>
        <v>1</v>
      </c>
      <c r="O292" s="24">
        <f>IF(AND(L292=1,OR(Dashboard!$C$13="All",A292=Dashboard!$C$13),OR(Dashboard!$C$15="All",C292=Dashboard!$C$15),OR(Dashboard!$C$16="All",K292=Dashboard!$C$16),OR(Dashboard!$C$17="All",J292=Dashboard!$C$17)),1,0)</f>
        <v>1</v>
      </c>
      <c r="P292" s="24">
        <f>IF(AND(L292=1,OR(Dashboard!$C$13="All",A292=Dashboard!$C$13),OR(Dashboard!$C$14="All",B292=Dashboard!$C$14),OR(Dashboard!$C$15="All",C292=Dashboard!$C$15),OR(Dashboard!$C$17="All",J292=Dashboard!$C$17)),1,0)</f>
        <v>1</v>
      </c>
      <c r="Q292" s="24">
        <f>IF(AND(L292=1,OR(Dashboard!$C$14="All",B292=Dashboard!$C$14),OR(Dashboard!$C$15="All",C292=Dashboard!$C$15),OR(Dashboard!$C$16="All",K292=Dashboard!$C$16),OR(Dashboard!$C$17="All",J292=Dashboard!$C$17)),1,0)</f>
        <v>1</v>
      </c>
      <c r="R292" s="24">
        <f>IF(AND(L292=1,OR(Dashboard!$C$13="All",A292=Dashboard!$C$13),OR(Dashboard!$C$14="All",B292=Dashboard!$C$14),OR(Dashboard!$C$15="All",C292=Dashboard!$C$15),OR(Dashboard!$C$16="All",K292=Dashboard!$C$16)),1,0)</f>
        <v>1</v>
      </c>
      <c r="S292" s="24">
        <f t="shared" si="3"/>
        <v>291</v>
      </c>
      <c r="V292" s="24" t="s">
        <v>621</v>
      </c>
    </row>
    <row r="293" ht="15.75" customHeight="1">
      <c r="A293" s="10" t="s">
        <v>162</v>
      </c>
      <c r="B293" s="13"/>
      <c r="C293" s="10" t="s">
        <v>195</v>
      </c>
      <c r="D293" s="13">
        <v>2.0</v>
      </c>
      <c r="E293" s="17">
        <v>574.0</v>
      </c>
      <c r="F293" s="15">
        <f t="shared" si="1"/>
        <v>1148</v>
      </c>
      <c r="G293" s="6">
        <v>46235.0</v>
      </c>
      <c r="H293" s="22">
        <v>16.0</v>
      </c>
      <c r="I293" s="16">
        <f t="shared" si="2"/>
        <v>46347</v>
      </c>
      <c r="J293" s="13" t="s">
        <v>25</v>
      </c>
      <c r="K293" s="13" t="s">
        <v>31</v>
      </c>
      <c r="L293" s="24">
        <f>IF(A293="","",IF(OR(G293="",AND(G293&gt;=Dashboard!$C$18,G293&lt;=Dashboard!$C$19)),1,0))</f>
        <v>1</v>
      </c>
      <c r="M293" s="24">
        <f>IF(AND(L293=1,OR(Dashboard!$C$13="All",A293=Dashboard!$C$13),OR(Dashboard!$C$14="All",B293=Dashboard!$C$14),OR(Dashboard!$C$15="All",C293=Dashboard!$C$15),OR(Dashboard!$C$16="All",K293=Dashboard!$C$16),OR(Dashboard!$C$17="All",J293=Dashboard!$C$17)),1,0)</f>
        <v>1</v>
      </c>
      <c r="N293" s="24">
        <f>IF(AND(L293=1,OR(Dashboard!$C$13="All",A293=Dashboard!$C$13),OR(Dashboard!$C$14="All",B293=Dashboard!$C$14),OR(Dashboard!$C$16="All",K293=Dashboard!$C$16),OR(Dashboard!$C$17="All",J293=Dashboard!$C$17)),1,0)</f>
        <v>1</v>
      </c>
      <c r="O293" s="24">
        <f>IF(AND(L293=1,OR(Dashboard!$C$13="All",A293=Dashboard!$C$13),OR(Dashboard!$C$15="All",C293=Dashboard!$C$15),OR(Dashboard!$C$16="All",K293=Dashboard!$C$16),OR(Dashboard!$C$17="All",J293=Dashboard!$C$17)),1,0)</f>
        <v>1</v>
      </c>
      <c r="P293" s="24">
        <f>IF(AND(L293=1,OR(Dashboard!$C$13="All",A293=Dashboard!$C$13),OR(Dashboard!$C$14="All",B293=Dashboard!$C$14),OR(Dashboard!$C$15="All",C293=Dashboard!$C$15),OR(Dashboard!$C$17="All",J293=Dashboard!$C$17)),1,0)</f>
        <v>1</v>
      </c>
      <c r="Q293" s="24">
        <f>IF(AND(L293=1,OR(Dashboard!$C$14="All",B293=Dashboard!$C$14),OR(Dashboard!$C$15="All",C293=Dashboard!$C$15),OR(Dashboard!$C$16="All",K293=Dashboard!$C$16),OR(Dashboard!$C$17="All",J293=Dashboard!$C$17)),1,0)</f>
        <v>1</v>
      </c>
      <c r="R293" s="24">
        <f>IF(AND(L293=1,OR(Dashboard!$C$13="All",A293=Dashboard!$C$13),OR(Dashboard!$C$14="All",B293=Dashboard!$C$14),OR(Dashboard!$C$15="All",C293=Dashboard!$C$15),OR(Dashboard!$C$16="All",K293=Dashboard!$C$16)),1,0)</f>
        <v>1</v>
      </c>
      <c r="S293" s="24">
        <f t="shared" si="3"/>
        <v>292</v>
      </c>
      <c r="V293" s="24" t="s">
        <v>499</v>
      </c>
    </row>
    <row r="294" ht="15.75" customHeight="1">
      <c r="A294" s="3" t="s">
        <v>162</v>
      </c>
      <c r="B294" s="4"/>
      <c r="C294" s="3" t="s">
        <v>560</v>
      </c>
      <c r="D294" s="4">
        <v>1.0</v>
      </c>
      <c r="E294" s="14">
        <v>558.0</v>
      </c>
      <c r="F294" s="5">
        <f t="shared" si="1"/>
        <v>558</v>
      </c>
      <c r="G294" s="6">
        <v>46236.0</v>
      </c>
      <c r="H294" s="22">
        <v>16.0</v>
      </c>
      <c r="I294" s="7">
        <f t="shared" si="2"/>
        <v>46348</v>
      </c>
      <c r="J294" s="4" t="s">
        <v>25</v>
      </c>
      <c r="K294" s="4" t="s">
        <v>31</v>
      </c>
      <c r="L294" s="24">
        <f>IF(A294="","",IF(OR(G294="",AND(G294&gt;=Dashboard!$C$18,G294&lt;=Dashboard!$C$19)),1,0))</f>
        <v>1</v>
      </c>
      <c r="M294" s="24">
        <f>IF(AND(L294=1,OR(Dashboard!$C$13="All",A294=Dashboard!$C$13),OR(Dashboard!$C$14="All",B294=Dashboard!$C$14),OR(Dashboard!$C$15="All",C294=Dashboard!$C$15),OR(Dashboard!$C$16="All",K294=Dashboard!$C$16),OR(Dashboard!$C$17="All",J294=Dashboard!$C$17)),1,0)</f>
        <v>1</v>
      </c>
      <c r="N294" s="24">
        <f>IF(AND(L294=1,OR(Dashboard!$C$13="All",A294=Dashboard!$C$13),OR(Dashboard!$C$14="All",B294=Dashboard!$C$14),OR(Dashboard!$C$16="All",K294=Dashboard!$C$16),OR(Dashboard!$C$17="All",J294=Dashboard!$C$17)),1,0)</f>
        <v>1</v>
      </c>
      <c r="O294" s="24">
        <f>IF(AND(L294=1,OR(Dashboard!$C$13="All",A294=Dashboard!$C$13),OR(Dashboard!$C$15="All",C294=Dashboard!$C$15),OR(Dashboard!$C$16="All",K294=Dashboard!$C$16),OR(Dashboard!$C$17="All",J294=Dashboard!$C$17)),1,0)</f>
        <v>1</v>
      </c>
      <c r="P294" s="24">
        <f>IF(AND(L294=1,OR(Dashboard!$C$13="All",A294=Dashboard!$C$13),OR(Dashboard!$C$14="All",B294=Dashboard!$C$14),OR(Dashboard!$C$15="All",C294=Dashboard!$C$15),OR(Dashboard!$C$17="All",J294=Dashboard!$C$17)),1,0)</f>
        <v>1</v>
      </c>
      <c r="Q294" s="24">
        <f>IF(AND(L294=1,OR(Dashboard!$C$14="All",B294=Dashboard!$C$14),OR(Dashboard!$C$15="All",C294=Dashboard!$C$15),OR(Dashboard!$C$16="All",K294=Dashboard!$C$16),OR(Dashboard!$C$17="All",J294=Dashboard!$C$17)),1,0)</f>
        <v>1</v>
      </c>
      <c r="R294" s="24">
        <f>IF(AND(L294=1,OR(Dashboard!$C$13="All",A294=Dashboard!$C$13),OR(Dashboard!$C$14="All",B294=Dashboard!$C$14),OR(Dashboard!$C$15="All",C294=Dashboard!$C$15),OR(Dashboard!$C$16="All",K294=Dashboard!$C$16)),1,0)</f>
        <v>1</v>
      </c>
      <c r="S294" s="24">
        <f t="shared" si="3"/>
        <v>293</v>
      </c>
      <c r="V294" s="24" t="s">
        <v>622</v>
      </c>
    </row>
    <row r="295" ht="15.75" customHeight="1">
      <c r="A295" s="10" t="s">
        <v>162</v>
      </c>
      <c r="B295" s="13"/>
      <c r="C295" s="10" t="s">
        <v>365</v>
      </c>
      <c r="D295" s="13">
        <v>1.0</v>
      </c>
      <c r="E295" s="17">
        <v>2265.0</v>
      </c>
      <c r="F295" s="15">
        <f t="shared" si="1"/>
        <v>2265</v>
      </c>
      <c r="G295" s="6">
        <v>46237.0</v>
      </c>
      <c r="H295" s="22">
        <v>19.0</v>
      </c>
      <c r="I295" s="16">
        <f t="shared" si="2"/>
        <v>46370</v>
      </c>
      <c r="J295" s="13" t="s">
        <v>25</v>
      </c>
      <c r="K295" s="13" t="s">
        <v>31</v>
      </c>
      <c r="L295" s="24">
        <f>IF(A295="","",IF(OR(G295="",AND(G295&gt;=Dashboard!$C$18,G295&lt;=Dashboard!$C$19)),1,0))</f>
        <v>1</v>
      </c>
      <c r="M295" s="24">
        <f>IF(AND(L295=1,OR(Dashboard!$C$13="All",A295=Dashboard!$C$13),OR(Dashboard!$C$14="All",B295=Dashboard!$C$14),OR(Dashboard!$C$15="All",C295=Dashboard!$C$15),OR(Dashboard!$C$16="All",K295=Dashboard!$C$16),OR(Dashboard!$C$17="All",J295=Dashboard!$C$17)),1,0)</f>
        <v>1</v>
      </c>
      <c r="N295" s="24">
        <f>IF(AND(L295=1,OR(Dashboard!$C$13="All",A295=Dashboard!$C$13),OR(Dashboard!$C$14="All",B295=Dashboard!$C$14),OR(Dashboard!$C$16="All",K295=Dashboard!$C$16),OR(Dashboard!$C$17="All",J295=Dashboard!$C$17)),1,0)</f>
        <v>1</v>
      </c>
      <c r="O295" s="24">
        <f>IF(AND(L295=1,OR(Dashboard!$C$13="All",A295=Dashboard!$C$13),OR(Dashboard!$C$15="All",C295=Dashboard!$C$15),OR(Dashboard!$C$16="All",K295=Dashboard!$C$16),OR(Dashboard!$C$17="All",J295=Dashboard!$C$17)),1,0)</f>
        <v>1</v>
      </c>
      <c r="P295" s="24">
        <f>IF(AND(L295=1,OR(Dashboard!$C$13="All",A295=Dashboard!$C$13),OR(Dashboard!$C$14="All",B295=Dashboard!$C$14),OR(Dashboard!$C$15="All",C295=Dashboard!$C$15),OR(Dashboard!$C$17="All",J295=Dashboard!$C$17)),1,0)</f>
        <v>1</v>
      </c>
      <c r="Q295" s="24">
        <f>IF(AND(L295=1,OR(Dashboard!$C$14="All",B295=Dashboard!$C$14),OR(Dashboard!$C$15="All",C295=Dashboard!$C$15),OR(Dashboard!$C$16="All",K295=Dashboard!$C$16),OR(Dashboard!$C$17="All",J295=Dashboard!$C$17)),1,0)</f>
        <v>1</v>
      </c>
      <c r="R295" s="24">
        <f>IF(AND(L295=1,OR(Dashboard!$C$13="All",A295=Dashboard!$C$13),OR(Dashboard!$C$14="All",B295=Dashboard!$C$14),OR(Dashboard!$C$15="All",C295=Dashboard!$C$15),OR(Dashboard!$C$16="All",K295=Dashboard!$C$16)),1,0)</f>
        <v>1</v>
      </c>
      <c r="S295" s="24">
        <f t="shared" si="3"/>
        <v>294</v>
      </c>
      <c r="V295" s="24" t="s">
        <v>606</v>
      </c>
    </row>
    <row r="296" ht="15.75" customHeight="1">
      <c r="A296" s="3" t="s">
        <v>162</v>
      </c>
      <c r="B296" s="4"/>
      <c r="C296" s="3" t="s">
        <v>623</v>
      </c>
      <c r="D296" s="4">
        <v>20.0</v>
      </c>
      <c r="E296" s="14">
        <v>45.0</v>
      </c>
      <c r="F296" s="5">
        <f t="shared" si="1"/>
        <v>900</v>
      </c>
      <c r="G296" s="6">
        <v>46238.0</v>
      </c>
      <c r="H296" s="22">
        <v>20.0</v>
      </c>
      <c r="I296" s="7">
        <f t="shared" si="2"/>
        <v>46378</v>
      </c>
      <c r="J296" s="4" t="s">
        <v>25</v>
      </c>
      <c r="K296" s="4" t="s">
        <v>31</v>
      </c>
      <c r="L296" s="24">
        <f>IF(A296="","",IF(OR(G296="",AND(G296&gt;=Dashboard!$C$18,G296&lt;=Dashboard!$C$19)),1,0))</f>
        <v>1</v>
      </c>
      <c r="M296" s="24">
        <f>IF(AND(L296=1,OR(Dashboard!$C$13="All",A296=Dashboard!$C$13),OR(Dashboard!$C$14="All",B296=Dashboard!$C$14),OR(Dashboard!$C$15="All",C296=Dashboard!$C$15),OR(Dashboard!$C$16="All",K296=Dashboard!$C$16),OR(Dashboard!$C$17="All",J296=Dashboard!$C$17)),1,0)</f>
        <v>1</v>
      </c>
      <c r="N296" s="24">
        <f>IF(AND(L296=1,OR(Dashboard!$C$13="All",A296=Dashboard!$C$13),OR(Dashboard!$C$14="All",B296=Dashboard!$C$14),OR(Dashboard!$C$16="All",K296=Dashboard!$C$16),OR(Dashboard!$C$17="All",J296=Dashboard!$C$17)),1,0)</f>
        <v>1</v>
      </c>
      <c r="O296" s="24">
        <f>IF(AND(L296=1,OR(Dashboard!$C$13="All",A296=Dashboard!$C$13),OR(Dashboard!$C$15="All",C296=Dashboard!$C$15),OR(Dashboard!$C$16="All",K296=Dashboard!$C$16),OR(Dashboard!$C$17="All",J296=Dashboard!$C$17)),1,0)</f>
        <v>1</v>
      </c>
      <c r="P296" s="24">
        <f>IF(AND(L296=1,OR(Dashboard!$C$13="All",A296=Dashboard!$C$13),OR(Dashboard!$C$14="All",B296=Dashboard!$C$14),OR(Dashboard!$C$15="All",C296=Dashboard!$C$15),OR(Dashboard!$C$17="All",J296=Dashboard!$C$17)),1,0)</f>
        <v>1</v>
      </c>
      <c r="Q296" s="24">
        <f>IF(AND(L296=1,OR(Dashboard!$C$14="All",B296=Dashboard!$C$14),OR(Dashboard!$C$15="All",C296=Dashboard!$C$15),OR(Dashboard!$C$16="All",K296=Dashboard!$C$16),OR(Dashboard!$C$17="All",J296=Dashboard!$C$17)),1,0)</f>
        <v>1</v>
      </c>
      <c r="R296" s="24">
        <f>IF(AND(L296=1,OR(Dashboard!$C$13="All",A296=Dashboard!$C$13),OR(Dashboard!$C$14="All",B296=Dashboard!$C$14),OR(Dashboard!$C$15="All",C296=Dashboard!$C$15),OR(Dashboard!$C$16="All",K296=Dashboard!$C$16)),1,0)</f>
        <v>1</v>
      </c>
      <c r="S296" s="24">
        <f t="shared" si="3"/>
        <v>295</v>
      </c>
      <c r="V296" s="24" t="s">
        <v>260</v>
      </c>
    </row>
    <row r="297" ht="15.75" customHeight="1">
      <c r="A297" s="10" t="s">
        <v>162</v>
      </c>
      <c r="B297" s="13"/>
      <c r="C297" s="10" t="s">
        <v>586</v>
      </c>
      <c r="D297" s="13">
        <v>1.0</v>
      </c>
      <c r="E297" s="17">
        <v>5554.0</v>
      </c>
      <c r="F297" s="15">
        <f t="shared" si="1"/>
        <v>5554</v>
      </c>
      <c r="G297" s="6">
        <v>46239.0</v>
      </c>
      <c r="H297" s="22">
        <v>17.0</v>
      </c>
      <c r="I297" s="16">
        <f t="shared" si="2"/>
        <v>46358</v>
      </c>
      <c r="J297" s="13" t="s">
        <v>25</v>
      </c>
      <c r="K297" s="13" t="s">
        <v>31</v>
      </c>
      <c r="L297" s="24">
        <f>IF(A297="","",IF(OR(G297="",AND(G297&gt;=Dashboard!$C$18,G297&lt;=Dashboard!$C$19)),1,0))</f>
        <v>1</v>
      </c>
      <c r="M297" s="24">
        <f>IF(AND(L297=1,OR(Dashboard!$C$13="All",A297=Dashboard!$C$13),OR(Dashboard!$C$14="All",B297=Dashboard!$C$14),OR(Dashboard!$C$15="All",C297=Dashboard!$C$15),OR(Dashboard!$C$16="All",K297=Dashboard!$C$16),OR(Dashboard!$C$17="All",J297=Dashboard!$C$17)),1,0)</f>
        <v>1</v>
      </c>
      <c r="N297" s="24">
        <f>IF(AND(L297=1,OR(Dashboard!$C$13="All",A297=Dashboard!$C$13),OR(Dashboard!$C$14="All",B297=Dashboard!$C$14),OR(Dashboard!$C$16="All",K297=Dashboard!$C$16),OR(Dashboard!$C$17="All",J297=Dashboard!$C$17)),1,0)</f>
        <v>1</v>
      </c>
      <c r="O297" s="24">
        <f>IF(AND(L297=1,OR(Dashboard!$C$13="All",A297=Dashboard!$C$13),OR(Dashboard!$C$15="All",C297=Dashboard!$C$15),OR(Dashboard!$C$16="All",K297=Dashboard!$C$16),OR(Dashboard!$C$17="All",J297=Dashboard!$C$17)),1,0)</f>
        <v>1</v>
      </c>
      <c r="P297" s="24">
        <f>IF(AND(L297=1,OR(Dashboard!$C$13="All",A297=Dashboard!$C$13),OR(Dashboard!$C$14="All",B297=Dashboard!$C$14),OR(Dashboard!$C$15="All",C297=Dashboard!$C$15),OR(Dashboard!$C$17="All",J297=Dashboard!$C$17)),1,0)</f>
        <v>1</v>
      </c>
      <c r="Q297" s="24">
        <f>IF(AND(L297=1,OR(Dashboard!$C$14="All",B297=Dashboard!$C$14),OR(Dashboard!$C$15="All",C297=Dashboard!$C$15),OR(Dashboard!$C$16="All",K297=Dashboard!$C$16),OR(Dashboard!$C$17="All",J297=Dashboard!$C$17)),1,0)</f>
        <v>1</v>
      </c>
      <c r="R297" s="24">
        <f>IF(AND(L297=1,OR(Dashboard!$C$13="All",A297=Dashboard!$C$13),OR(Dashboard!$C$14="All",B297=Dashboard!$C$14),OR(Dashboard!$C$15="All",C297=Dashboard!$C$15),OR(Dashboard!$C$16="All",K297=Dashboard!$C$16)),1,0)</f>
        <v>1</v>
      </c>
      <c r="S297" s="24">
        <f t="shared" si="3"/>
        <v>296</v>
      </c>
      <c r="V297" s="24" t="s">
        <v>624</v>
      </c>
    </row>
    <row r="298" ht="15.75" customHeight="1">
      <c r="A298" s="3" t="s">
        <v>162</v>
      </c>
      <c r="B298" s="4"/>
      <c r="C298" s="3" t="s">
        <v>625</v>
      </c>
      <c r="D298" s="4">
        <v>1.0</v>
      </c>
      <c r="E298" s="14">
        <v>41.0</v>
      </c>
      <c r="F298" s="5">
        <f t="shared" si="1"/>
        <v>41</v>
      </c>
      <c r="G298" s="6">
        <v>46240.0</v>
      </c>
      <c r="H298" s="22">
        <v>20.0</v>
      </c>
      <c r="I298" s="7">
        <f t="shared" si="2"/>
        <v>46380</v>
      </c>
      <c r="J298" s="4" t="s">
        <v>25</v>
      </c>
      <c r="K298" s="4" t="s">
        <v>31</v>
      </c>
      <c r="L298" s="24">
        <f>IF(A298="","",IF(OR(G298="",AND(G298&gt;=Dashboard!$C$18,G298&lt;=Dashboard!$C$19)),1,0))</f>
        <v>1</v>
      </c>
      <c r="M298" s="24">
        <f>IF(AND(L298=1,OR(Dashboard!$C$13="All",A298=Dashboard!$C$13),OR(Dashboard!$C$14="All",B298=Dashboard!$C$14),OR(Dashboard!$C$15="All",C298=Dashboard!$C$15),OR(Dashboard!$C$16="All",K298=Dashboard!$C$16),OR(Dashboard!$C$17="All",J298=Dashboard!$C$17)),1,0)</f>
        <v>1</v>
      </c>
      <c r="N298" s="24">
        <f>IF(AND(L298=1,OR(Dashboard!$C$13="All",A298=Dashboard!$C$13),OR(Dashboard!$C$14="All",B298=Dashboard!$C$14),OR(Dashboard!$C$16="All",K298=Dashboard!$C$16),OR(Dashboard!$C$17="All",J298=Dashboard!$C$17)),1,0)</f>
        <v>1</v>
      </c>
      <c r="O298" s="24">
        <f>IF(AND(L298=1,OR(Dashboard!$C$13="All",A298=Dashboard!$C$13),OR(Dashboard!$C$15="All",C298=Dashboard!$C$15),OR(Dashboard!$C$16="All",K298=Dashboard!$C$16),OR(Dashboard!$C$17="All",J298=Dashboard!$C$17)),1,0)</f>
        <v>1</v>
      </c>
      <c r="P298" s="24">
        <f>IF(AND(L298=1,OR(Dashboard!$C$13="All",A298=Dashboard!$C$13),OR(Dashboard!$C$14="All",B298=Dashboard!$C$14),OR(Dashboard!$C$15="All",C298=Dashboard!$C$15),OR(Dashboard!$C$17="All",J298=Dashboard!$C$17)),1,0)</f>
        <v>1</v>
      </c>
      <c r="Q298" s="24">
        <f>IF(AND(L298=1,OR(Dashboard!$C$14="All",B298=Dashboard!$C$14),OR(Dashboard!$C$15="All",C298=Dashboard!$C$15),OR(Dashboard!$C$16="All",K298=Dashboard!$C$16),OR(Dashboard!$C$17="All",J298=Dashboard!$C$17)),1,0)</f>
        <v>1</v>
      </c>
      <c r="R298" s="24">
        <f>IF(AND(L298=1,OR(Dashboard!$C$13="All",A298=Dashboard!$C$13),OR(Dashboard!$C$14="All",B298=Dashboard!$C$14),OR(Dashboard!$C$15="All",C298=Dashboard!$C$15),OR(Dashboard!$C$16="All",K298=Dashboard!$C$16)),1,0)</f>
        <v>1</v>
      </c>
      <c r="S298" s="24">
        <f t="shared" si="3"/>
        <v>297</v>
      </c>
      <c r="V298" s="24" t="s">
        <v>86</v>
      </c>
    </row>
    <row r="299" ht="15.75" customHeight="1">
      <c r="A299" s="10" t="s">
        <v>180</v>
      </c>
      <c r="B299" s="13"/>
      <c r="C299" s="10" t="s">
        <v>626</v>
      </c>
      <c r="D299" s="13">
        <v>1.0</v>
      </c>
      <c r="E299" s="17">
        <v>231.0</v>
      </c>
      <c r="F299" s="15">
        <f t="shared" si="1"/>
        <v>231</v>
      </c>
      <c r="G299" s="6">
        <v>46241.0</v>
      </c>
      <c r="H299" s="22">
        <v>18.0</v>
      </c>
      <c r="I299" s="16">
        <f t="shared" si="2"/>
        <v>46367</v>
      </c>
      <c r="J299" s="13" t="s">
        <v>25</v>
      </c>
      <c r="K299" s="13" t="s">
        <v>31</v>
      </c>
      <c r="L299" s="24">
        <f>IF(A299="","",IF(OR(G299="",AND(G299&gt;=Dashboard!$C$18,G299&lt;=Dashboard!$C$19)),1,0))</f>
        <v>1</v>
      </c>
      <c r="M299" s="24">
        <f>IF(AND(L299=1,OR(Dashboard!$C$13="All",A299=Dashboard!$C$13),OR(Dashboard!$C$14="All",B299=Dashboard!$C$14),OR(Dashboard!$C$15="All",C299=Dashboard!$C$15),OR(Dashboard!$C$16="All",K299=Dashboard!$C$16),OR(Dashboard!$C$17="All",J299=Dashboard!$C$17)),1,0)</f>
        <v>1</v>
      </c>
      <c r="N299" s="24">
        <f>IF(AND(L299=1,OR(Dashboard!$C$13="All",A299=Dashboard!$C$13),OR(Dashboard!$C$14="All",B299=Dashboard!$C$14),OR(Dashboard!$C$16="All",K299=Dashboard!$C$16),OR(Dashboard!$C$17="All",J299=Dashboard!$C$17)),1,0)</f>
        <v>1</v>
      </c>
      <c r="O299" s="24">
        <f>IF(AND(L299=1,OR(Dashboard!$C$13="All",A299=Dashboard!$C$13),OR(Dashboard!$C$15="All",C299=Dashboard!$C$15),OR(Dashboard!$C$16="All",K299=Dashboard!$C$16),OR(Dashboard!$C$17="All",J299=Dashboard!$C$17)),1,0)</f>
        <v>1</v>
      </c>
      <c r="P299" s="24">
        <f>IF(AND(L299=1,OR(Dashboard!$C$13="All",A299=Dashboard!$C$13),OR(Dashboard!$C$14="All",B299=Dashboard!$C$14),OR(Dashboard!$C$15="All",C299=Dashboard!$C$15),OR(Dashboard!$C$17="All",J299=Dashboard!$C$17)),1,0)</f>
        <v>1</v>
      </c>
      <c r="Q299" s="24">
        <f>IF(AND(L299=1,OR(Dashboard!$C$14="All",B299=Dashboard!$C$14),OR(Dashboard!$C$15="All",C299=Dashboard!$C$15),OR(Dashboard!$C$16="All",K299=Dashboard!$C$16),OR(Dashboard!$C$17="All",J299=Dashboard!$C$17)),1,0)</f>
        <v>1</v>
      </c>
      <c r="R299" s="24">
        <f>IF(AND(L299=1,OR(Dashboard!$C$13="All",A299=Dashboard!$C$13),OR(Dashboard!$C$14="All",B299=Dashboard!$C$14),OR(Dashboard!$C$15="All",C299=Dashboard!$C$15),OR(Dashboard!$C$16="All",K299=Dashboard!$C$16)),1,0)</f>
        <v>1</v>
      </c>
      <c r="S299" s="24">
        <f t="shared" si="3"/>
        <v>298</v>
      </c>
      <c r="V299" s="24" t="s">
        <v>601</v>
      </c>
    </row>
    <row r="300" ht="15.75" customHeight="1">
      <c r="A300" s="3" t="s">
        <v>180</v>
      </c>
      <c r="B300" s="4"/>
      <c r="C300" s="3" t="s">
        <v>627</v>
      </c>
      <c r="D300" s="4">
        <v>1.0</v>
      </c>
      <c r="E300" s="14">
        <v>25.0</v>
      </c>
      <c r="F300" s="5">
        <f t="shared" si="1"/>
        <v>25</v>
      </c>
      <c r="G300" s="6">
        <v>46242.0</v>
      </c>
      <c r="H300" s="22">
        <v>20.0</v>
      </c>
      <c r="I300" s="7">
        <f t="shared" si="2"/>
        <v>46382</v>
      </c>
      <c r="J300" s="4" t="s">
        <v>25</v>
      </c>
      <c r="K300" s="4" t="s">
        <v>31</v>
      </c>
      <c r="L300" s="24">
        <f>IF(A300="","",IF(OR(G300="",AND(G300&gt;=Dashboard!$C$18,G300&lt;=Dashboard!$C$19)),1,0))</f>
        <v>1</v>
      </c>
      <c r="M300" s="24">
        <f>IF(AND(L300=1,OR(Dashboard!$C$13="All",A300=Dashboard!$C$13),OR(Dashboard!$C$14="All",B300=Dashboard!$C$14),OR(Dashboard!$C$15="All",C300=Dashboard!$C$15),OR(Dashboard!$C$16="All",K300=Dashboard!$C$16),OR(Dashboard!$C$17="All",J300=Dashboard!$C$17)),1,0)</f>
        <v>1</v>
      </c>
      <c r="N300" s="24">
        <f>IF(AND(L300=1,OR(Dashboard!$C$13="All",A300=Dashboard!$C$13),OR(Dashboard!$C$14="All",B300=Dashboard!$C$14),OR(Dashboard!$C$16="All",K300=Dashboard!$C$16),OR(Dashboard!$C$17="All",J300=Dashboard!$C$17)),1,0)</f>
        <v>1</v>
      </c>
      <c r="O300" s="24">
        <f>IF(AND(L300=1,OR(Dashboard!$C$13="All",A300=Dashboard!$C$13),OR(Dashboard!$C$15="All",C300=Dashboard!$C$15),OR(Dashboard!$C$16="All",K300=Dashboard!$C$16),OR(Dashboard!$C$17="All",J300=Dashboard!$C$17)),1,0)</f>
        <v>1</v>
      </c>
      <c r="P300" s="24">
        <f>IF(AND(L300=1,OR(Dashboard!$C$13="All",A300=Dashboard!$C$13),OR(Dashboard!$C$14="All",B300=Dashboard!$C$14),OR(Dashboard!$C$15="All",C300=Dashboard!$C$15),OR(Dashboard!$C$17="All",J300=Dashboard!$C$17)),1,0)</f>
        <v>1</v>
      </c>
      <c r="Q300" s="24">
        <f>IF(AND(L300=1,OR(Dashboard!$C$14="All",B300=Dashboard!$C$14),OR(Dashboard!$C$15="All",C300=Dashboard!$C$15),OR(Dashboard!$C$16="All",K300=Dashboard!$C$16),OR(Dashboard!$C$17="All",J300=Dashboard!$C$17)),1,0)</f>
        <v>1</v>
      </c>
      <c r="R300" s="24">
        <f>IF(AND(L300=1,OR(Dashboard!$C$13="All",A300=Dashboard!$C$13),OR(Dashboard!$C$14="All",B300=Dashboard!$C$14),OR(Dashboard!$C$15="All",C300=Dashboard!$C$15),OR(Dashboard!$C$16="All",K300=Dashboard!$C$16)),1,0)</f>
        <v>1</v>
      </c>
      <c r="S300" s="24">
        <f t="shared" si="3"/>
        <v>299</v>
      </c>
      <c r="V300" s="24" t="s">
        <v>603</v>
      </c>
    </row>
    <row r="301" ht="15.75" customHeight="1">
      <c r="A301" s="10" t="s">
        <v>335</v>
      </c>
      <c r="B301" s="13"/>
      <c r="C301" s="10" t="s">
        <v>68</v>
      </c>
      <c r="D301" s="13">
        <v>1.0</v>
      </c>
      <c r="E301" s="17">
        <v>245.0</v>
      </c>
      <c r="F301" s="15">
        <f t="shared" si="1"/>
        <v>245</v>
      </c>
      <c r="G301" s="6">
        <v>46243.0</v>
      </c>
      <c r="H301" s="22">
        <v>19.0</v>
      </c>
      <c r="I301" s="16">
        <f t="shared" si="2"/>
        <v>46376</v>
      </c>
      <c r="J301" s="13" t="s">
        <v>25</v>
      </c>
      <c r="K301" s="13" t="s">
        <v>31</v>
      </c>
      <c r="L301" s="24">
        <f>IF(A301="","",IF(OR(G301="",AND(G301&gt;=Dashboard!$C$18,G301&lt;=Dashboard!$C$19)),1,0))</f>
        <v>1</v>
      </c>
      <c r="M301" s="24">
        <f>IF(AND(L301=1,OR(Dashboard!$C$13="All",A301=Dashboard!$C$13),OR(Dashboard!$C$14="All",B301=Dashboard!$C$14),OR(Dashboard!$C$15="All",C301=Dashboard!$C$15),OR(Dashboard!$C$16="All",K301=Dashboard!$C$16),OR(Dashboard!$C$17="All",J301=Dashboard!$C$17)),1,0)</f>
        <v>1</v>
      </c>
      <c r="N301" s="24">
        <f>IF(AND(L301=1,OR(Dashboard!$C$13="All",A301=Dashboard!$C$13),OR(Dashboard!$C$14="All",B301=Dashboard!$C$14),OR(Dashboard!$C$16="All",K301=Dashboard!$C$16),OR(Dashboard!$C$17="All",J301=Dashboard!$C$17)),1,0)</f>
        <v>1</v>
      </c>
      <c r="O301" s="24">
        <f>IF(AND(L301=1,OR(Dashboard!$C$13="All",A301=Dashboard!$C$13),OR(Dashboard!$C$15="All",C301=Dashboard!$C$15),OR(Dashboard!$C$16="All",K301=Dashboard!$C$16),OR(Dashboard!$C$17="All",J301=Dashboard!$C$17)),1,0)</f>
        <v>1</v>
      </c>
      <c r="P301" s="24">
        <f>IF(AND(L301=1,OR(Dashboard!$C$13="All",A301=Dashboard!$C$13),OR(Dashboard!$C$14="All",B301=Dashboard!$C$14),OR(Dashboard!$C$15="All",C301=Dashboard!$C$15),OR(Dashboard!$C$17="All",J301=Dashboard!$C$17)),1,0)</f>
        <v>1</v>
      </c>
      <c r="Q301" s="24">
        <f>IF(AND(L301=1,OR(Dashboard!$C$14="All",B301=Dashboard!$C$14),OR(Dashboard!$C$15="All",C301=Dashboard!$C$15),OR(Dashboard!$C$16="All",K301=Dashboard!$C$16),OR(Dashboard!$C$17="All",J301=Dashboard!$C$17)),1,0)</f>
        <v>1</v>
      </c>
      <c r="R301" s="24">
        <f>IF(AND(L301=1,OR(Dashboard!$C$13="All",A301=Dashboard!$C$13),OR(Dashboard!$C$14="All",B301=Dashboard!$C$14),OR(Dashboard!$C$15="All",C301=Dashboard!$C$15),OR(Dashboard!$C$16="All",K301=Dashboard!$C$16)),1,0)</f>
        <v>1</v>
      </c>
      <c r="S301" s="24">
        <f t="shared" si="3"/>
        <v>300</v>
      </c>
      <c r="V301" s="24" t="s">
        <v>127</v>
      </c>
    </row>
    <row r="302" ht="15.75" customHeight="1">
      <c r="A302" s="3" t="s">
        <v>335</v>
      </c>
      <c r="B302" s="4"/>
      <c r="C302" s="3" t="s">
        <v>96</v>
      </c>
      <c r="D302" s="4">
        <v>1.0</v>
      </c>
      <c r="E302" s="14">
        <v>2555.0</v>
      </c>
      <c r="F302" s="5">
        <f t="shared" si="1"/>
        <v>2555</v>
      </c>
      <c r="G302" s="6">
        <v>46244.0</v>
      </c>
      <c r="H302" s="22">
        <v>19.0</v>
      </c>
      <c r="I302" s="7">
        <f t="shared" si="2"/>
        <v>46377</v>
      </c>
      <c r="J302" s="4" t="s">
        <v>25</v>
      </c>
      <c r="K302" s="4" t="s">
        <v>31</v>
      </c>
      <c r="L302" s="24">
        <f>IF(A302="","",IF(OR(G302="",AND(G302&gt;=Dashboard!$C$18,G302&lt;=Dashboard!$C$19)),1,0))</f>
        <v>1</v>
      </c>
      <c r="M302" s="24">
        <f>IF(AND(L302=1,OR(Dashboard!$C$13="All",A302=Dashboard!$C$13),OR(Dashboard!$C$14="All",B302=Dashboard!$C$14),OR(Dashboard!$C$15="All",C302=Dashboard!$C$15),OR(Dashboard!$C$16="All",K302=Dashboard!$C$16),OR(Dashboard!$C$17="All",J302=Dashboard!$C$17)),1,0)</f>
        <v>1</v>
      </c>
      <c r="N302" s="24">
        <f>IF(AND(L302=1,OR(Dashboard!$C$13="All",A302=Dashboard!$C$13),OR(Dashboard!$C$14="All",B302=Dashboard!$C$14),OR(Dashboard!$C$16="All",K302=Dashboard!$C$16),OR(Dashboard!$C$17="All",J302=Dashboard!$C$17)),1,0)</f>
        <v>1</v>
      </c>
      <c r="O302" s="24">
        <f>IF(AND(L302=1,OR(Dashboard!$C$13="All",A302=Dashboard!$C$13),OR(Dashboard!$C$15="All",C302=Dashboard!$C$15),OR(Dashboard!$C$16="All",K302=Dashboard!$C$16),OR(Dashboard!$C$17="All",J302=Dashboard!$C$17)),1,0)</f>
        <v>1</v>
      </c>
      <c r="P302" s="24">
        <f>IF(AND(L302=1,OR(Dashboard!$C$13="All",A302=Dashboard!$C$13),OR(Dashboard!$C$14="All",B302=Dashboard!$C$14),OR(Dashboard!$C$15="All",C302=Dashboard!$C$15),OR(Dashboard!$C$17="All",J302=Dashboard!$C$17)),1,0)</f>
        <v>1</v>
      </c>
      <c r="Q302" s="24">
        <f>IF(AND(L302=1,OR(Dashboard!$C$14="All",B302=Dashboard!$C$14),OR(Dashboard!$C$15="All",C302=Dashboard!$C$15),OR(Dashboard!$C$16="All",K302=Dashboard!$C$16),OR(Dashboard!$C$17="All",J302=Dashboard!$C$17)),1,0)</f>
        <v>1</v>
      </c>
      <c r="R302" s="24">
        <f>IF(AND(L302=1,OR(Dashboard!$C$13="All",A302=Dashboard!$C$13),OR(Dashboard!$C$14="All",B302=Dashboard!$C$14),OR(Dashboard!$C$15="All",C302=Dashboard!$C$15),OR(Dashboard!$C$16="All",K302=Dashboard!$C$16)),1,0)</f>
        <v>1</v>
      </c>
      <c r="S302" s="24">
        <f t="shared" si="3"/>
        <v>301</v>
      </c>
      <c r="V302" s="24" t="s">
        <v>554</v>
      </c>
    </row>
    <row r="303" ht="15.75" customHeight="1">
      <c r="A303" s="10" t="s">
        <v>335</v>
      </c>
      <c r="B303" s="13"/>
      <c r="C303" s="10" t="s">
        <v>379</v>
      </c>
      <c r="D303" s="13">
        <v>1.0</v>
      </c>
      <c r="E303" s="17">
        <v>255.0</v>
      </c>
      <c r="F303" s="15">
        <f t="shared" si="1"/>
        <v>255</v>
      </c>
      <c r="G303" s="6">
        <v>46245.0</v>
      </c>
      <c r="H303" s="22">
        <v>20.0</v>
      </c>
      <c r="I303" s="16">
        <f t="shared" si="2"/>
        <v>46385</v>
      </c>
      <c r="J303" s="13" t="s">
        <v>25</v>
      </c>
      <c r="K303" s="13" t="s">
        <v>31</v>
      </c>
      <c r="L303" s="24">
        <f>IF(A303="","",IF(OR(G303="",AND(G303&gt;=Dashboard!$C$18,G303&lt;=Dashboard!$C$19)),1,0))</f>
        <v>1</v>
      </c>
      <c r="M303" s="24">
        <f>IF(AND(L303=1,OR(Dashboard!$C$13="All",A303=Dashboard!$C$13),OR(Dashboard!$C$14="All",B303=Dashboard!$C$14),OR(Dashboard!$C$15="All",C303=Dashboard!$C$15),OR(Dashboard!$C$16="All",K303=Dashboard!$C$16),OR(Dashboard!$C$17="All",J303=Dashboard!$C$17)),1,0)</f>
        <v>1</v>
      </c>
      <c r="N303" s="24">
        <f>IF(AND(L303=1,OR(Dashboard!$C$13="All",A303=Dashboard!$C$13),OR(Dashboard!$C$14="All",B303=Dashboard!$C$14),OR(Dashboard!$C$16="All",K303=Dashboard!$C$16),OR(Dashboard!$C$17="All",J303=Dashboard!$C$17)),1,0)</f>
        <v>1</v>
      </c>
      <c r="O303" s="24">
        <f>IF(AND(L303=1,OR(Dashboard!$C$13="All",A303=Dashboard!$C$13),OR(Dashboard!$C$15="All",C303=Dashboard!$C$15),OR(Dashboard!$C$16="All",K303=Dashboard!$C$16),OR(Dashboard!$C$17="All",J303=Dashboard!$C$17)),1,0)</f>
        <v>1</v>
      </c>
      <c r="P303" s="24">
        <f>IF(AND(L303=1,OR(Dashboard!$C$13="All",A303=Dashboard!$C$13),OR(Dashboard!$C$14="All",B303=Dashboard!$C$14),OR(Dashboard!$C$15="All",C303=Dashboard!$C$15),OR(Dashboard!$C$17="All",J303=Dashboard!$C$17)),1,0)</f>
        <v>1</v>
      </c>
      <c r="Q303" s="24">
        <f>IF(AND(L303=1,OR(Dashboard!$C$14="All",B303=Dashboard!$C$14),OR(Dashboard!$C$15="All",C303=Dashboard!$C$15),OR(Dashboard!$C$16="All",K303=Dashboard!$C$16),OR(Dashboard!$C$17="All",J303=Dashboard!$C$17)),1,0)</f>
        <v>1</v>
      </c>
      <c r="R303" s="24">
        <f>IF(AND(L303=1,OR(Dashboard!$C$13="All",A303=Dashboard!$C$13),OR(Dashboard!$C$14="All",B303=Dashboard!$C$14),OR(Dashboard!$C$15="All",C303=Dashboard!$C$15),OR(Dashboard!$C$16="All",K303=Dashboard!$C$16)),1,0)</f>
        <v>1</v>
      </c>
      <c r="S303" s="24">
        <f t="shared" si="3"/>
        <v>302</v>
      </c>
      <c r="V303" s="24" t="s">
        <v>255</v>
      </c>
    </row>
    <row r="304" ht="15.75" customHeight="1">
      <c r="A304" s="3" t="s">
        <v>335</v>
      </c>
      <c r="B304" s="4"/>
      <c r="C304" s="3" t="s">
        <v>381</v>
      </c>
      <c r="D304" s="4">
        <v>1.0</v>
      </c>
      <c r="E304" s="14">
        <v>45.0</v>
      </c>
      <c r="F304" s="5">
        <f t="shared" si="1"/>
        <v>45</v>
      </c>
      <c r="G304" s="6">
        <v>46246.0</v>
      </c>
      <c r="H304" s="22">
        <v>21.0</v>
      </c>
      <c r="I304" s="7">
        <f t="shared" si="2"/>
        <v>46393</v>
      </c>
      <c r="J304" s="4" t="s">
        <v>25</v>
      </c>
      <c r="K304" s="4" t="s">
        <v>31</v>
      </c>
      <c r="L304" s="24">
        <f>IF(A304="","",IF(OR(G304="",AND(G304&gt;=Dashboard!$C$18,G304&lt;=Dashboard!$C$19)),1,0))</f>
        <v>1</v>
      </c>
      <c r="M304" s="24">
        <f>IF(AND(L304=1,OR(Dashboard!$C$13="All",A304=Dashboard!$C$13),OR(Dashboard!$C$14="All",B304=Dashboard!$C$14),OR(Dashboard!$C$15="All",C304=Dashboard!$C$15),OR(Dashboard!$C$16="All",K304=Dashboard!$C$16),OR(Dashboard!$C$17="All",J304=Dashboard!$C$17)),1,0)</f>
        <v>1</v>
      </c>
      <c r="N304" s="24">
        <f>IF(AND(L304=1,OR(Dashboard!$C$13="All",A304=Dashboard!$C$13),OR(Dashboard!$C$14="All",B304=Dashboard!$C$14),OR(Dashboard!$C$16="All",K304=Dashboard!$C$16),OR(Dashboard!$C$17="All",J304=Dashboard!$C$17)),1,0)</f>
        <v>1</v>
      </c>
      <c r="O304" s="24">
        <f>IF(AND(L304=1,OR(Dashboard!$C$13="All",A304=Dashboard!$C$13),OR(Dashboard!$C$15="All",C304=Dashboard!$C$15),OR(Dashboard!$C$16="All",K304=Dashboard!$C$16),OR(Dashboard!$C$17="All",J304=Dashboard!$C$17)),1,0)</f>
        <v>1</v>
      </c>
      <c r="P304" s="24">
        <f>IF(AND(L304=1,OR(Dashboard!$C$13="All",A304=Dashboard!$C$13),OR(Dashboard!$C$14="All",B304=Dashboard!$C$14),OR(Dashboard!$C$15="All",C304=Dashboard!$C$15),OR(Dashboard!$C$17="All",J304=Dashboard!$C$17)),1,0)</f>
        <v>1</v>
      </c>
      <c r="Q304" s="24">
        <f>IF(AND(L304=1,OR(Dashboard!$C$14="All",B304=Dashboard!$C$14),OR(Dashboard!$C$15="All",C304=Dashboard!$C$15),OR(Dashboard!$C$16="All",K304=Dashboard!$C$16),OR(Dashboard!$C$17="All",J304=Dashboard!$C$17)),1,0)</f>
        <v>1</v>
      </c>
      <c r="R304" s="24">
        <f>IF(AND(L304=1,OR(Dashboard!$C$13="All",A304=Dashboard!$C$13),OR(Dashboard!$C$14="All",B304=Dashboard!$C$14),OR(Dashboard!$C$15="All",C304=Dashboard!$C$15),OR(Dashboard!$C$16="All",K304=Dashboard!$C$16)),1,0)</f>
        <v>1</v>
      </c>
      <c r="S304" s="24">
        <f t="shared" si="3"/>
        <v>303</v>
      </c>
      <c r="V304" s="24" t="s">
        <v>585</v>
      </c>
    </row>
    <row r="305" ht="15.75" customHeight="1">
      <c r="A305" s="10" t="s">
        <v>335</v>
      </c>
      <c r="B305" s="13"/>
      <c r="C305" s="10" t="s">
        <v>102</v>
      </c>
      <c r="D305" s="13">
        <v>1.0</v>
      </c>
      <c r="E305" s="17">
        <v>36.0</v>
      </c>
      <c r="F305" s="15">
        <f t="shared" si="1"/>
        <v>36</v>
      </c>
      <c r="G305" s="6">
        <v>46247.0</v>
      </c>
      <c r="H305" s="22">
        <v>24.0</v>
      </c>
      <c r="I305" s="16">
        <f t="shared" si="2"/>
        <v>46415</v>
      </c>
      <c r="J305" s="13" t="s">
        <v>25</v>
      </c>
      <c r="K305" s="13" t="s">
        <v>31</v>
      </c>
      <c r="L305" s="24">
        <f>IF(A305="","",IF(OR(G305="",AND(G305&gt;=Dashboard!$C$18,G305&lt;=Dashboard!$C$19)),1,0))</f>
        <v>1</v>
      </c>
      <c r="M305" s="24">
        <f>IF(AND(L305=1,OR(Dashboard!$C$13="All",A305=Dashboard!$C$13),OR(Dashboard!$C$14="All",B305=Dashboard!$C$14),OR(Dashboard!$C$15="All",C305=Dashboard!$C$15),OR(Dashboard!$C$16="All",K305=Dashboard!$C$16),OR(Dashboard!$C$17="All",J305=Dashboard!$C$17)),1,0)</f>
        <v>1</v>
      </c>
      <c r="N305" s="24">
        <f>IF(AND(L305=1,OR(Dashboard!$C$13="All",A305=Dashboard!$C$13),OR(Dashboard!$C$14="All",B305=Dashboard!$C$14),OR(Dashboard!$C$16="All",K305=Dashboard!$C$16),OR(Dashboard!$C$17="All",J305=Dashboard!$C$17)),1,0)</f>
        <v>1</v>
      </c>
      <c r="O305" s="24">
        <f>IF(AND(L305=1,OR(Dashboard!$C$13="All",A305=Dashboard!$C$13),OR(Dashboard!$C$15="All",C305=Dashboard!$C$15),OR(Dashboard!$C$16="All",K305=Dashboard!$C$16),OR(Dashboard!$C$17="All",J305=Dashboard!$C$17)),1,0)</f>
        <v>1</v>
      </c>
      <c r="P305" s="24">
        <f>IF(AND(L305=1,OR(Dashboard!$C$13="All",A305=Dashboard!$C$13),OR(Dashboard!$C$14="All",B305=Dashboard!$C$14),OR(Dashboard!$C$15="All",C305=Dashboard!$C$15),OR(Dashboard!$C$17="All",J305=Dashboard!$C$17)),1,0)</f>
        <v>1</v>
      </c>
      <c r="Q305" s="24">
        <f>IF(AND(L305=1,OR(Dashboard!$C$14="All",B305=Dashboard!$C$14),OR(Dashboard!$C$15="All",C305=Dashboard!$C$15),OR(Dashboard!$C$16="All",K305=Dashboard!$C$16),OR(Dashboard!$C$17="All",J305=Dashboard!$C$17)),1,0)</f>
        <v>1</v>
      </c>
      <c r="R305" s="24">
        <f>IF(AND(L305=1,OR(Dashboard!$C$13="All",A305=Dashboard!$C$13),OR(Dashboard!$C$14="All",B305=Dashboard!$C$14),OR(Dashboard!$C$15="All",C305=Dashboard!$C$15),OR(Dashboard!$C$16="All",K305=Dashboard!$C$16)),1,0)</f>
        <v>1</v>
      </c>
      <c r="S305" s="24">
        <f t="shared" si="3"/>
        <v>304</v>
      </c>
      <c r="V305" s="24" t="s">
        <v>628</v>
      </c>
    </row>
    <row r="306" ht="15.75" customHeight="1">
      <c r="A306" s="3" t="s">
        <v>335</v>
      </c>
      <c r="B306" s="4"/>
      <c r="C306" s="3" t="s">
        <v>75</v>
      </c>
      <c r="D306" s="4">
        <v>1.0</v>
      </c>
      <c r="E306" s="14">
        <v>96.0</v>
      </c>
      <c r="F306" s="5">
        <f t="shared" si="1"/>
        <v>96</v>
      </c>
      <c r="G306" s="6">
        <v>46248.0</v>
      </c>
      <c r="H306" s="22">
        <v>24.0</v>
      </c>
      <c r="I306" s="7">
        <f t="shared" si="2"/>
        <v>46416</v>
      </c>
      <c r="J306" s="4" t="s">
        <v>25</v>
      </c>
      <c r="K306" s="4" t="s">
        <v>31</v>
      </c>
      <c r="L306" s="24">
        <f>IF(A306="","",IF(OR(G306="",AND(G306&gt;=Dashboard!$C$18,G306&lt;=Dashboard!$C$19)),1,0))</f>
        <v>1</v>
      </c>
      <c r="M306" s="24">
        <f>IF(AND(L306=1,OR(Dashboard!$C$13="All",A306=Dashboard!$C$13),OR(Dashboard!$C$14="All",B306=Dashboard!$C$14),OR(Dashboard!$C$15="All",C306=Dashboard!$C$15),OR(Dashboard!$C$16="All",K306=Dashboard!$C$16),OR(Dashboard!$C$17="All",J306=Dashboard!$C$17)),1,0)</f>
        <v>1</v>
      </c>
      <c r="N306" s="24">
        <f>IF(AND(L306=1,OR(Dashboard!$C$13="All",A306=Dashboard!$C$13),OR(Dashboard!$C$14="All",B306=Dashboard!$C$14),OR(Dashboard!$C$16="All",K306=Dashboard!$C$16),OR(Dashboard!$C$17="All",J306=Dashboard!$C$17)),1,0)</f>
        <v>1</v>
      </c>
      <c r="O306" s="24">
        <f>IF(AND(L306=1,OR(Dashboard!$C$13="All",A306=Dashboard!$C$13),OR(Dashboard!$C$15="All",C306=Dashboard!$C$15),OR(Dashboard!$C$16="All",K306=Dashboard!$C$16),OR(Dashboard!$C$17="All",J306=Dashboard!$C$17)),1,0)</f>
        <v>1</v>
      </c>
      <c r="P306" s="24">
        <f>IF(AND(L306=1,OR(Dashboard!$C$13="All",A306=Dashboard!$C$13),OR(Dashboard!$C$14="All",B306=Dashboard!$C$14),OR(Dashboard!$C$15="All",C306=Dashboard!$C$15),OR(Dashboard!$C$17="All",J306=Dashboard!$C$17)),1,0)</f>
        <v>1</v>
      </c>
      <c r="Q306" s="24">
        <f>IF(AND(L306=1,OR(Dashboard!$C$14="All",B306=Dashboard!$C$14),OR(Dashboard!$C$15="All",C306=Dashboard!$C$15),OR(Dashboard!$C$16="All",K306=Dashboard!$C$16),OR(Dashboard!$C$17="All",J306=Dashboard!$C$17)),1,0)</f>
        <v>1</v>
      </c>
      <c r="R306" s="24">
        <f>IF(AND(L306=1,OR(Dashboard!$C$13="All",A306=Dashboard!$C$13),OR(Dashboard!$C$14="All",B306=Dashboard!$C$14),OR(Dashboard!$C$15="All",C306=Dashboard!$C$15),OR(Dashboard!$C$16="All",K306=Dashboard!$C$16)),1,0)</f>
        <v>1</v>
      </c>
      <c r="S306" s="24">
        <f t="shared" si="3"/>
        <v>305</v>
      </c>
      <c r="V306" s="24" t="s">
        <v>580</v>
      </c>
    </row>
    <row r="307" ht="15.75" customHeight="1">
      <c r="A307" s="10" t="s">
        <v>335</v>
      </c>
      <c r="B307" s="13"/>
      <c r="C307" s="10" t="s">
        <v>99</v>
      </c>
      <c r="D307" s="13">
        <v>1.0</v>
      </c>
      <c r="E307" s="17">
        <v>8.0</v>
      </c>
      <c r="F307" s="15">
        <f t="shared" si="1"/>
        <v>8</v>
      </c>
      <c r="G307" s="6">
        <v>46249.0</v>
      </c>
      <c r="H307" s="22">
        <v>24.0</v>
      </c>
      <c r="I307" s="16">
        <f t="shared" si="2"/>
        <v>46417</v>
      </c>
      <c r="J307" s="13" t="s">
        <v>25</v>
      </c>
      <c r="K307" s="13" t="s">
        <v>31</v>
      </c>
      <c r="L307" s="24">
        <f>IF(A307="","",IF(OR(G307="",AND(G307&gt;=Dashboard!$C$18,G307&lt;=Dashboard!$C$19)),1,0))</f>
        <v>1</v>
      </c>
      <c r="M307" s="24">
        <f>IF(AND(L307=1,OR(Dashboard!$C$13="All",A307=Dashboard!$C$13),OR(Dashboard!$C$14="All",B307=Dashboard!$C$14),OR(Dashboard!$C$15="All",C307=Dashboard!$C$15),OR(Dashboard!$C$16="All",K307=Dashboard!$C$16),OR(Dashboard!$C$17="All",J307=Dashboard!$C$17)),1,0)</f>
        <v>1</v>
      </c>
      <c r="N307" s="24">
        <f>IF(AND(L307=1,OR(Dashboard!$C$13="All",A307=Dashboard!$C$13),OR(Dashboard!$C$14="All",B307=Dashboard!$C$14),OR(Dashboard!$C$16="All",K307=Dashboard!$C$16),OR(Dashboard!$C$17="All",J307=Dashboard!$C$17)),1,0)</f>
        <v>1</v>
      </c>
      <c r="O307" s="24">
        <f>IF(AND(L307=1,OR(Dashboard!$C$13="All",A307=Dashboard!$C$13),OR(Dashboard!$C$15="All",C307=Dashboard!$C$15),OR(Dashboard!$C$16="All",K307=Dashboard!$C$16),OR(Dashboard!$C$17="All",J307=Dashboard!$C$17)),1,0)</f>
        <v>1</v>
      </c>
      <c r="P307" s="24">
        <f>IF(AND(L307=1,OR(Dashboard!$C$13="All",A307=Dashboard!$C$13),OR(Dashboard!$C$14="All",B307=Dashboard!$C$14),OR(Dashboard!$C$15="All",C307=Dashboard!$C$15),OR(Dashboard!$C$17="All",J307=Dashboard!$C$17)),1,0)</f>
        <v>1</v>
      </c>
      <c r="Q307" s="24">
        <f>IF(AND(L307=1,OR(Dashboard!$C$14="All",B307=Dashboard!$C$14),OR(Dashboard!$C$15="All",C307=Dashboard!$C$15),OR(Dashboard!$C$16="All",K307=Dashboard!$C$16),OR(Dashboard!$C$17="All",J307=Dashboard!$C$17)),1,0)</f>
        <v>1</v>
      </c>
      <c r="R307" s="24">
        <f>IF(AND(L307=1,OR(Dashboard!$C$13="All",A307=Dashboard!$C$13),OR(Dashboard!$C$14="All",B307=Dashboard!$C$14),OR(Dashboard!$C$15="All",C307=Dashboard!$C$15),OR(Dashboard!$C$16="All",K307=Dashboard!$C$16)),1,0)</f>
        <v>1</v>
      </c>
      <c r="S307" s="24">
        <f t="shared" si="3"/>
        <v>306</v>
      </c>
      <c r="V307" s="24" t="s">
        <v>609</v>
      </c>
    </row>
    <row r="308" ht="15.75" customHeight="1">
      <c r="A308" s="3" t="s">
        <v>337</v>
      </c>
      <c r="B308" s="4"/>
      <c r="C308" s="3" t="s">
        <v>290</v>
      </c>
      <c r="D308" s="4">
        <v>1.0</v>
      </c>
      <c r="E308" s="14">
        <v>5.0</v>
      </c>
      <c r="F308" s="5">
        <f t="shared" si="1"/>
        <v>5</v>
      </c>
      <c r="G308" s="6">
        <v>46250.0</v>
      </c>
      <c r="H308" s="22">
        <v>21.0</v>
      </c>
      <c r="I308" s="7">
        <f t="shared" si="2"/>
        <v>46397</v>
      </c>
      <c r="J308" s="4" t="s">
        <v>25</v>
      </c>
      <c r="K308" s="4" t="s">
        <v>31</v>
      </c>
      <c r="L308" s="24">
        <f>IF(A308="","",IF(OR(G308="",AND(G308&gt;=Dashboard!$C$18,G308&lt;=Dashboard!$C$19)),1,0))</f>
        <v>1</v>
      </c>
      <c r="M308" s="24">
        <f>IF(AND(L308=1,OR(Dashboard!$C$13="All",A308=Dashboard!$C$13),OR(Dashboard!$C$14="All",B308=Dashboard!$C$14),OR(Dashboard!$C$15="All",C308=Dashboard!$C$15),OR(Dashboard!$C$16="All",K308=Dashboard!$C$16),OR(Dashboard!$C$17="All",J308=Dashboard!$C$17)),1,0)</f>
        <v>1</v>
      </c>
      <c r="N308" s="24">
        <f>IF(AND(L308=1,OR(Dashboard!$C$13="All",A308=Dashboard!$C$13),OR(Dashboard!$C$14="All",B308=Dashboard!$C$14),OR(Dashboard!$C$16="All",K308=Dashboard!$C$16),OR(Dashboard!$C$17="All",J308=Dashboard!$C$17)),1,0)</f>
        <v>1</v>
      </c>
      <c r="O308" s="24">
        <f>IF(AND(L308=1,OR(Dashboard!$C$13="All",A308=Dashboard!$C$13),OR(Dashboard!$C$15="All",C308=Dashboard!$C$15),OR(Dashboard!$C$16="All",K308=Dashboard!$C$16),OR(Dashboard!$C$17="All",J308=Dashboard!$C$17)),1,0)</f>
        <v>1</v>
      </c>
      <c r="P308" s="24">
        <f>IF(AND(L308=1,OR(Dashboard!$C$13="All",A308=Dashboard!$C$13),OR(Dashboard!$C$14="All",B308=Dashboard!$C$14),OR(Dashboard!$C$15="All",C308=Dashboard!$C$15),OR(Dashboard!$C$17="All",J308=Dashboard!$C$17)),1,0)</f>
        <v>1</v>
      </c>
      <c r="Q308" s="24">
        <f>IF(AND(L308=1,OR(Dashboard!$C$14="All",B308=Dashboard!$C$14),OR(Dashboard!$C$15="All",C308=Dashboard!$C$15),OR(Dashboard!$C$16="All",K308=Dashboard!$C$16),OR(Dashboard!$C$17="All",J308=Dashboard!$C$17)),1,0)</f>
        <v>1</v>
      </c>
      <c r="R308" s="24">
        <f>IF(AND(L308=1,OR(Dashboard!$C$13="All",A308=Dashboard!$C$13),OR(Dashboard!$C$14="All",B308=Dashboard!$C$14),OR(Dashboard!$C$15="All",C308=Dashboard!$C$15),OR(Dashboard!$C$16="All",K308=Dashboard!$C$16)),1,0)</f>
        <v>1</v>
      </c>
      <c r="S308" s="24">
        <f t="shared" si="3"/>
        <v>307</v>
      </c>
      <c r="V308" s="24" t="s">
        <v>584</v>
      </c>
    </row>
    <row r="309" ht="15.75" customHeight="1">
      <c r="A309" s="10" t="s">
        <v>339</v>
      </c>
      <c r="B309" s="13"/>
      <c r="C309" s="10" t="s">
        <v>598</v>
      </c>
      <c r="D309" s="13">
        <v>2.0</v>
      </c>
      <c r="E309" s="17">
        <v>4.0</v>
      </c>
      <c r="F309" s="15">
        <f t="shared" si="1"/>
        <v>8</v>
      </c>
      <c r="G309" s="6">
        <v>46251.0</v>
      </c>
      <c r="H309" s="22">
        <v>20.0</v>
      </c>
      <c r="I309" s="16">
        <f t="shared" si="2"/>
        <v>46391</v>
      </c>
      <c r="J309" s="13" t="s">
        <v>25</v>
      </c>
      <c r="K309" s="13" t="s">
        <v>31</v>
      </c>
      <c r="L309" s="24">
        <f>IF(A309="","",IF(OR(G309="",AND(G309&gt;=Dashboard!$C$18,G309&lt;=Dashboard!$C$19)),1,0))</f>
        <v>1</v>
      </c>
      <c r="M309" s="24">
        <f>IF(AND(L309=1,OR(Dashboard!$C$13="All",A309=Dashboard!$C$13),OR(Dashboard!$C$14="All",B309=Dashboard!$C$14),OR(Dashboard!$C$15="All",C309=Dashboard!$C$15),OR(Dashboard!$C$16="All",K309=Dashboard!$C$16),OR(Dashboard!$C$17="All",J309=Dashboard!$C$17)),1,0)</f>
        <v>1</v>
      </c>
      <c r="N309" s="24">
        <f>IF(AND(L309=1,OR(Dashboard!$C$13="All",A309=Dashboard!$C$13),OR(Dashboard!$C$14="All",B309=Dashboard!$C$14),OR(Dashboard!$C$16="All",K309=Dashboard!$C$16),OR(Dashboard!$C$17="All",J309=Dashboard!$C$17)),1,0)</f>
        <v>1</v>
      </c>
      <c r="O309" s="24">
        <f>IF(AND(L309=1,OR(Dashboard!$C$13="All",A309=Dashboard!$C$13),OR(Dashboard!$C$15="All",C309=Dashboard!$C$15),OR(Dashboard!$C$16="All",K309=Dashboard!$C$16),OR(Dashboard!$C$17="All",J309=Dashboard!$C$17)),1,0)</f>
        <v>1</v>
      </c>
      <c r="P309" s="24">
        <f>IF(AND(L309=1,OR(Dashboard!$C$13="All",A309=Dashboard!$C$13),OR(Dashboard!$C$14="All",B309=Dashboard!$C$14),OR(Dashboard!$C$15="All",C309=Dashboard!$C$15),OR(Dashboard!$C$17="All",J309=Dashboard!$C$17)),1,0)</f>
        <v>1</v>
      </c>
      <c r="Q309" s="24">
        <f>IF(AND(L309=1,OR(Dashboard!$C$14="All",B309=Dashboard!$C$14),OR(Dashboard!$C$15="All",C309=Dashboard!$C$15),OR(Dashboard!$C$16="All",K309=Dashboard!$C$16),OR(Dashboard!$C$17="All",J309=Dashboard!$C$17)),1,0)</f>
        <v>1</v>
      </c>
      <c r="R309" s="24">
        <f>IF(AND(L309=1,OR(Dashboard!$C$13="All",A309=Dashboard!$C$13),OR(Dashboard!$C$14="All",B309=Dashboard!$C$14),OR(Dashboard!$C$15="All",C309=Dashboard!$C$15),OR(Dashboard!$C$16="All",K309=Dashboard!$C$16)),1,0)</f>
        <v>1</v>
      </c>
      <c r="S309" s="24">
        <f t="shared" si="3"/>
        <v>308</v>
      </c>
      <c r="V309" s="24" t="s">
        <v>543</v>
      </c>
    </row>
    <row r="310" ht="15.75" customHeight="1">
      <c r="A310" s="3" t="s">
        <v>339</v>
      </c>
      <c r="B310" s="4"/>
      <c r="C310" s="3" t="s">
        <v>629</v>
      </c>
      <c r="D310" s="4">
        <v>2.0</v>
      </c>
      <c r="E310" s="14">
        <v>2.0</v>
      </c>
      <c r="F310" s="5">
        <f t="shared" si="1"/>
        <v>4</v>
      </c>
      <c r="G310" s="6">
        <v>46252.0</v>
      </c>
      <c r="H310" s="22">
        <v>20.0</v>
      </c>
      <c r="I310" s="7">
        <f t="shared" si="2"/>
        <v>46392</v>
      </c>
      <c r="J310" s="4" t="s">
        <v>25</v>
      </c>
      <c r="K310" s="4" t="s">
        <v>31</v>
      </c>
      <c r="L310" s="24">
        <f>IF(A310="","",IF(OR(G310="",AND(G310&gt;=Dashboard!$C$18,G310&lt;=Dashboard!$C$19)),1,0))</f>
        <v>1</v>
      </c>
      <c r="M310" s="24">
        <f>IF(AND(L310=1,OR(Dashboard!$C$13="All",A310=Dashboard!$C$13),OR(Dashboard!$C$14="All",B310=Dashboard!$C$14),OR(Dashboard!$C$15="All",C310=Dashboard!$C$15),OR(Dashboard!$C$16="All",K310=Dashboard!$C$16),OR(Dashboard!$C$17="All",J310=Dashboard!$C$17)),1,0)</f>
        <v>1</v>
      </c>
      <c r="N310" s="24">
        <f>IF(AND(L310=1,OR(Dashboard!$C$13="All",A310=Dashboard!$C$13),OR(Dashboard!$C$14="All",B310=Dashboard!$C$14),OR(Dashboard!$C$16="All",K310=Dashboard!$C$16),OR(Dashboard!$C$17="All",J310=Dashboard!$C$17)),1,0)</f>
        <v>1</v>
      </c>
      <c r="O310" s="24">
        <f>IF(AND(L310=1,OR(Dashboard!$C$13="All",A310=Dashboard!$C$13),OR(Dashboard!$C$15="All",C310=Dashboard!$C$15),OR(Dashboard!$C$16="All",K310=Dashboard!$C$16),OR(Dashboard!$C$17="All",J310=Dashboard!$C$17)),1,0)</f>
        <v>1</v>
      </c>
      <c r="P310" s="24">
        <f>IF(AND(L310=1,OR(Dashboard!$C$13="All",A310=Dashboard!$C$13),OR(Dashboard!$C$14="All",B310=Dashboard!$C$14),OR(Dashboard!$C$15="All",C310=Dashboard!$C$15),OR(Dashboard!$C$17="All",J310=Dashboard!$C$17)),1,0)</f>
        <v>1</v>
      </c>
      <c r="Q310" s="24">
        <f>IF(AND(L310=1,OR(Dashboard!$C$14="All",B310=Dashboard!$C$14),OR(Dashboard!$C$15="All",C310=Dashboard!$C$15),OR(Dashboard!$C$16="All",K310=Dashboard!$C$16),OR(Dashboard!$C$17="All",J310=Dashboard!$C$17)),1,0)</f>
        <v>1</v>
      </c>
      <c r="R310" s="24">
        <f>IF(AND(L310=1,OR(Dashboard!$C$13="All",A310=Dashboard!$C$13),OR(Dashboard!$C$14="All",B310=Dashboard!$C$14),OR(Dashboard!$C$15="All",C310=Dashboard!$C$15),OR(Dashboard!$C$16="All",K310=Dashboard!$C$16)),1,0)</f>
        <v>1</v>
      </c>
      <c r="S310" s="24">
        <f t="shared" si="3"/>
        <v>309</v>
      </c>
      <c r="V310" s="24" t="s">
        <v>574</v>
      </c>
    </row>
    <row r="311" ht="15.75" customHeight="1">
      <c r="A311" s="10" t="s">
        <v>342</v>
      </c>
      <c r="B311" s="13"/>
      <c r="C311" s="10" t="s">
        <v>72</v>
      </c>
      <c r="D311" s="13">
        <v>2.0</v>
      </c>
      <c r="E311" s="17">
        <v>36.0</v>
      </c>
      <c r="F311" s="15">
        <f t="shared" si="1"/>
        <v>72</v>
      </c>
      <c r="G311" s="6">
        <v>46253.0</v>
      </c>
      <c r="H311" s="22">
        <v>21.0</v>
      </c>
      <c r="I311" s="16">
        <f t="shared" si="2"/>
        <v>46400</v>
      </c>
      <c r="J311" s="13" t="s">
        <v>25</v>
      </c>
      <c r="K311" s="13" t="s">
        <v>31</v>
      </c>
      <c r="L311" s="24">
        <f>IF(A311="","",IF(OR(G311="",AND(G311&gt;=Dashboard!$C$18,G311&lt;=Dashboard!$C$19)),1,0))</f>
        <v>1</v>
      </c>
      <c r="M311" s="24">
        <f>IF(AND(L311=1,OR(Dashboard!$C$13="All",A311=Dashboard!$C$13),OR(Dashboard!$C$14="All",B311=Dashboard!$C$14),OR(Dashboard!$C$15="All",C311=Dashboard!$C$15),OR(Dashboard!$C$16="All",K311=Dashboard!$C$16),OR(Dashboard!$C$17="All",J311=Dashboard!$C$17)),1,0)</f>
        <v>1</v>
      </c>
      <c r="N311" s="24">
        <f>IF(AND(L311=1,OR(Dashboard!$C$13="All",A311=Dashboard!$C$13),OR(Dashboard!$C$14="All",B311=Dashboard!$C$14),OR(Dashboard!$C$16="All",K311=Dashboard!$C$16),OR(Dashboard!$C$17="All",J311=Dashboard!$C$17)),1,0)</f>
        <v>1</v>
      </c>
      <c r="O311" s="24">
        <f>IF(AND(L311=1,OR(Dashboard!$C$13="All",A311=Dashboard!$C$13),OR(Dashboard!$C$15="All",C311=Dashboard!$C$15),OR(Dashboard!$C$16="All",K311=Dashboard!$C$16),OR(Dashboard!$C$17="All",J311=Dashboard!$C$17)),1,0)</f>
        <v>1</v>
      </c>
      <c r="P311" s="24">
        <f>IF(AND(L311=1,OR(Dashboard!$C$13="All",A311=Dashboard!$C$13),OR(Dashboard!$C$14="All",B311=Dashboard!$C$14),OR(Dashboard!$C$15="All",C311=Dashboard!$C$15),OR(Dashboard!$C$17="All",J311=Dashboard!$C$17)),1,0)</f>
        <v>1</v>
      </c>
      <c r="Q311" s="24">
        <f>IF(AND(L311=1,OR(Dashboard!$C$14="All",B311=Dashboard!$C$14),OR(Dashboard!$C$15="All",C311=Dashboard!$C$15),OR(Dashboard!$C$16="All",K311=Dashboard!$C$16),OR(Dashboard!$C$17="All",J311=Dashboard!$C$17)),1,0)</f>
        <v>1</v>
      </c>
      <c r="R311" s="24">
        <f>IF(AND(L311=1,OR(Dashboard!$C$13="All",A311=Dashboard!$C$13),OR(Dashboard!$C$14="All",B311=Dashboard!$C$14),OR(Dashboard!$C$15="All",C311=Dashboard!$C$15),OR(Dashboard!$C$16="All",K311=Dashboard!$C$16)),1,0)</f>
        <v>1</v>
      </c>
      <c r="S311" s="24">
        <f t="shared" si="3"/>
        <v>310</v>
      </c>
      <c r="V311" s="24" t="s">
        <v>630</v>
      </c>
    </row>
    <row r="312" ht="15.75" customHeight="1">
      <c r="A312" s="3" t="s">
        <v>342</v>
      </c>
      <c r="B312" s="4"/>
      <c r="C312" s="3" t="s">
        <v>63</v>
      </c>
      <c r="D312" s="4">
        <v>2.0</v>
      </c>
      <c r="E312" s="5">
        <v>2.0</v>
      </c>
      <c r="F312" s="5">
        <f t="shared" si="1"/>
        <v>4</v>
      </c>
      <c r="G312" s="6">
        <v>46254.0</v>
      </c>
      <c r="H312" s="22">
        <v>21.0</v>
      </c>
      <c r="I312" s="7">
        <f t="shared" si="2"/>
        <v>46401</v>
      </c>
      <c r="J312" s="4" t="s">
        <v>25</v>
      </c>
      <c r="K312" s="4" t="s">
        <v>31</v>
      </c>
      <c r="L312" s="24">
        <f>IF(A312="","",IF(OR(G312="",AND(G312&gt;=Dashboard!$C$18,G312&lt;=Dashboard!$C$19)),1,0))</f>
        <v>1</v>
      </c>
      <c r="M312" s="24">
        <f>IF(AND(L312=1,OR(Dashboard!$C$13="All",A312=Dashboard!$C$13),OR(Dashboard!$C$14="All",B312=Dashboard!$C$14),OR(Dashboard!$C$15="All",C312=Dashboard!$C$15),OR(Dashboard!$C$16="All",K312=Dashboard!$C$16),OR(Dashboard!$C$17="All",J312=Dashboard!$C$17)),1,0)</f>
        <v>1</v>
      </c>
      <c r="N312" s="24">
        <f>IF(AND(L312=1,OR(Dashboard!$C$13="All",A312=Dashboard!$C$13),OR(Dashboard!$C$14="All",B312=Dashboard!$C$14),OR(Dashboard!$C$16="All",K312=Dashboard!$C$16),OR(Dashboard!$C$17="All",J312=Dashboard!$C$17)),1,0)</f>
        <v>1</v>
      </c>
      <c r="O312" s="24">
        <f>IF(AND(L312=1,OR(Dashboard!$C$13="All",A312=Dashboard!$C$13),OR(Dashboard!$C$15="All",C312=Dashboard!$C$15),OR(Dashboard!$C$16="All",K312=Dashboard!$C$16),OR(Dashboard!$C$17="All",J312=Dashboard!$C$17)),1,0)</f>
        <v>1</v>
      </c>
      <c r="P312" s="24">
        <f>IF(AND(L312=1,OR(Dashboard!$C$13="All",A312=Dashboard!$C$13),OR(Dashboard!$C$14="All",B312=Dashboard!$C$14),OR(Dashboard!$C$15="All",C312=Dashboard!$C$15),OR(Dashboard!$C$17="All",J312=Dashboard!$C$17)),1,0)</f>
        <v>1</v>
      </c>
      <c r="Q312" s="24">
        <f>IF(AND(L312=1,OR(Dashboard!$C$14="All",B312=Dashboard!$C$14),OR(Dashboard!$C$15="All",C312=Dashboard!$C$15),OR(Dashboard!$C$16="All",K312=Dashboard!$C$16),OR(Dashboard!$C$17="All",J312=Dashboard!$C$17)),1,0)</f>
        <v>1</v>
      </c>
      <c r="R312" s="24">
        <f>IF(AND(L312=1,OR(Dashboard!$C$13="All",A312=Dashboard!$C$13),OR(Dashboard!$C$14="All",B312=Dashboard!$C$14),OR(Dashboard!$C$15="All",C312=Dashboard!$C$15),OR(Dashboard!$C$16="All",K312=Dashboard!$C$16)),1,0)</f>
        <v>1</v>
      </c>
      <c r="S312" s="24">
        <f t="shared" si="3"/>
        <v>311</v>
      </c>
      <c r="V312" s="24" t="s">
        <v>631</v>
      </c>
    </row>
    <row r="313" ht="15.75" customHeight="1">
      <c r="A313" s="10" t="s">
        <v>342</v>
      </c>
      <c r="B313" s="13"/>
      <c r="C313" s="10" t="s">
        <v>285</v>
      </c>
      <c r="D313" s="13" t="s">
        <v>632</v>
      </c>
      <c r="E313" s="14">
        <v>5.0</v>
      </c>
      <c r="F313" s="15" t="str">
        <f t="shared" si="1"/>
        <v>#VALUE!</v>
      </c>
      <c r="G313" s="6">
        <v>46255.0</v>
      </c>
      <c r="H313" s="22">
        <v>14.0</v>
      </c>
      <c r="I313" s="16">
        <f t="shared" si="2"/>
        <v>46353</v>
      </c>
      <c r="J313" s="13" t="s">
        <v>25</v>
      </c>
      <c r="K313" s="13" t="s">
        <v>31</v>
      </c>
      <c r="L313" s="24">
        <f>IF(A313="","",IF(OR(G313="",AND(G313&gt;=Dashboard!$C$18,G313&lt;=Dashboard!$C$19)),1,0))</f>
        <v>1</v>
      </c>
      <c r="M313" s="24">
        <f>IF(AND(L313=1,OR(Dashboard!$C$13="All",A313=Dashboard!$C$13),OR(Dashboard!$C$14="All",B313=Dashboard!$C$14),OR(Dashboard!$C$15="All",C313=Dashboard!$C$15),OR(Dashboard!$C$16="All",K313=Dashboard!$C$16),OR(Dashboard!$C$17="All",J313=Dashboard!$C$17)),1,0)</f>
        <v>1</v>
      </c>
      <c r="N313" s="24">
        <f>IF(AND(L313=1,OR(Dashboard!$C$13="All",A313=Dashboard!$C$13),OR(Dashboard!$C$14="All",B313=Dashboard!$C$14),OR(Dashboard!$C$16="All",K313=Dashboard!$C$16),OR(Dashboard!$C$17="All",J313=Dashboard!$C$17)),1,0)</f>
        <v>1</v>
      </c>
      <c r="O313" s="24">
        <f>IF(AND(L313=1,OR(Dashboard!$C$13="All",A313=Dashboard!$C$13),OR(Dashboard!$C$15="All",C313=Dashboard!$C$15),OR(Dashboard!$C$16="All",K313=Dashboard!$C$16),OR(Dashboard!$C$17="All",J313=Dashboard!$C$17)),1,0)</f>
        <v>1</v>
      </c>
      <c r="P313" s="24">
        <f>IF(AND(L313=1,OR(Dashboard!$C$13="All",A313=Dashboard!$C$13),OR(Dashboard!$C$14="All",B313=Dashboard!$C$14),OR(Dashboard!$C$15="All",C313=Dashboard!$C$15),OR(Dashboard!$C$17="All",J313=Dashboard!$C$17)),1,0)</f>
        <v>1</v>
      </c>
      <c r="Q313" s="24">
        <f>IF(AND(L313=1,OR(Dashboard!$C$14="All",B313=Dashboard!$C$14),OR(Dashboard!$C$15="All",C313=Dashboard!$C$15),OR(Dashboard!$C$16="All",K313=Dashboard!$C$16),OR(Dashboard!$C$17="All",J313=Dashboard!$C$17)),1,0)</f>
        <v>1</v>
      </c>
      <c r="R313" s="24">
        <f>IF(AND(L313=1,OR(Dashboard!$C$13="All",A313=Dashboard!$C$13),OR(Dashboard!$C$14="All",B313=Dashboard!$C$14),OR(Dashboard!$C$15="All",C313=Dashboard!$C$15),OR(Dashboard!$C$16="All",K313=Dashboard!$C$16)),1,0)</f>
        <v>1</v>
      </c>
      <c r="S313" s="24">
        <f t="shared" si="3"/>
        <v>312</v>
      </c>
      <c r="V313" s="24" t="s">
        <v>633</v>
      </c>
    </row>
    <row r="314" ht="15.75" customHeight="1">
      <c r="A314" s="3" t="s">
        <v>180</v>
      </c>
      <c r="B314" s="4"/>
      <c r="C314" s="3" t="s">
        <v>292</v>
      </c>
      <c r="D314" s="4">
        <v>2.0</v>
      </c>
      <c r="E314" s="17">
        <v>6.0</v>
      </c>
      <c r="F314" s="5">
        <f t="shared" si="1"/>
        <v>12</v>
      </c>
      <c r="G314" s="6">
        <v>46256.0</v>
      </c>
      <c r="H314" s="22">
        <v>14.0</v>
      </c>
      <c r="I314" s="7">
        <f t="shared" si="2"/>
        <v>46354</v>
      </c>
      <c r="J314" s="4" t="s">
        <v>25</v>
      </c>
      <c r="K314" s="4" t="s">
        <v>31</v>
      </c>
      <c r="L314" s="24">
        <f>IF(A314="","",IF(OR(G314="",AND(G314&gt;=Dashboard!$C$18,G314&lt;=Dashboard!$C$19)),1,0))</f>
        <v>1</v>
      </c>
      <c r="M314" s="24">
        <f>IF(AND(L314=1,OR(Dashboard!$C$13="All",A314=Dashboard!$C$13),OR(Dashboard!$C$14="All",B314=Dashboard!$C$14),OR(Dashboard!$C$15="All",C314=Dashboard!$C$15),OR(Dashboard!$C$16="All",K314=Dashboard!$C$16),OR(Dashboard!$C$17="All",J314=Dashboard!$C$17)),1,0)</f>
        <v>1</v>
      </c>
      <c r="N314" s="24">
        <f>IF(AND(L314=1,OR(Dashboard!$C$13="All",A314=Dashboard!$C$13),OR(Dashboard!$C$14="All",B314=Dashboard!$C$14),OR(Dashboard!$C$16="All",K314=Dashboard!$C$16),OR(Dashboard!$C$17="All",J314=Dashboard!$C$17)),1,0)</f>
        <v>1</v>
      </c>
      <c r="O314" s="24">
        <f>IF(AND(L314=1,OR(Dashboard!$C$13="All",A314=Dashboard!$C$13),OR(Dashboard!$C$15="All",C314=Dashboard!$C$15),OR(Dashboard!$C$16="All",K314=Dashboard!$C$16),OR(Dashboard!$C$17="All",J314=Dashboard!$C$17)),1,0)</f>
        <v>1</v>
      </c>
      <c r="P314" s="24">
        <f>IF(AND(L314=1,OR(Dashboard!$C$13="All",A314=Dashboard!$C$13),OR(Dashboard!$C$14="All",B314=Dashboard!$C$14),OR(Dashboard!$C$15="All",C314=Dashboard!$C$15),OR(Dashboard!$C$17="All",J314=Dashboard!$C$17)),1,0)</f>
        <v>1</v>
      </c>
      <c r="Q314" s="24">
        <f>IF(AND(L314=1,OR(Dashboard!$C$14="All",B314=Dashboard!$C$14),OR(Dashboard!$C$15="All",C314=Dashboard!$C$15),OR(Dashboard!$C$16="All",K314=Dashboard!$C$16),OR(Dashboard!$C$17="All",J314=Dashboard!$C$17)),1,0)</f>
        <v>1</v>
      </c>
      <c r="R314" s="24">
        <f>IF(AND(L314=1,OR(Dashboard!$C$13="All",A314=Dashboard!$C$13),OR(Dashboard!$C$14="All",B314=Dashboard!$C$14),OR(Dashboard!$C$15="All",C314=Dashboard!$C$15),OR(Dashboard!$C$16="All",K314=Dashboard!$C$16)),1,0)</f>
        <v>1</v>
      </c>
      <c r="S314" s="24">
        <f t="shared" si="3"/>
        <v>313</v>
      </c>
      <c r="V314" s="24" t="s">
        <v>73</v>
      </c>
    </row>
    <row r="315" ht="15.75" customHeight="1">
      <c r="A315" s="10" t="s">
        <v>344</v>
      </c>
      <c r="B315" s="13"/>
      <c r="C315" s="10" t="s">
        <v>545</v>
      </c>
      <c r="D315" s="13">
        <v>8.0</v>
      </c>
      <c r="E315" s="14">
        <v>7.0</v>
      </c>
      <c r="F315" s="15">
        <f t="shared" si="1"/>
        <v>56</v>
      </c>
      <c r="G315" s="6">
        <v>46257.0</v>
      </c>
      <c r="H315" s="22">
        <v>12.0</v>
      </c>
      <c r="I315" s="16">
        <f t="shared" si="2"/>
        <v>46341</v>
      </c>
      <c r="J315" s="13" t="s">
        <v>25</v>
      </c>
      <c r="K315" s="13" t="s">
        <v>31</v>
      </c>
      <c r="L315" s="24">
        <f>IF(A315="","",IF(OR(G315="",AND(G315&gt;=Dashboard!$C$18,G315&lt;=Dashboard!$C$19)),1,0))</f>
        <v>1</v>
      </c>
      <c r="M315" s="24">
        <f>IF(AND(L315=1,OR(Dashboard!$C$13="All",A315=Dashboard!$C$13),OR(Dashboard!$C$14="All",B315=Dashboard!$C$14),OR(Dashboard!$C$15="All",C315=Dashboard!$C$15),OR(Dashboard!$C$16="All",K315=Dashboard!$C$16),OR(Dashboard!$C$17="All",J315=Dashboard!$C$17)),1,0)</f>
        <v>1</v>
      </c>
      <c r="N315" s="24">
        <f>IF(AND(L315=1,OR(Dashboard!$C$13="All",A315=Dashboard!$C$13),OR(Dashboard!$C$14="All",B315=Dashboard!$C$14),OR(Dashboard!$C$16="All",K315=Dashboard!$C$16),OR(Dashboard!$C$17="All",J315=Dashboard!$C$17)),1,0)</f>
        <v>1</v>
      </c>
      <c r="O315" s="24">
        <f>IF(AND(L315=1,OR(Dashboard!$C$13="All",A315=Dashboard!$C$13),OR(Dashboard!$C$15="All",C315=Dashboard!$C$15),OR(Dashboard!$C$16="All",K315=Dashboard!$C$16),OR(Dashboard!$C$17="All",J315=Dashboard!$C$17)),1,0)</f>
        <v>1</v>
      </c>
      <c r="P315" s="24">
        <f>IF(AND(L315=1,OR(Dashboard!$C$13="All",A315=Dashboard!$C$13),OR(Dashboard!$C$14="All",B315=Dashboard!$C$14),OR(Dashboard!$C$15="All",C315=Dashboard!$C$15),OR(Dashboard!$C$17="All",J315=Dashboard!$C$17)),1,0)</f>
        <v>1</v>
      </c>
      <c r="Q315" s="24">
        <f>IF(AND(L315=1,OR(Dashboard!$C$14="All",B315=Dashboard!$C$14),OR(Dashboard!$C$15="All",C315=Dashboard!$C$15),OR(Dashboard!$C$16="All",K315=Dashboard!$C$16),OR(Dashboard!$C$17="All",J315=Dashboard!$C$17)),1,0)</f>
        <v>1</v>
      </c>
      <c r="R315" s="24">
        <f>IF(AND(L315=1,OR(Dashboard!$C$13="All",A315=Dashboard!$C$13),OR(Dashboard!$C$14="All",B315=Dashboard!$C$14),OR(Dashboard!$C$15="All",C315=Dashboard!$C$15),OR(Dashboard!$C$16="All",K315=Dashboard!$C$16)),1,0)</f>
        <v>1</v>
      </c>
      <c r="S315" s="24">
        <f t="shared" si="3"/>
        <v>314</v>
      </c>
      <c r="V315" s="24" t="s">
        <v>587</v>
      </c>
    </row>
    <row r="316" ht="15.75" customHeight="1">
      <c r="A316" s="3" t="s">
        <v>346</v>
      </c>
      <c r="B316" s="4"/>
      <c r="C316" s="3" t="s">
        <v>301</v>
      </c>
      <c r="D316" s="4">
        <v>16.0</v>
      </c>
      <c r="E316" s="17">
        <v>8.0</v>
      </c>
      <c r="F316" s="5">
        <f t="shared" si="1"/>
        <v>128</v>
      </c>
      <c r="G316" s="6">
        <v>46258.0</v>
      </c>
      <c r="H316" s="22">
        <v>11.0</v>
      </c>
      <c r="I316" s="7">
        <f t="shared" si="2"/>
        <v>46335</v>
      </c>
      <c r="J316" s="4" t="s">
        <v>25</v>
      </c>
      <c r="K316" s="4" t="s">
        <v>31</v>
      </c>
      <c r="L316" s="24">
        <f>IF(A316="","",IF(OR(G316="",AND(G316&gt;=Dashboard!$C$18,G316&lt;=Dashboard!$C$19)),1,0))</f>
        <v>1</v>
      </c>
      <c r="M316" s="24">
        <f>IF(AND(L316=1,OR(Dashboard!$C$13="All",A316=Dashboard!$C$13),OR(Dashboard!$C$14="All",B316=Dashboard!$C$14),OR(Dashboard!$C$15="All",C316=Dashboard!$C$15),OR(Dashboard!$C$16="All",K316=Dashboard!$C$16),OR(Dashboard!$C$17="All",J316=Dashboard!$C$17)),1,0)</f>
        <v>1</v>
      </c>
      <c r="N316" s="24">
        <f>IF(AND(L316=1,OR(Dashboard!$C$13="All",A316=Dashboard!$C$13),OR(Dashboard!$C$14="All",B316=Dashboard!$C$14),OR(Dashboard!$C$16="All",K316=Dashboard!$C$16),OR(Dashboard!$C$17="All",J316=Dashboard!$C$17)),1,0)</f>
        <v>1</v>
      </c>
      <c r="O316" s="24">
        <f>IF(AND(L316=1,OR(Dashboard!$C$13="All",A316=Dashboard!$C$13),OR(Dashboard!$C$15="All",C316=Dashboard!$C$15),OR(Dashboard!$C$16="All",K316=Dashboard!$C$16),OR(Dashboard!$C$17="All",J316=Dashboard!$C$17)),1,0)</f>
        <v>1</v>
      </c>
      <c r="P316" s="24">
        <f>IF(AND(L316=1,OR(Dashboard!$C$13="All",A316=Dashboard!$C$13),OR(Dashboard!$C$14="All",B316=Dashboard!$C$14),OR(Dashboard!$C$15="All",C316=Dashboard!$C$15),OR(Dashboard!$C$17="All",J316=Dashboard!$C$17)),1,0)</f>
        <v>1</v>
      </c>
      <c r="Q316" s="24">
        <f>IF(AND(L316=1,OR(Dashboard!$C$14="All",B316=Dashboard!$C$14),OR(Dashboard!$C$15="All",C316=Dashboard!$C$15),OR(Dashboard!$C$16="All",K316=Dashboard!$C$16),OR(Dashboard!$C$17="All",J316=Dashboard!$C$17)),1,0)</f>
        <v>1</v>
      </c>
      <c r="R316" s="24">
        <f>IF(AND(L316=1,OR(Dashboard!$C$13="All",A316=Dashboard!$C$13),OR(Dashboard!$C$14="All",B316=Dashboard!$C$14),OR(Dashboard!$C$15="All",C316=Dashboard!$C$15),OR(Dashboard!$C$16="All",K316=Dashboard!$C$16)),1,0)</f>
        <v>1</v>
      </c>
      <c r="S316" s="24">
        <f t="shared" si="3"/>
        <v>315</v>
      </c>
      <c r="V316" s="24" t="s">
        <v>634</v>
      </c>
    </row>
    <row r="317" ht="15.75" customHeight="1">
      <c r="A317" s="10" t="s">
        <v>346</v>
      </c>
      <c r="B317" s="13"/>
      <c r="C317" s="10" t="s">
        <v>145</v>
      </c>
      <c r="D317" s="13">
        <v>12.0</v>
      </c>
      <c r="E317" s="14">
        <v>2.0</v>
      </c>
      <c r="F317" s="15">
        <f t="shared" si="1"/>
        <v>24</v>
      </c>
      <c r="G317" s="6">
        <v>46259.0</v>
      </c>
      <c r="H317" s="22">
        <v>15.0</v>
      </c>
      <c r="I317" s="16">
        <f t="shared" si="2"/>
        <v>46364</v>
      </c>
      <c r="J317" s="13" t="s">
        <v>25</v>
      </c>
      <c r="K317" s="13" t="s">
        <v>31</v>
      </c>
      <c r="L317" s="24">
        <f>IF(A317="","",IF(OR(G317="",AND(G317&gt;=Dashboard!$C$18,G317&lt;=Dashboard!$C$19)),1,0))</f>
        <v>1</v>
      </c>
      <c r="M317" s="24">
        <f>IF(AND(L317=1,OR(Dashboard!$C$13="All",A317=Dashboard!$C$13),OR(Dashboard!$C$14="All",B317=Dashboard!$C$14),OR(Dashboard!$C$15="All",C317=Dashboard!$C$15),OR(Dashboard!$C$16="All",K317=Dashboard!$C$16),OR(Dashboard!$C$17="All",J317=Dashboard!$C$17)),1,0)</f>
        <v>1</v>
      </c>
      <c r="N317" s="24">
        <f>IF(AND(L317=1,OR(Dashboard!$C$13="All",A317=Dashboard!$C$13),OR(Dashboard!$C$14="All",B317=Dashboard!$C$14),OR(Dashboard!$C$16="All",K317=Dashboard!$C$16),OR(Dashboard!$C$17="All",J317=Dashboard!$C$17)),1,0)</f>
        <v>1</v>
      </c>
      <c r="O317" s="24">
        <f>IF(AND(L317=1,OR(Dashboard!$C$13="All",A317=Dashboard!$C$13),OR(Dashboard!$C$15="All",C317=Dashboard!$C$15),OR(Dashboard!$C$16="All",K317=Dashboard!$C$16),OR(Dashboard!$C$17="All",J317=Dashboard!$C$17)),1,0)</f>
        <v>1</v>
      </c>
      <c r="P317" s="24">
        <f>IF(AND(L317=1,OR(Dashboard!$C$13="All",A317=Dashboard!$C$13),OR(Dashboard!$C$14="All",B317=Dashboard!$C$14),OR(Dashboard!$C$15="All",C317=Dashboard!$C$15),OR(Dashboard!$C$17="All",J317=Dashboard!$C$17)),1,0)</f>
        <v>1</v>
      </c>
      <c r="Q317" s="24">
        <f>IF(AND(L317=1,OR(Dashboard!$C$14="All",B317=Dashboard!$C$14),OR(Dashboard!$C$15="All",C317=Dashboard!$C$15),OR(Dashboard!$C$16="All",K317=Dashboard!$C$16),OR(Dashboard!$C$17="All",J317=Dashboard!$C$17)),1,0)</f>
        <v>1</v>
      </c>
      <c r="R317" s="24">
        <f>IF(AND(L317=1,OR(Dashboard!$C$13="All",A317=Dashboard!$C$13),OR(Dashboard!$C$14="All",B317=Dashboard!$C$14),OR(Dashboard!$C$15="All",C317=Dashboard!$C$15),OR(Dashboard!$C$16="All",K317=Dashboard!$C$16)),1,0)</f>
        <v>1</v>
      </c>
      <c r="S317" s="24">
        <f t="shared" si="3"/>
        <v>316</v>
      </c>
      <c r="V317" s="24" t="s">
        <v>581</v>
      </c>
    </row>
    <row r="318" ht="15.75" customHeight="1">
      <c r="A318" s="3" t="s">
        <v>346</v>
      </c>
      <c r="B318" s="4"/>
      <c r="C318" s="3" t="s">
        <v>29</v>
      </c>
      <c r="D318" s="4">
        <v>12.0</v>
      </c>
      <c r="E318" s="17">
        <v>15.0</v>
      </c>
      <c r="F318" s="5">
        <f t="shared" si="1"/>
        <v>180</v>
      </c>
      <c r="G318" s="6">
        <v>46260.0</v>
      </c>
      <c r="H318" s="22">
        <v>12.0</v>
      </c>
      <c r="I318" s="7">
        <f t="shared" si="2"/>
        <v>46344</v>
      </c>
      <c r="J318" s="4" t="s">
        <v>25</v>
      </c>
      <c r="K318" s="4" t="s">
        <v>31</v>
      </c>
      <c r="L318" s="24">
        <f>IF(A318="","",IF(OR(G318="",AND(G318&gt;=Dashboard!$C$18,G318&lt;=Dashboard!$C$19)),1,0))</f>
        <v>1</v>
      </c>
      <c r="M318" s="24">
        <f>IF(AND(L318=1,OR(Dashboard!$C$13="All",A318=Dashboard!$C$13),OR(Dashboard!$C$14="All",B318=Dashboard!$C$14),OR(Dashboard!$C$15="All",C318=Dashboard!$C$15),OR(Dashboard!$C$16="All",K318=Dashboard!$C$16),OR(Dashboard!$C$17="All",J318=Dashboard!$C$17)),1,0)</f>
        <v>1</v>
      </c>
      <c r="N318" s="24">
        <f>IF(AND(L318=1,OR(Dashboard!$C$13="All",A318=Dashboard!$C$13),OR(Dashboard!$C$14="All",B318=Dashboard!$C$14),OR(Dashboard!$C$16="All",K318=Dashboard!$C$16),OR(Dashboard!$C$17="All",J318=Dashboard!$C$17)),1,0)</f>
        <v>1</v>
      </c>
      <c r="O318" s="24">
        <f>IF(AND(L318=1,OR(Dashboard!$C$13="All",A318=Dashboard!$C$13),OR(Dashboard!$C$15="All",C318=Dashboard!$C$15),OR(Dashboard!$C$16="All",K318=Dashboard!$C$16),OR(Dashboard!$C$17="All",J318=Dashboard!$C$17)),1,0)</f>
        <v>1</v>
      </c>
      <c r="P318" s="24">
        <f>IF(AND(L318=1,OR(Dashboard!$C$13="All",A318=Dashboard!$C$13),OR(Dashboard!$C$14="All",B318=Dashboard!$C$14),OR(Dashboard!$C$15="All",C318=Dashboard!$C$15),OR(Dashboard!$C$17="All",J318=Dashboard!$C$17)),1,0)</f>
        <v>1</v>
      </c>
      <c r="Q318" s="24">
        <f>IF(AND(L318=1,OR(Dashboard!$C$14="All",B318=Dashboard!$C$14),OR(Dashboard!$C$15="All",C318=Dashboard!$C$15),OR(Dashboard!$C$16="All",K318=Dashboard!$C$16),OR(Dashboard!$C$17="All",J318=Dashboard!$C$17)),1,0)</f>
        <v>1</v>
      </c>
      <c r="R318" s="24">
        <f>IF(AND(L318=1,OR(Dashboard!$C$13="All",A318=Dashboard!$C$13),OR(Dashboard!$C$14="All",B318=Dashboard!$C$14),OR(Dashboard!$C$15="All",C318=Dashboard!$C$15),OR(Dashboard!$C$16="All",K318=Dashboard!$C$16)),1,0)</f>
        <v>1</v>
      </c>
      <c r="S318" s="24">
        <f t="shared" si="3"/>
        <v>317</v>
      </c>
      <c r="V318" s="24" t="s">
        <v>635</v>
      </c>
    </row>
    <row r="319" ht="15.75" customHeight="1">
      <c r="A319" s="10" t="s">
        <v>346</v>
      </c>
      <c r="B319" s="13"/>
      <c r="C319" s="10" t="s">
        <v>590</v>
      </c>
      <c r="D319" s="13">
        <v>12.0</v>
      </c>
      <c r="E319" s="14">
        <v>45.0</v>
      </c>
      <c r="F319" s="15">
        <f t="shared" si="1"/>
        <v>540</v>
      </c>
      <c r="G319" s="6">
        <v>46261.0</v>
      </c>
      <c r="H319" s="22">
        <v>13.0</v>
      </c>
      <c r="I319" s="16">
        <f t="shared" si="2"/>
        <v>46352</v>
      </c>
      <c r="J319" s="13" t="s">
        <v>25</v>
      </c>
      <c r="K319" s="13" t="s">
        <v>31</v>
      </c>
      <c r="L319" s="24">
        <f>IF(A319="","",IF(OR(G319="",AND(G319&gt;=Dashboard!$C$18,G319&lt;=Dashboard!$C$19)),1,0))</f>
        <v>1</v>
      </c>
      <c r="M319" s="24">
        <f>IF(AND(L319=1,OR(Dashboard!$C$13="All",A319=Dashboard!$C$13),OR(Dashboard!$C$14="All",B319=Dashboard!$C$14),OR(Dashboard!$C$15="All",C319=Dashboard!$C$15),OR(Dashboard!$C$16="All",K319=Dashboard!$C$16),OR(Dashboard!$C$17="All",J319=Dashboard!$C$17)),1,0)</f>
        <v>1</v>
      </c>
      <c r="N319" s="24">
        <f>IF(AND(L319=1,OR(Dashboard!$C$13="All",A319=Dashboard!$C$13),OR(Dashboard!$C$14="All",B319=Dashboard!$C$14),OR(Dashboard!$C$16="All",K319=Dashboard!$C$16),OR(Dashboard!$C$17="All",J319=Dashboard!$C$17)),1,0)</f>
        <v>1</v>
      </c>
      <c r="O319" s="24">
        <f>IF(AND(L319=1,OR(Dashboard!$C$13="All",A319=Dashboard!$C$13),OR(Dashboard!$C$15="All",C319=Dashboard!$C$15),OR(Dashboard!$C$16="All",K319=Dashboard!$C$16),OR(Dashboard!$C$17="All",J319=Dashboard!$C$17)),1,0)</f>
        <v>1</v>
      </c>
      <c r="P319" s="24">
        <f>IF(AND(L319=1,OR(Dashboard!$C$13="All",A319=Dashboard!$C$13),OR(Dashboard!$C$14="All",B319=Dashboard!$C$14),OR(Dashboard!$C$15="All",C319=Dashboard!$C$15),OR(Dashboard!$C$17="All",J319=Dashboard!$C$17)),1,0)</f>
        <v>1</v>
      </c>
      <c r="Q319" s="24">
        <f>IF(AND(L319=1,OR(Dashboard!$C$14="All",B319=Dashboard!$C$14),OR(Dashboard!$C$15="All",C319=Dashboard!$C$15),OR(Dashboard!$C$16="All",K319=Dashboard!$C$16),OR(Dashboard!$C$17="All",J319=Dashboard!$C$17)),1,0)</f>
        <v>1</v>
      </c>
      <c r="R319" s="24">
        <f>IF(AND(L319=1,OR(Dashboard!$C$13="All",A319=Dashboard!$C$13),OR(Dashboard!$C$14="All",B319=Dashboard!$C$14),OR(Dashboard!$C$15="All",C319=Dashboard!$C$15),OR(Dashboard!$C$16="All",K319=Dashboard!$C$16)),1,0)</f>
        <v>1</v>
      </c>
      <c r="S319" s="24">
        <f t="shared" si="3"/>
        <v>318</v>
      </c>
      <c r="V319" s="24" t="s">
        <v>91</v>
      </c>
    </row>
    <row r="320" ht="15.75" customHeight="1">
      <c r="A320" s="3" t="s">
        <v>346</v>
      </c>
      <c r="B320" s="4"/>
      <c r="C320" s="3" t="s">
        <v>506</v>
      </c>
      <c r="D320" s="4">
        <v>12.0</v>
      </c>
      <c r="E320" s="17">
        <v>24.0</v>
      </c>
      <c r="F320" s="5">
        <f t="shared" si="1"/>
        <v>288</v>
      </c>
      <c r="G320" s="6">
        <v>46262.0</v>
      </c>
      <c r="H320" s="22">
        <v>11.0</v>
      </c>
      <c r="I320" s="7">
        <f t="shared" si="2"/>
        <v>46339</v>
      </c>
      <c r="J320" s="4" t="s">
        <v>25</v>
      </c>
      <c r="K320" s="4" t="s">
        <v>31</v>
      </c>
      <c r="L320" s="24">
        <f>IF(A320="","",IF(OR(G320="",AND(G320&gt;=Dashboard!$C$18,G320&lt;=Dashboard!$C$19)),1,0))</f>
        <v>1</v>
      </c>
      <c r="M320" s="24">
        <f>IF(AND(L320=1,OR(Dashboard!$C$13="All",A320=Dashboard!$C$13),OR(Dashboard!$C$14="All",B320=Dashboard!$C$14),OR(Dashboard!$C$15="All",C320=Dashboard!$C$15),OR(Dashboard!$C$16="All",K320=Dashboard!$C$16),OR(Dashboard!$C$17="All",J320=Dashboard!$C$17)),1,0)</f>
        <v>1</v>
      </c>
      <c r="N320" s="24">
        <f>IF(AND(L320=1,OR(Dashboard!$C$13="All",A320=Dashboard!$C$13),OR(Dashboard!$C$14="All",B320=Dashboard!$C$14),OR(Dashboard!$C$16="All",K320=Dashboard!$C$16),OR(Dashboard!$C$17="All",J320=Dashboard!$C$17)),1,0)</f>
        <v>1</v>
      </c>
      <c r="O320" s="24">
        <f>IF(AND(L320=1,OR(Dashboard!$C$13="All",A320=Dashboard!$C$13),OR(Dashboard!$C$15="All",C320=Dashboard!$C$15),OR(Dashboard!$C$16="All",K320=Dashboard!$C$16),OR(Dashboard!$C$17="All",J320=Dashboard!$C$17)),1,0)</f>
        <v>1</v>
      </c>
      <c r="P320" s="24">
        <f>IF(AND(L320=1,OR(Dashboard!$C$13="All",A320=Dashboard!$C$13),OR(Dashboard!$C$14="All",B320=Dashboard!$C$14),OR(Dashboard!$C$15="All",C320=Dashboard!$C$15),OR(Dashboard!$C$17="All",J320=Dashboard!$C$17)),1,0)</f>
        <v>1</v>
      </c>
      <c r="Q320" s="24">
        <f>IF(AND(L320=1,OR(Dashboard!$C$14="All",B320=Dashboard!$C$14),OR(Dashboard!$C$15="All",C320=Dashboard!$C$15),OR(Dashboard!$C$16="All",K320=Dashboard!$C$16),OR(Dashboard!$C$17="All",J320=Dashboard!$C$17)),1,0)</f>
        <v>1</v>
      </c>
      <c r="R320" s="24">
        <f>IF(AND(L320=1,OR(Dashboard!$C$13="All",A320=Dashboard!$C$13),OR(Dashboard!$C$14="All",B320=Dashboard!$C$14),OR(Dashboard!$C$15="All",C320=Dashboard!$C$15),OR(Dashboard!$C$16="All",K320=Dashboard!$C$16)),1,0)</f>
        <v>1</v>
      </c>
      <c r="S320" s="24">
        <f t="shared" si="3"/>
        <v>319</v>
      </c>
      <c r="V320" s="24" t="s">
        <v>636</v>
      </c>
    </row>
    <row r="321" ht="15.75" customHeight="1">
      <c r="A321" s="10" t="s">
        <v>346</v>
      </c>
      <c r="B321" s="13"/>
      <c r="C321" s="10" t="s">
        <v>620</v>
      </c>
      <c r="D321" s="13">
        <v>12.0</v>
      </c>
      <c r="E321" s="14">
        <v>25.0</v>
      </c>
      <c r="F321" s="15">
        <f t="shared" si="1"/>
        <v>300</v>
      </c>
      <c r="G321" s="6">
        <v>46263.0</v>
      </c>
      <c r="H321" s="22">
        <v>11.0</v>
      </c>
      <c r="I321" s="16">
        <f t="shared" si="2"/>
        <v>46340</v>
      </c>
      <c r="J321" s="13" t="s">
        <v>25</v>
      </c>
      <c r="K321" s="13" t="s">
        <v>31</v>
      </c>
      <c r="L321" s="24">
        <f>IF(A321="","",IF(OR(G321="",AND(G321&gt;=Dashboard!$C$18,G321&lt;=Dashboard!$C$19)),1,0))</f>
        <v>1</v>
      </c>
      <c r="M321" s="24">
        <f>IF(AND(L321=1,OR(Dashboard!$C$13="All",A321=Dashboard!$C$13),OR(Dashboard!$C$14="All",B321=Dashboard!$C$14),OR(Dashboard!$C$15="All",C321=Dashboard!$C$15),OR(Dashboard!$C$16="All",K321=Dashboard!$C$16),OR(Dashboard!$C$17="All",J321=Dashboard!$C$17)),1,0)</f>
        <v>1</v>
      </c>
      <c r="N321" s="24">
        <f>IF(AND(L321=1,OR(Dashboard!$C$13="All",A321=Dashboard!$C$13),OR(Dashboard!$C$14="All",B321=Dashboard!$C$14),OR(Dashboard!$C$16="All",K321=Dashboard!$C$16),OR(Dashboard!$C$17="All",J321=Dashboard!$C$17)),1,0)</f>
        <v>1</v>
      </c>
      <c r="O321" s="24">
        <f>IF(AND(L321=1,OR(Dashboard!$C$13="All",A321=Dashboard!$C$13),OR(Dashboard!$C$15="All",C321=Dashboard!$C$15),OR(Dashboard!$C$16="All",K321=Dashboard!$C$16),OR(Dashboard!$C$17="All",J321=Dashboard!$C$17)),1,0)</f>
        <v>1</v>
      </c>
      <c r="P321" s="24">
        <f>IF(AND(L321=1,OR(Dashboard!$C$13="All",A321=Dashboard!$C$13),OR(Dashboard!$C$14="All",B321=Dashboard!$C$14),OR(Dashboard!$C$15="All",C321=Dashboard!$C$15),OR(Dashboard!$C$17="All",J321=Dashboard!$C$17)),1,0)</f>
        <v>1</v>
      </c>
      <c r="Q321" s="24">
        <f>IF(AND(L321=1,OR(Dashboard!$C$14="All",B321=Dashboard!$C$14),OR(Dashboard!$C$15="All",C321=Dashboard!$C$15),OR(Dashboard!$C$16="All",K321=Dashboard!$C$16),OR(Dashboard!$C$17="All",J321=Dashboard!$C$17)),1,0)</f>
        <v>1</v>
      </c>
      <c r="R321" s="24">
        <f>IF(AND(L321=1,OR(Dashboard!$C$13="All",A321=Dashboard!$C$13),OR(Dashboard!$C$14="All",B321=Dashboard!$C$14),OR(Dashboard!$C$15="All",C321=Dashboard!$C$15),OR(Dashboard!$C$16="All",K321=Dashboard!$C$16)),1,0)</f>
        <v>1</v>
      </c>
      <c r="S321" s="24">
        <f t="shared" si="3"/>
        <v>320</v>
      </c>
      <c r="V321" s="24" t="s">
        <v>637</v>
      </c>
    </row>
    <row r="322" ht="15.75" customHeight="1">
      <c r="A322" s="3" t="s">
        <v>348</v>
      </c>
      <c r="B322" s="4"/>
      <c r="C322" s="3" t="s">
        <v>156</v>
      </c>
      <c r="D322" s="4">
        <v>1.0</v>
      </c>
      <c r="E322" s="17">
        <v>36.0</v>
      </c>
      <c r="F322" s="5">
        <f t="shared" si="1"/>
        <v>36</v>
      </c>
      <c r="G322" s="6">
        <v>46264.0</v>
      </c>
      <c r="H322" s="22">
        <v>12.0</v>
      </c>
      <c r="I322" s="7">
        <f t="shared" si="2"/>
        <v>46348</v>
      </c>
      <c r="J322" s="4" t="s">
        <v>25</v>
      </c>
      <c r="K322" s="4" t="s">
        <v>31</v>
      </c>
      <c r="L322" s="24">
        <f>IF(A322="","",IF(OR(G322="",AND(G322&gt;=Dashboard!$C$18,G322&lt;=Dashboard!$C$19)),1,0))</f>
        <v>1</v>
      </c>
      <c r="M322" s="24">
        <f>IF(AND(L322=1,OR(Dashboard!$C$13="All",A322=Dashboard!$C$13),OR(Dashboard!$C$14="All",B322=Dashboard!$C$14),OR(Dashboard!$C$15="All",C322=Dashboard!$C$15),OR(Dashboard!$C$16="All",K322=Dashboard!$C$16),OR(Dashboard!$C$17="All",J322=Dashboard!$C$17)),1,0)</f>
        <v>1</v>
      </c>
      <c r="N322" s="24">
        <f>IF(AND(L322=1,OR(Dashboard!$C$13="All",A322=Dashboard!$C$13),OR(Dashboard!$C$14="All",B322=Dashboard!$C$14),OR(Dashboard!$C$16="All",K322=Dashboard!$C$16),OR(Dashboard!$C$17="All",J322=Dashboard!$C$17)),1,0)</f>
        <v>1</v>
      </c>
      <c r="O322" s="24">
        <f>IF(AND(L322=1,OR(Dashboard!$C$13="All",A322=Dashboard!$C$13),OR(Dashboard!$C$15="All",C322=Dashboard!$C$15),OR(Dashboard!$C$16="All",K322=Dashboard!$C$16),OR(Dashboard!$C$17="All",J322=Dashboard!$C$17)),1,0)</f>
        <v>1</v>
      </c>
      <c r="P322" s="24">
        <f>IF(AND(L322=1,OR(Dashboard!$C$13="All",A322=Dashboard!$C$13),OR(Dashboard!$C$14="All",B322=Dashboard!$C$14),OR(Dashboard!$C$15="All",C322=Dashboard!$C$15),OR(Dashboard!$C$17="All",J322=Dashboard!$C$17)),1,0)</f>
        <v>1</v>
      </c>
      <c r="Q322" s="24">
        <f>IF(AND(L322=1,OR(Dashboard!$C$14="All",B322=Dashboard!$C$14),OR(Dashboard!$C$15="All",C322=Dashboard!$C$15),OR(Dashboard!$C$16="All",K322=Dashboard!$C$16),OR(Dashboard!$C$17="All",J322=Dashboard!$C$17)),1,0)</f>
        <v>1</v>
      </c>
      <c r="R322" s="24">
        <f>IF(AND(L322=1,OR(Dashboard!$C$13="All",A322=Dashboard!$C$13),OR(Dashboard!$C$14="All",B322=Dashboard!$C$14),OR(Dashboard!$C$15="All",C322=Dashboard!$C$15),OR(Dashboard!$C$16="All",K322=Dashboard!$C$16)),1,0)</f>
        <v>1</v>
      </c>
      <c r="S322" s="24">
        <f t="shared" si="3"/>
        <v>321</v>
      </c>
      <c r="V322" s="24" t="s">
        <v>495</v>
      </c>
    </row>
    <row r="323" ht="15.75" customHeight="1">
      <c r="A323" s="10" t="s">
        <v>180</v>
      </c>
      <c r="B323" s="13"/>
      <c r="C323" s="10" t="s">
        <v>545</v>
      </c>
      <c r="D323" s="13">
        <v>1.0</v>
      </c>
      <c r="E323" s="14">
        <v>95.0</v>
      </c>
      <c r="F323" s="15">
        <f t="shared" si="1"/>
        <v>95</v>
      </c>
      <c r="G323" s="6">
        <v>46265.0</v>
      </c>
      <c r="H323" s="22">
        <v>16.0</v>
      </c>
      <c r="I323" s="16">
        <f t="shared" si="2"/>
        <v>46377</v>
      </c>
      <c r="J323" s="13" t="s">
        <v>25</v>
      </c>
      <c r="K323" s="13" t="s">
        <v>31</v>
      </c>
      <c r="L323" s="24">
        <f>IF(A323="","",IF(OR(G323="",AND(G323&gt;=Dashboard!$C$18,G323&lt;=Dashboard!$C$19)),1,0))</f>
        <v>1</v>
      </c>
      <c r="M323" s="24">
        <f>IF(AND(L323=1,OR(Dashboard!$C$13="All",A323=Dashboard!$C$13),OR(Dashboard!$C$14="All",B323=Dashboard!$C$14),OR(Dashboard!$C$15="All",C323=Dashboard!$C$15),OR(Dashboard!$C$16="All",K323=Dashboard!$C$16),OR(Dashboard!$C$17="All",J323=Dashboard!$C$17)),1,0)</f>
        <v>1</v>
      </c>
      <c r="N323" s="24">
        <f>IF(AND(L323=1,OR(Dashboard!$C$13="All",A323=Dashboard!$C$13),OR(Dashboard!$C$14="All",B323=Dashboard!$C$14),OR(Dashboard!$C$16="All",K323=Dashboard!$C$16),OR(Dashboard!$C$17="All",J323=Dashboard!$C$17)),1,0)</f>
        <v>1</v>
      </c>
      <c r="O323" s="24">
        <f>IF(AND(L323=1,OR(Dashboard!$C$13="All",A323=Dashboard!$C$13),OR(Dashboard!$C$15="All",C323=Dashboard!$C$15),OR(Dashboard!$C$16="All",K323=Dashboard!$C$16),OR(Dashboard!$C$17="All",J323=Dashboard!$C$17)),1,0)</f>
        <v>1</v>
      </c>
      <c r="P323" s="24">
        <f>IF(AND(L323=1,OR(Dashboard!$C$13="All",A323=Dashboard!$C$13),OR(Dashboard!$C$14="All",B323=Dashboard!$C$14),OR(Dashboard!$C$15="All",C323=Dashboard!$C$15),OR(Dashboard!$C$17="All",J323=Dashboard!$C$17)),1,0)</f>
        <v>1</v>
      </c>
      <c r="Q323" s="24">
        <f>IF(AND(L323=1,OR(Dashboard!$C$14="All",B323=Dashboard!$C$14),OR(Dashboard!$C$15="All",C323=Dashboard!$C$15),OR(Dashboard!$C$16="All",K323=Dashboard!$C$16),OR(Dashboard!$C$17="All",J323=Dashboard!$C$17)),1,0)</f>
        <v>1</v>
      </c>
      <c r="R323" s="24">
        <f>IF(AND(L323=1,OR(Dashboard!$C$13="All",A323=Dashboard!$C$13),OR(Dashboard!$C$14="All",B323=Dashboard!$C$14),OR(Dashboard!$C$15="All",C323=Dashboard!$C$15),OR(Dashboard!$C$16="All",K323=Dashboard!$C$16)),1,0)</f>
        <v>1</v>
      </c>
      <c r="S323" s="24">
        <f t="shared" si="3"/>
        <v>322</v>
      </c>
      <c r="V323" s="24" t="s">
        <v>623</v>
      </c>
    </row>
    <row r="324" ht="15.75" customHeight="1">
      <c r="A324" s="3" t="s">
        <v>207</v>
      </c>
      <c r="B324" s="4"/>
      <c r="C324" s="3" t="s">
        <v>638</v>
      </c>
      <c r="D324" s="4">
        <v>2.0</v>
      </c>
      <c r="E324" s="17">
        <v>574.0</v>
      </c>
      <c r="F324" s="5">
        <f t="shared" si="1"/>
        <v>1148</v>
      </c>
      <c r="G324" s="6">
        <v>46266.0</v>
      </c>
      <c r="H324" s="22">
        <v>17.0</v>
      </c>
      <c r="I324" s="7">
        <f t="shared" si="2"/>
        <v>46385</v>
      </c>
      <c r="J324" s="4" t="s">
        <v>25</v>
      </c>
      <c r="K324" s="4" t="s">
        <v>31</v>
      </c>
      <c r="L324" s="24">
        <f>IF(A324="","",IF(OR(G324="",AND(G324&gt;=Dashboard!$C$18,G324&lt;=Dashboard!$C$19)),1,0))</f>
        <v>1</v>
      </c>
      <c r="M324" s="24">
        <f>IF(AND(L324=1,OR(Dashboard!$C$13="All",A324=Dashboard!$C$13),OR(Dashboard!$C$14="All",B324=Dashboard!$C$14),OR(Dashboard!$C$15="All",C324=Dashboard!$C$15),OR(Dashboard!$C$16="All",K324=Dashboard!$C$16),OR(Dashboard!$C$17="All",J324=Dashboard!$C$17)),1,0)</f>
        <v>1</v>
      </c>
      <c r="N324" s="24">
        <f>IF(AND(L324=1,OR(Dashboard!$C$13="All",A324=Dashboard!$C$13),OR(Dashboard!$C$14="All",B324=Dashboard!$C$14),OR(Dashboard!$C$16="All",K324=Dashboard!$C$16),OR(Dashboard!$C$17="All",J324=Dashboard!$C$17)),1,0)</f>
        <v>1</v>
      </c>
      <c r="O324" s="24">
        <f>IF(AND(L324=1,OR(Dashboard!$C$13="All",A324=Dashboard!$C$13),OR(Dashboard!$C$15="All",C324=Dashboard!$C$15),OR(Dashboard!$C$16="All",K324=Dashboard!$C$16),OR(Dashboard!$C$17="All",J324=Dashboard!$C$17)),1,0)</f>
        <v>1</v>
      </c>
      <c r="P324" s="24">
        <f>IF(AND(L324=1,OR(Dashboard!$C$13="All",A324=Dashboard!$C$13),OR(Dashboard!$C$14="All",B324=Dashboard!$C$14),OR(Dashboard!$C$15="All",C324=Dashboard!$C$15),OR(Dashboard!$C$17="All",J324=Dashboard!$C$17)),1,0)</f>
        <v>1</v>
      </c>
      <c r="Q324" s="24">
        <f>IF(AND(L324=1,OR(Dashboard!$C$14="All",B324=Dashboard!$C$14),OR(Dashboard!$C$15="All",C324=Dashboard!$C$15),OR(Dashboard!$C$16="All",K324=Dashboard!$C$16),OR(Dashboard!$C$17="All",J324=Dashboard!$C$17)),1,0)</f>
        <v>1</v>
      </c>
      <c r="R324" s="24">
        <f>IF(AND(L324=1,OR(Dashboard!$C$13="All",A324=Dashboard!$C$13),OR(Dashboard!$C$14="All",B324=Dashboard!$C$14),OR(Dashboard!$C$15="All",C324=Dashboard!$C$15),OR(Dashboard!$C$16="All",K324=Dashboard!$C$16)),1,0)</f>
        <v>1</v>
      </c>
      <c r="S324" s="24">
        <f t="shared" si="3"/>
        <v>323</v>
      </c>
      <c r="V324" s="24" t="s">
        <v>523</v>
      </c>
    </row>
    <row r="325" ht="15.75" customHeight="1">
      <c r="A325" s="10" t="s">
        <v>350</v>
      </c>
      <c r="B325" s="13"/>
      <c r="C325" s="10" t="s">
        <v>78</v>
      </c>
      <c r="D325" s="13">
        <v>1.0</v>
      </c>
      <c r="E325" s="14">
        <v>558.0</v>
      </c>
      <c r="F325" s="15">
        <f t="shared" si="1"/>
        <v>558</v>
      </c>
      <c r="G325" s="6">
        <v>46267.0</v>
      </c>
      <c r="H325" s="22">
        <v>16.0</v>
      </c>
      <c r="I325" s="16">
        <f t="shared" si="2"/>
        <v>46379</v>
      </c>
      <c r="J325" s="13" t="s">
        <v>25</v>
      </c>
      <c r="K325" s="13" t="s">
        <v>31</v>
      </c>
      <c r="L325" s="24">
        <f>IF(A325="","",IF(OR(G325="",AND(G325&gt;=Dashboard!$C$18,G325&lt;=Dashboard!$C$19)),1,0))</f>
        <v>1</v>
      </c>
      <c r="M325" s="24">
        <f>IF(AND(L325=1,OR(Dashboard!$C$13="All",A325=Dashboard!$C$13),OR(Dashboard!$C$14="All",B325=Dashboard!$C$14),OR(Dashboard!$C$15="All",C325=Dashboard!$C$15),OR(Dashboard!$C$16="All",K325=Dashboard!$C$16),OR(Dashboard!$C$17="All",J325=Dashboard!$C$17)),1,0)</f>
        <v>1</v>
      </c>
      <c r="N325" s="24">
        <f>IF(AND(L325=1,OR(Dashboard!$C$13="All",A325=Dashboard!$C$13),OR(Dashboard!$C$14="All",B325=Dashboard!$C$14),OR(Dashboard!$C$16="All",K325=Dashboard!$C$16),OR(Dashboard!$C$17="All",J325=Dashboard!$C$17)),1,0)</f>
        <v>1</v>
      </c>
      <c r="O325" s="24">
        <f>IF(AND(L325=1,OR(Dashboard!$C$13="All",A325=Dashboard!$C$13),OR(Dashboard!$C$15="All",C325=Dashboard!$C$15),OR(Dashboard!$C$16="All",K325=Dashboard!$C$16),OR(Dashboard!$C$17="All",J325=Dashboard!$C$17)),1,0)</f>
        <v>1</v>
      </c>
      <c r="P325" s="24">
        <f>IF(AND(L325=1,OR(Dashboard!$C$13="All",A325=Dashboard!$C$13),OR(Dashboard!$C$14="All",B325=Dashboard!$C$14),OR(Dashboard!$C$15="All",C325=Dashboard!$C$15),OR(Dashboard!$C$17="All",J325=Dashboard!$C$17)),1,0)</f>
        <v>1</v>
      </c>
      <c r="Q325" s="24">
        <f>IF(AND(L325=1,OR(Dashboard!$C$14="All",B325=Dashboard!$C$14),OR(Dashboard!$C$15="All",C325=Dashboard!$C$15),OR(Dashboard!$C$16="All",K325=Dashboard!$C$16),OR(Dashboard!$C$17="All",J325=Dashboard!$C$17)),1,0)</f>
        <v>1</v>
      </c>
      <c r="R325" s="24">
        <f>IF(AND(L325=1,OR(Dashboard!$C$13="All",A325=Dashboard!$C$13),OR(Dashboard!$C$14="All",B325=Dashboard!$C$14),OR(Dashboard!$C$15="All",C325=Dashboard!$C$15),OR(Dashboard!$C$16="All",K325=Dashboard!$C$16)),1,0)</f>
        <v>1</v>
      </c>
      <c r="S325" s="24">
        <f t="shared" si="3"/>
        <v>324</v>
      </c>
      <c r="V325" s="24" t="s">
        <v>639</v>
      </c>
    </row>
    <row r="326" ht="15.75" customHeight="1">
      <c r="A326" s="3" t="s">
        <v>350</v>
      </c>
      <c r="B326" s="4"/>
      <c r="C326" s="3" t="s">
        <v>152</v>
      </c>
      <c r="D326" s="4">
        <v>100.0</v>
      </c>
      <c r="E326" s="17">
        <v>2265.0</v>
      </c>
      <c r="F326" s="5">
        <f t="shared" si="1"/>
        <v>226500</v>
      </c>
      <c r="G326" s="6">
        <v>46268.0</v>
      </c>
      <c r="H326" s="22">
        <v>16.0</v>
      </c>
      <c r="I326" s="7">
        <f t="shared" si="2"/>
        <v>46380</v>
      </c>
      <c r="J326" s="4" t="s">
        <v>25</v>
      </c>
      <c r="K326" s="4" t="s">
        <v>31</v>
      </c>
      <c r="L326" s="24">
        <f>IF(A326="","",IF(OR(G326="",AND(G326&gt;=Dashboard!$C$18,G326&lt;=Dashboard!$C$19)),1,0))</f>
        <v>1</v>
      </c>
      <c r="M326" s="24">
        <f>IF(AND(L326=1,OR(Dashboard!$C$13="All",A326=Dashboard!$C$13),OR(Dashboard!$C$14="All",B326=Dashboard!$C$14),OR(Dashboard!$C$15="All",C326=Dashboard!$C$15),OR(Dashboard!$C$16="All",K326=Dashboard!$C$16),OR(Dashboard!$C$17="All",J326=Dashboard!$C$17)),1,0)</f>
        <v>1</v>
      </c>
      <c r="N326" s="24">
        <f>IF(AND(L326=1,OR(Dashboard!$C$13="All",A326=Dashboard!$C$13),OR(Dashboard!$C$14="All",B326=Dashboard!$C$14),OR(Dashboard!$C$16="All",K326=Dashboard!$C$16),OR(Dashboard!$C$17="All",J326=Dashboard!$C$17)),1,0)</f>
        <v>1</v>
      </c>
      <c r="O326" s="24">
        <f>IF(AND(L326=1,OR(Dashboard!$C$13="All",A326=Dashboard!$C$13),OR(Dashboard!$C$15="All",C326=Dashboard!$C$15),OR(Dashboard!$C$16="All",K326=Dashboard!$C$16),OR(Dashboard!$C$17="All",J326=Dashboard!$C$17)),1,0)</f>
        <v>1</v>
      </c>
      <c r="P326" s="24">
        <f>IF(AND(L326=1,OR(Dashboard!$C$13="All",A326=Dashboard!$C$13),OR(Dashboard!$C$14="All",B326=Dashboard!$C$14),OR(Dashboard!$C$15="All",C326=Dashboard!$C$15),OR(Dashboard!$C$17="All",J326=Dashboard!$C$17)),1,0)</f>
        <v>1</v>
      </c>
      <c r="Q326" s="24">
        <f>IF(AND(L326=1,OR(Dashboard!$C$14="All",B326=Dashboard!$C$14),OR(Dashboard!$C$15="All",C326=Dashboard!$C$15),OR(Dashboard!$C$16="All",K326=Dashboard!$C$16),OR(Dashboard!$C$17="All",J326=Dashboard!$C$17)),1,0)</f>
        <v>1</v>
      </c>
      <c r="R326" s="24">
        <f>IF(AND(L326=1,OR(Dashboard!$C$13="All",A326=Dashboard!$C$13),OR(Dashboard!$C$14="All",B326=Dashboard!$C$14),OR(Dashboard!$C$15="All",C326=Dashboard!$C$15),OR(Dashboard!$C$16="All",K326=Dashboard!$C$16)),1,0)</f>
        <v>1</v>
      </c>
      <c r="S326" s="24">
        <f t="shared" si="3"/>
        <v>325</v>
      </c>
      <c r="V326" s="24" t="s">
        <v>613</v>
      </c>
    </row>
    <row r="327" ht="15.75" customHeight="1">
      <c r="A327" s="10" t="s">
        <v>351</v>
      </c>
      <c r="B327" s="13"/>
      <c r="C327" s="10" t="s">
        <v>160</v>
      </c>
      <c r="D327" s="13">
        <v>1.0</v>
      </c>
      <c r="E327" s="14">
        <v>45.0</v>
      </c>
      <c r="F327" s="15">
        <f t="shared" si="1"/>
        <v>45</v>
      </c>
      <c r="G327" s="6">
        <v>46269.0</v>
      </c>
      <c r="H327" s="22">
        <v>16.0</v>
      </c>
      <c r="I327" s="16">
        <f t="shared" si="2"/>
        <v>46381</v>
      </c>
      <c r="J327" s="13" t="s">
        <v>25</v>
      </c>
      <c r="K327" s="13" t="s">
        <v>31</v>
      </c>
      <c r="L327" s="24">
        <f>IF(A327="","",IF(OR(G327="",AND(G327&gt;=Dashboard!$C$18,G327&lt;=Dashboard!$C$19)),1,0))</f>
        <v>1</v>
      </c>
      <c r="M327" s="24">
        <f>IF(AND(L327=1,OR(Dashboard!$C$13="All",A327=Dashboard!$C$13),OR(Dashboard!$C$14="All",B327=Dashboard!$C$14),OR(Dashboard!$C$15="All",C327=Dashboard!$C$15),OR(Dashboard!$C$16="All",K327=Dashboard!$C$16),OR(Dashboard!$C$17="All",J327=Dashboard!$C$17)),1,0)</f>
        <v>1</v>
      </c>
      <c r="N327" s="24">
        <f>IF(AND(L327=1,OR(Dashboard!$C$13="All",A327=Dashboard!$C$13),OR(Dashboard!$C$14="All",B327=Dashboard!$C$14),OR(Dashboard!$C$16="All",K327=Dashboard!$C$16),OR(Dashboard!$C$17="All",J327=Dashboard!$C$17)),1,0)</f>
        <v>1</v>
      </c>
      <c r="O327" s="24">
        <f>IF(AND(L327=1,OR(Dashboard!$C$13="All",A327=Dashboard!$C$13),OR(Dashboard!$C$15="All",C327=Dashboard!$C$15),OR(Dashboard!$C$16="All",K327=Dashboard!$C$16),OR(Dashboard!$C$17="All",J327=Dashboard!$C$17)),1,0)</f>
        <v>1</v>
      </c>
      <c r="P327" s="24">
        <f>IF(AND(L327=1,OR(Dashboard!$C$13="All",A327=Dashboard!$C$13),OR(Dashboard!$C$14="All",B327=Dashboard!$C$14),OR(Dashboard!$C$15="All",C327=Dashboard!$C$15),OR(Dashboard!$C$17="All",J327=Dashboard!$C$17)),1,0)</f>
        <v>1</v>
      </c>
      <c r="Q327" s="24">
        <f>IF(AND(L327=1,OR(Dashboard!$C$14="All",B327=Dashboard!$C$14),OR(Dashboard!$C$15="All",C327=Dashboard!$C$15),OR(Dashboard!$C$16="All",K327=Dashboard!$C$16),OR(Dashboard!$C$17="All",J327=Dashboard!$C$17)),1,0)</f>
        <v>1</v>
      </c>
      <c r="R327" s="24">
        <f>IF(AND(L327=1,OR(Dashboard!$C$13="All",A327=Dashboard!$C$13),OR(Dashboard!$C$14="All",B327=Dashboard!$C$14),OR(Dashboard!$C$15="All",C327=Dashboard!$C$15),OR(Dashboard!$C$16="All",K327=Dashboard!$C$16)),1,0)</f>
        <v>1</v>
      </c>
      <c r="S327" s="24">
        <f t="shared" si="3"/>
        <v>326</v>
      </c>
      <c r="V327" s="24" t="s">
        <v>640</v>
      </c>
    </row>
    <row r="328" ht="15.75" customHeight="1">
      <c r="A328" s="3" t="s">
        <v>353</v>
      </c>
      <c r="B328" s="4"/>
      <c r="C328" s="3" t="s">
        <v>401</v>
      </c>
      <c r="D328" s="4">
        <v>2.0</v>
      </c>
      <c r="E328" s="17">
        <v>5554.0</v>
      </c>
      <c r="F328" s="5">
        <f t="shared" si="1"/>
        <v>11108</v>
      </c>
      <c r="G328" s="6">
        <v>46270.0</v>
      </c>
      <c r="H328" s="22">
        <v>16.0</v>
      </c>
      <c r="I328" s="7">
        <f t="shared" si="2"/>
        <v>46382</v>
      </c>
      <c r="J328" s="4" t="s">
        <v>25</v>
      </c>
      <c r="K328" s="4" t="s">
        <v>31</v>
      </c>
      <c r="L328" s="24">
        <f>IF(A328="","",IF(OR(G328="",AND(G328&gt;=Dashboard!$C$18,G328&lt;=Dashboard!$C$19)),1,0))</f>
        <v>1</v>
      </c>
      <c r="M328" s="24">
        <f>IF(AND(L328=1,OR(Dashboard!$C$13="All",A328=Dashboard!$C$13),OR(Dashboard!$C$14="All",B328=Dashboard!$C$14),OR(Dashboard!$C$15="All",C328=Dashboard!$C$15),OR(Dashboard!$C$16="All",K328=Dashboard!$C$16),OR(Dashboard!$C$17="All",J328=Dashboard!$C$17)),1,0)</f>
        <v>1</v>
      </c>
      <c r="N328" s="24">
        <f>IF(AND(L328=1,OR(Dashboard!$C$13="All",A328=Dashboard!$C$13),OR(Dashboard!$C$14="All",B328=Dashboard!$C$14),OR(Dashboard!$C$16="All",K328=Dashboard!$C$16),OR(Dashboard!$C$17="All",J328=Dashboard!$C$17)),1,0)</f>
        <v>1</v>
      </c>
      <c r="O328" s="24">
        <f>IF(AND(L328=1,OR(Dashboard!$C$13="All",A328=Dashboard!$C$13),OR(Dashboard!$C$15="All",C328=Dashboard!$C$15),OR(Dashboard!$C$16="All",K328=Dashboard!$C$16),OR(Dashboard!$C$17="All",J328=Dashboard!$C$17)),1,0)</f>
        <v>1</v>
      </c>
      <c r="P328" s="24">
        <f>IF(AND(L328=1,OR(Dashboard!$C$13="All",A328=Dashboard!$C$13),OR(Dashboard!$C$14="All",B328=Dashboard!$C$14),OR(Dashboard!$C$15="All",C328=Dashboard!$C$15),OR(Dashboard!$C$17="All",J328=Dashboard!$C$17)),1,0)</f>
        <v>1</v>
      </c>
      <c r="Q328" s="24">
        <f>IF(AND(L328=1,OR(Dashboard!$C$14="All",B328=Dashboard!$C$14),OR(Dashboard!$C$15="All",C328=Dashboard!$C$15),OR(Dashboard!$C$16="All",K328=Dashboard!$C$16),OR(Dashboard!$C$17="All",J328=Dashboard!$C$17)),1,0)</f>
        <v>1</v>
      </c>
      <c r="R328" s="24">
        <f>IF(AND(L328=1,OR(Dashboard!$C$13="All",A328=Dashboard!$C$13),OR(Dashboard!$C$14="All",B328=Dashboard!$C$14),OR(Dashboard!$C$15="All",C328=Dashboard!$C$15),OR(Dashboard!$C$16="All",K328=Dashboard!$C$16)),1,0)</f>
        <v>1</v>
      </c>
      <c r="S328" s="24">
        <f t="shared" si="3"/>
        <v>327</v>
      </c>
      <c r="V328" s="24" t="s">
        <v>625</v>
      </c>
    </row>
    <row r="329" ht="15.75" customHeight="1">
      <c r="A329" s="10" t="s">
        <v>353</v>
      </c>
      <c r="B329" s="13"/>
      <c r="C329" s="10" t="s">
        <v>383</v>
      </c>
      <c r="D329" s="13">
        <v>2.0</v>
      </c>
      <c r="E329" s="14">
        <v>41.0</v>
      </c>
      <c r="F329" s="15">
        <f t="shared" si="1"/>
        <v>82</v>
      </c>
      <c r="G329" s="6">
        <v>46271.0</v>
      </c>
      <c r="H329" s="22">
        <v>15.0</v>
      </c>
      <c r="I329" s="16">
        <f t="shared" si="2"/>
        <v>46376</v>
      </c>
      <c r="J329" s="13" t="s">
        <v>25</v>
      </c>
      <c r="K329" s="13" t="s">
        <v>31</v>
      </c>
      <c r="L329" s="24">
        <f>IF(A329="","",IF(OR(G329="",AND(G329&gt;=Dashboard!$C$18,G329&lt;=Dashboard!$C$19)),1,0))</f>
        <v>1</v>
      </c>
      <c r="M329" s="24">
        <f>IF(AND(L329=1,OR(Dashboard!$C$13="All",A329=Dashboard!$C$13),OR(Dashboard!$C$14="All",B329=Dashboard!$C$14),OR(Dashboard!$C$15="All",C329=Dashboard!$C$15),OR(Dashboard!$C$16="All",K329=Dashboard!$C$16),OR(Dashboard!$C$17="All",J329=Dashboard!$C$17)),1,0)</f>
        <v>1</v>
      </c>
      <c r="N329" s="24">
        <f>IF(AND(L329=1,OR(Dashboard!$C$13="All",A329=Dashboard!$C$13),OR(Dashboard!$C$14="All",B329=Dashboard!$C$14),OR(Dashboard!$C$16="All",K329=Dashboard!$C$16),OR(Dashboard!$C$17="All",J329=Dashboard!$C$17)),1,0)</f>
        <v>1</v>
      </c>
      <c r="O329" s="24">
        <f>IF(AND(L329=1,OR(Dashboard!$C$13="All",A329=Dashboard!$C$13),OR(Dashboard!$C$15="All",C329=Dashboard!$C$15),OR(Dashboard!$C$16="All",K329=Dashboard!$C$16),OR(Dashboard!$C$17="All",J329=Dashboard!$C$17)),1,0)</f>
        <v>1</v>
      </c>
      <c r="P329" s="24">
        <f>IF(AND(L329=1,OR(Dashboard!$C$13="All",A329=Dashboard!$C$13),OR(Dashboard!$C$14="All",B329=Dashboard!$C$14),OR(Dashboard!$C$15="All",C329=Dashboard!$C$15),OR(Dashboard!$C$17="All",J329=Dashboard!$C$17)),1,0)</f>
        <v>1</v>
      </c>
      <c r="Q329" s="24">
        <f>IF(AND(L329=1,OR(Dashboard!$C$14="All",B329=Dashboard!$C$14),OR(Dashboard!$C$15="All",C329=Dashboard!$C$15),OR(Dashboard!$C$16="All",K329=Dashboard!$C$16),OR(Dashboard!$C$17="All",J329=Dashboard!$C$17)),1,0)</f>
        <v>1</v>
      </c>
      <c r="R329" s="24">
        <f>IF(AND(L329=1,OR(Dashboard!$C$13="All",A329=Dashboard!$C$13),OR(Dashboard!$C$14="All",B329=Dashboard!$C$14),OR(Dashboard!$C$15="All",C329=Dashboard!$C$15),OR(Dashboard!$C$16="All",K329=Dashboard!$C$16)),1,0)</f>
        <v>1</v>
      </c>
      <c r="S329" s="24">
        <f t="shared" si="3"/>
        <v>328</v>
      </c>
      <c r="V329" s="24" t="s">
        <v>246</v>
      </c>
    </row>
    <row r="330" ht="15.75" customHeight="1">
      <c r="A330" s="3" t="s">
        <v>353</v>
      </c>
      <c r="B330" s="4"/>
      <c r="C330" s="3" t="s">
        <v>592</v>
      </c>
      <c r="D330" s="4">
        <v>2.0</v>
      </c>
      <c r="E330" s="17">
        <v>231.0</v>
      </c>
      <c r="F330" s="5">
        <f t="shared" si="1"/>
        <v>462</v>
      </c>
      <c r="G330" s="6">
        <v>46272.0</v>
      </c>
      <c r="H330" s="22">
        <v>17.0</v>
      </c>
      <c r="I330" s="7">
        <f t="shared" si="2"/>
        <v>46391</v>
      </c>
      <c r="J330" s="4" t="s">
        <v>25</v>
      </c>
      <c r="K330" s="4" t="s">
        <v>31</v>
      </c>
      <c r="L330" s="24">
        <f>IF(A330="","",IF(OR(G330="",AND(G330&gt;=Dashboard!$C$18,G330&lt;=Dashboard!$C$19)),1,0))</f>
        <v>1</v>
      </c>
      <c r="M330" s="24">
        <f>IF(AND(L330=1,OR(Dashboard!$C$13="All",A330=Dashboard!$C$13),OR(Dashboard!$C$14="All",B330=Dashboard!$C$14),OR(Dashboard!$C$15="All",C330=Dashboard!$C$15),OR(Dashboard!$C$16="All",K330=Dashboard!$C$16),OR(Dashboard!$C$17="All",J330=Dashboard!$C$17)),1,0)</f>
        <v>1</v>
      </c>
      <c r="N330" s="24">
        <f>IF(AND(L330=1,OR(Dashboard!$C$13="All",A330=Dashboard!$C$13),OR(Dashboard!$C$14="All",B330=Dashboard!$C$14),OR(Dashboard!$C$16="All",K330=Dashboard!$C$16),OR(Dashboard!$C$17="All",J330=Dashboard!$C$17)),1,0)</f>
        <v>1</v>
      </c>
      <c r="O330" s="24">
        <f>IF(AND(L330=1,OR(Dashboard!$C$13="All",A330=Dashboard!$C$13),OR(Dashboard!$C$15="All",C330=Dashboard!$C$15),OR(Dashboard!$C$16="All",K330=Dashboard!$C$16),OR(Dashboard!$C$17="All",J330=Dashboard!$C$17)),1,0)</f>
        <v>1</v>
      </c>
      <c r="P330" s="24">
        <f>IF(AND(L330=1,OR(Dashboard!$C$13="All",A330=Dashboard!$C$13),OR(Dashboard!$C$14="All",B330=Dashboard!$C$14),OR(Dashboard!$C$15="All",C330=Dashboard!$C$15),OR(Dashboard!$C$17="All",J330=Dashboard!$C$17)),1,0)</f>
        <v>1</v>
      </c>
      <c r="Q330" s="24">
        <f>IF(AND(L330=1,OR(Dashboard!$C$14="All",B330=Dashboard!$C$14),OR(Dashboard!$C$15="All",C330=Dashboard!$C$15),OR(Dashboard!$C$16="All",K330=Dashboard!$C$16),OR(Dashboard!$C$17="All",J330=Dashboard!$C$17)),1,0)</f>
        <v>1</v>
      </c>
      <c r="R330" s="24">
        <f>IF(AND(L330=1,OR(Dashboard!$C$13="All",A330=Dashboard!$C$13),OR(Dashboard!$C$14="All",B330=Dashboard!$C$14),OR(Dashboard!$C$15="All",C330=Dashboard!$C$15),OR(Dashboard!$C$16="All",K330=Dashboard!$C$16)),1,0)</f>
        <v>1</v>
      </c>
      <c r="S330" s="24">
        <f t="shared" si="3"/>
        <v>329</v>
      </c>
      <c r="V330" s="24" t="s">
        <v>641</v>
      </c>
    </row>
    <row r="331" ht="15.75" customHeight="1">
      <c r="A331" s="10" t="s">
        <v>353</v>
      </c>
      <c r="B331" s="13"/>
      <c r="C331" s="10" t="s">
        <v>410</v>
      </c>
      <c r="D331" s="13">
        <v>2.0</v>
      </c>
      <c r="E331" s="14">
        <v>25.0</v>
      </c>
      <c r="F331" s="15">
        <f t="shared" si="1"/>
        <v>50</v>
      </c>
      <c r="G331" s="6">
        <v>46273.0</v>
      </c>
      <c r="H331" s="22">
        <v>17.0</v>
      </c>
      <c r="I331" s="16">
        <f t="shared" si="2"/>
        <v>46392</v>
      </c>
      <c r="J331" s="13" t="s">
        <v>25</v>
      </c>
      <c r="K331" s="13" t="s">
        <v>31</v>
      </c>
      <c r="L331" s="24">
        <f>IF(A331="","",IF(OR(G331="",AND(G331&gt;=Dashboard!$C$18,G331&lt;=Dashboard!$C$19)),1,0))</f>
        <v>1</v>
      </c>
      <c r="M331" s="24">
        <f>IF(AND(L331=1,OR(Dashboard!$C$13="All",A331=Dashboard!$C$13),OR(Dashboard!$C$14="All",B331=Dashboard!$C$14),OR(Dashboard!$C$15="All",C331=Dashboard!$C$15),OR(Dashboard!$C$16="All",K331=Dashboard!$C$16),OR(Dashboard!$C$17="All",J331=Dashboard!$C$17)),1,0)</f>
        <v>1</v>
      </c>
      <c r="N331" s="24">
        <f>IF(AND(L331=1,OR(Dashboard!$C$13="All",A331=Dashboard!$C$13),OR(Dashboard!$C$14="All",B331=Dashboard!$C$14),OR(Dashboard!$C$16="All",K331=Dashboard!$C$16),OR(Dashboard!$C$17="All",J331=Dashboard!$C$17)),1,0)</f>
        <v>1</v>
      </c>
      <c r="O331" s="24">
        <f>IF(AND(L331=1,OR(Dashboard!$C$13="All",A331=Dashboard!$C$13),OR(Dashboard!$C$15="All",C331=Dashboard!$C$15),OR(Dashboard!$C$16="All",K331=Dashboard!$C$16),OR(Dashboard!$C$17="All",J331=Dashboard!$C$17)),1,0)</f>
        <v>1</v>
      </c>
      <c r="P331" s="24">
        <f>IF(AND(L331=1,OR(Dashboard!$C$13="All",A331=Dashboard!$C$13),OR(Dashboard!$C$14="All",B331=Dashboard!$C$14),OR(Dashboard!$C$15="All",C331=Dashboard!$C$15),OR(Dashboard!$C$17="All",J331=Dashboard!$C$17)),1,0)</f>
        <v>1</v>
      </c>
      <c r="Q331" s="24">
        <f>IF(AND(L331=1,OR(Dashboard!$C$14="All",B331=Dashboard!$C$14),OR(Dashboard!$C$15="All",C331=Dashboard!$C$15),OR(Dashboard!$C$16="All",K331=Dashboard!$C$16),OR(Dashboard!$C$17="All",J331=Dashboard!$C$17)),1,0)</f>
        <v>1</v>
      </c>
      <c r="R331" s="24">
        <f>IF(AND(L331=1,OR(Dashboard!$C$13="All",A331=Dashboard!$C$13),OR(Dashboard!$C$14="All",B331=Dashboard!$C$14),OR(Dashboard!$C$15="All",C331=Dashboard!$C$15),OR(Dashboard!$C$16="All",K331=Dashboard!$C$16)),1,0)</f>
        <v>1</v>
      </c>
      <c r="S331" s="24">
        <f t="shared" si="3"/>
        <v>330</v>
      </c>
      <c r="V331" s="24" t="s">
        <v>642</v>
      </c>
    </row>
    <row r="332" ht="15.75" customHeight="1">
      <c r="A332" s="3" t="s">
        <v>353</v>
      </c>
      <c r="B332" s="4"/>
      <c r="C332" s="3" t="s">
        <v>386</v>
      </c>
      <c r="D332" s="4">
        <v>1.0</v>
      </c>
      <c r="E332" s="17">
        <v>245.0</v>
      </c>
      <c r="F332" s="5">
        <f t="shared" si="1"/>
        <v>245</v>
      </c>
      <c r="G332" s="6">
        <v>46274.0</v>
      </c>
      <c r="H332" s="22">
        <v>16.0</v>
      </c>
      <c r="I332" s="7">
        <f t="shared" si="2"/>
        <v>46386</v>
      </c>
      <c r="J332" s="4" t="s">
        <v>25</v>
      </c>
      <c r="K332" s="4" t="s">
        <v>31</v>
      </c>
      <c r="L332" s="24">
        <f>IF(A332="","",IF(OR(G332="",AND(G332&gt;=Dashboard!$C$18,G332&lt;=Dashboard!$C$19)),1,0))</f>
        <v>1</v>
      </c>
      <c r="M332" s="24">
        <f>IF(AND(L332=1,OR(Dashboard!$C$13="All",A332=Dashboard!$C$13),OR(Dashboard!$C$14="All",B332=Dashboard!$C$14),OR(Dashboard!$C$15="All",C332=Dashboard!$C$15),OR(Dashboard!$C$16="All",K332=Dashboard!$C$16),OR(Dashboard!$C$17="All",J332=Dashboard!$C$17)),1,0)</f>
        <v>1</v>
      </c>
      <c r="N332" s="24">
        <f>IF(AND(L332=1,OR(Dashboard!$C$13="All",A332=Dashboard!$C$13),OR(Dashboard!$C$14="All",B332=Dashboard!$C$14),OR(Dashboard!$C$16="All",K332=Dashboard!$C$16),OR(Dashboard!$C$17="All",J332=Dashboard!$C$17)),1,0)</f>
        <v>1</v>
      </c>
      <c r="O332" s="24">
        <f>IF(AND(L332=1,OR(Dashboard!$C$13="All",A332=Dashboard!$C$13),OR(Dashboard!$C$15="All",C332=Dashboard!$C$15),OR(Dashboard!$C$16="All",K332=Dashboard!$C$16),OR(Dashboard!$C$17="All",J332=Dashboard!$C$17)),1,0)</f>
        <v>1</v>
      </c>
      <c r="P332" s="24">
        <f>IF(AND(L332=1,OR(Dashboard!$C$13="All",A332=Dashboard!$C$13),OR(Dashboard!$C$14="All",B332=Dashboard!$C$14),OR(Dashboard!$C$15="All",C332=Dashboard!$C$15),OR(Dashboard!$C$17="All",J332=Dashboard!$C$17)),1,0)</f>
        <v>1</v>
      </c>
      <c r="Q332" s="24">
        <f>IF(AND(L332=1,OR(Dashboard!$C$14="All",B332=Dashboard!$C$14),OR(Dashboard!$C$15="All",C332=Dashboard!$C$15),OR(Dashboard!$C$16="All",K332=Dashboard!$C$16),OR(Dashboard!$C$17="All",J332=Dashboard!$C$17)),1,0)</f>
        <v>1</v>
      </c>
      <c r="R332" s="24">
        <f>IF(AND(L332=1,OR(Dashboard!$C$13="All",A332=Dashboard!$C$13),OR(Dashboard!$C$14="All",B332=Dashboard!$C$14),OR(Dashboard!$C$15="All",C332=Dashboard!$C$15),OR(Dashboard!$C$16="All",K332=Dashboard!$C$16)),1,0)</f>
        <v>1</v>
      </c>
      <c r="S332" s="24">
        <f t="shared" si="3"/>
        <v>331</v>
      </c>
      <c r="V332" s="24" t="s">
        <v>643</v>
      </c>
    </row>
    <row r="333" ht="15.75" customHeight="1">
      <c r="A333" s="10" t="s">
        <v>353</v>
      </c>
      <c r="B333" s="13"/>
      <c r="C333" s="10" t="s">
        <v>408</v>
      </c>
      <c r="D333" s="13">
        <v>1.0</v>
      </c>
      <c r="E333" s="14">
        <v>2555.0</v>
      </c>
      <c r="F333" s="15">
        <f t="shared" si="1"/>
        <v>2555</v>
      </c>
      <c r="G333" s="6">
        <v>46275.0</v>
      </c>
      <c r="H333" s="22">
        <v>24.0</v>
      </c>
      <c r="I333" s="16">
        <f t="shared" si="2"/>
        <v>46443</v>
      </c>
      <c r="J333" s="13" t="s">
        <v>25</v>
      </c>
      <c r="K333" s="13" t="s">
        <v>31</v>
      </c>
      <c r="L333" s="24">
        <f>IF(A333="","",IF(OR(G333="",AND(G333&gt;=Dashboard!$C$18,G333&lt;=Dashboard!$C$19)),1,0))</f>
        <v>1</v>
      </c>
      <c r="M333" s="24">
        <f>IF(AND(L333=1,OR(Dashboard!$C$13="All",A333=Dashboard!$C$13),OR(Dashboard!$C$14="All",B333=Dashboard!$C$14),OR(Dashboard!$C$15="All",C333=Dashboard!$C$15),OR(Dashboard!$C$16="All",K333=Dashboard!$C$16),OR(Dashboard!$C$17="All",J333=Dashboard!$C$17)),1,0)</f>
        <v>1</v>
      </c>
      <c r="N333" s="24">
        <f>IF(AND(L333=1,OR(Dashboard!$C$13="All",A333=Dashboard!$C$13),OR(Dashboard!$C$14="All",B333=Dashboard!$C$14),OR(Dashboard!$C$16="All",K333=Dashboard!$C$16),OR(Dashboard!$C$17="All",J333=Dashboard!$C$17)),1,0)</f>
        <v>1</v>
      </c>
      <c r="O333" s="24">
        <f>IF(AND(L333=1,OR(Dashboard!$C$13="All",A333=Dashboard!$C$13),OR(Dashboard!$C$15="All",C333=Dashboard!$C$15),OR(Dashboard!$C$16="All",K333=Dashboard!$C$16),OR(Dashboard!$C$17="All",J333=Dashboard!$C$17)),1,0)</f>
        <v>1</v>
      </c>
      <c r="P333" s="24">
        <f>IF(AND(L333=1,OR(Dashboard!$C$13="All",A333=Dashboard!$C$13),OR(Dashboard!$C$14="All",B333=Dashboard!$C$14),OR(Dashboard!$C$15="All",C333=Dashboard!$C$15),OR(Dashboard!$C$17="All",J333=Dashboard!$C$17)),1,0)</f>
        <v>1</v>
      </c>
      <c r="Q333" s="24">
        <f>IF(AND(L333=1,OR(Dashboard!$C$14="All",B333=Dashboard!$C$14),OR(Dashboard!$C$15="All",C333=Dashboard!$C$15),OR(Dashboard!$C$16="All",K333=Dashboard!$C$16),OR(Dashboard!$C$17="All",J333=Dashboard!$C$17)),1,0)</f>
        <v>1</v>
      </c>
      <c r="R333" s="24">
        <f>IF(AND(L333=1,OR(Dashboard!$C$13="All",A333=Dashboard!$C$13),OR(Dashboard!$C$14="All",B333=Dashboard!$C$14),OR(Dashboard!$C$15="All",C333=Dashboard!$C$15),OR(Dashboard!$C$16="All",K333=Dashboard!$C$16)),1,0)</f>
        <v>1</v>
      </c>
      <c r="S333" s="24">
        <f t="shared" si="3"/>
        <v>332</v>
      </c>
      <c r="V333" s="24" t="s">
        <v>644</v>
      </c>
    </row>
    <row r="334" ht="15.75" customHeight="1">
      <c r="A334" s="3" t="s">
        <v>354</v>
      </c>
      <c r="B334" s="4"/>
      <c r="C334" s="3" t="s">
        <v>399</v>
      </c>
      <c r="D334" s="4">
        <v>2.0</v>
      </c>
      <c r="E334" s="17">
        <v>255.0</v>
      </c>
      <c r="F334" s="5">
        <f t="shared" si="1"/>
        <v>510</v>
      </c>
      <c r="G334" s="6">
        <v>46276.0</v>
      </c>
      <c r="H334" s="22">
        <v>24.0</v>
      </c>
      <c r="I334" s="7">
        <f t="shared" si="2"/>
        <v>46444</v>
      </c>
      <c r="J334" s="4" t="s">
        <v>25</v>
      </c>
      <c r="K334" s="4" t="s">
        <v>31</v>
      </c>
      <c r="L334" s="24">
        <f>IF(A334="","",IF(OR(G334="",AND(G334&gt;=Dashboard!$C$18,G334&lt;=Dashboard!$C$19)),1,0))</f>
        <v>1</v>
      </c>
      <c r="M334" s="24">
        <f>IF(AND(L334=1,OR(Dashboard!$C$13="All",A334=Dashboard!$C$13),OR(Dashboard!$C$14="All",B334=Dashboard!$C$14),OR(Dashboard!$C$15="All",C334=Dashboard!$C$15),OR(Dashboard!$C$16="All",K334=Dashboard!$C$16),OR(Dashboard!$C$17="All",J334=Dashboard!$C$17)),1,0)</f>
        <v>1</v>
      </c>
      <c r="N334" s="24">
        <f>IF(AND(L334=1,OR(Dashboard!$C$13="All",A334=Dashboard!$C$13),OR(Dashboard!$C$14="All",B334=Dashboard!$C$14),OR(Dashboard!$C$16="All",K334=Dashboard!$C$16),OR(Dashboard!$C$17="All",J334=Dashboard!$C$17)),1,0)</f>
        <v>1</v>
      </c>
      <c r="O334" s="24">
        <f>IF(AND(L334=1,OR(Dashboard!$C$13="All",A334=Dashboard!$C$13),OR(Dashboard!$C$15="All",C334=Dashboard!$C$15),OR(Dashboard!$C$16="All",K334=Dashboard!$C$16),OR(Dashboard!$C$17="All",J334=Dashboard!$C$17)),1,0)</f>
        <v>1</v>
      </c>
      <c r="P334" s="24">
        <f>IF(AND(L334=1,OR(Dashboard!$C$13="All",A334=Dashboard!$C$13),OR(Dashboard!$C$14="All",B334=Dashboard!$C$14),OR(Dashboard!$C$15="All",C334=Dashboard!$C$15),OR(Dashboard!$C$17="All",J334=Dashboard!$C$17)),1,0)</f>
        <v>1</v>
      </c>
      <c r="Q334" s="24">
        <f>IF(AND(L334=1,OR(Dashboard!$C$14="All",B334=Dashboard!$C$14),OR(Dashboard!$C$15="All",C334=Dashboard!$C$15),OR(Dashboard!$C$16="All",K334=Dashboard!$C$16),OR(Dashboard!$C$17="All",J334=Dashboard!$C$17)),1,0)</f>
        <v>1</v>
      </c>
      <c r="R334" s="24">
        <f>IF(AND(L334=1,OR(Dashboard!$C$13="All",A334=Dashboard!$C$13),OR(Dashboard!$C$14="All",B334=Dashboard!$C$14),OR(Dashboard!$C$15="All",C334=Dashboard!$C$15),OR(Dashboard!$C$16="All",K334=Dashboard!$C$16)),1,0)</f>
        <v>1</v>
      </c>
      <c r="S334" s="24">
        <f t="shared" si="3"/>
        <v>333</v>
      </c>
      <c r="V334" s="24" t="s">
        <v>142</v>
      </c>
    </row>
    <row r="335" ht="15.75" customHeight="1">
      <c r="A335" s="10" t="s">
        <v>133</v>
      </c>
      <c r="B335" s="13"/>
      <c r="C335" s="10" t="s">
        <v>604</v>
      </c>
      <c r="D335" s="13">
        <v>1.0</v>
      </c>
      <c r="E335" s="14">
        <v>45.0</v>
      </c>
      <c r="F335" s="15">
        <f t="shared" si="1"/>
        <v>45</v>
      </c>
      <c r="G335" s="6">
        <v>46277.0</v>
      </c>
      <c r="H335" s="22">
        <v>23.0</v>
      </c>
      <c r="I335" s="16">
        <f t="shared" si="2"/>
        <v>46438</v>
      </c>
      <c r="J335" s="13" t="s">
        <v>25</v>
      </c>
      <c r="K335" s="13" t="s">
        <v>31</v>
      </c>
      <c r="L335" s="24">
        <f>IF(A335="","",IF(OR(G335="",AND(G335&gt;=Dashboard!$C$18,G335&lt;=Dashboard!$C$19)),1,0))</f>
        <v>1</v>
      </c>
      <c r="M335" s="24">
        <f>IF(AND(L335=1,OR(Dashboard!$C$13="All",A335=Dashboard!$C$13),OR(Dashboard!$C$14="All",B335=Dashboard!$C$14),OR(Dashboard!$C$15="All",C335=Dashboard!$C$15),OR(Dashboard!$C$16="All",K335=Dashboard!$C$16),OR(Dashboard!$C$17="All",J335=Dashboard!$C$17)),1,0)</f>
        <v>1</v>
      </c>
      <c r="N335" s="24">
        <f>IF(AND(L335=1,OR(Dashboard!$C$13="All",A335=Dashboard!$C$13),OR(Dashboard!$C$14="All",B335=Dashboard!$C$14),OR(Dashboard!$C$16="All",K335=Dashboard!$C$16),OR(Dashboard!$C$17="All",J335=Dashboard!$C$17)),1,0)</f>
        <v>1</v>
      </c>
      <c r="O335" s="24">
        <f>IF(AND(L335=1,OR(Dashboard!$C$13="All",A335=Dashboard!$C$13),OR(Dashboard!$C$15="All",C335=Dashboard!$C$15),OR(Dashboard!$C$16="All",K335=Dashboard!$C$16),OR(Dashboard!$C$17="All",J335=Dashboard!$C$17)),1,0)</f>
        <v>1</v>
      </c>
      <c r="P335" s="24">
        <f>IF(AND(L335=1,OR(Dashboard!$C$13="All",A335=Dashboard!$C$13),OR(Dashboard!$C$14="All",B335=Dashboard!$C$14),OR(Dashboard!$C$15="All",C335=Dashboard!$C$15),OR(Dashboard!$C$17="All",J335=Dashboard!$C$17)),1,0)</f>
        <v>1</v>
      </c>
      <c r="Q335" s="24">
        <f>IF(AND(L335=1,OR(Dashboard!$C$14="All",B335=Dashboard!$C$14),OR(Dashboard!$C$15="All",C335=Dashboard!$C$15),OR(Dashboard!$C$16="All",K335=Dashboard!$C$16),OR(Dashboard!$C$17="All",J335=Dashboard!$C$17)),1,0)</f>
        <v>1</v>
      </c>
      <c r="R335" s="24">
        <f>IF(AND(L335=1,OR(Dashboard!$C$13="All",A335=Dashboard!$C$13),OR(Dashboard!$C$14="All",B335=Dashboard!$C$14),OR(Dashboard!$C$15="All",C335=Dashboard!$C$15),OR(Dashboard!$C$16="All",K335=Dashboard!$C$16)),1,0)</f>
        <v>1</v>
      </c>
      <c r="S335" s="24">
        <f t="shared" si="3"/>
        <v>334</v>
      </c>
      <c r="V335" s="24" t="s">
        <v>436</v>
      </c>
    </row>
    <row r="336" ht="15.75" customHeight="1">
      <c r="A336" s="3" t="s">
        <v>133</v>
      </c>
      <c r="B336" s="4"/>
      <c r="C336" s="3" t="s">
        <v>546</v>
      </c>
      <c r="D336" s="4">
        <v>2.0</v>
      </c>
      <c r="E336" s="17">
        <v>36.0</v>
      </c>
      <c r="F336" s="5">
        <f t="shared" si="1"/>
        <v>72</v>
      </c>
      <c r="G336" s="6">
        <v>46278.0</v>
      </c>
      <c r="H336" s="22">
        <v>23.0</v>
      </c>
      <c r="I336" s="7">
        <f t="shared" si="2"/>
        <v>46439</v>
      </c>
      <c r="J336" s="4" t="s">
        <v>25</v>
      </c>
      <c r="K336" s="4" t="s">
        <v>31</v>
      </c>
      <c r="L336" s="24">
        <f>IF(A336="","",IF(OR(G336="",AND(G336&gt;=Dashboard!$C$18,G336&lt;=Dashboard!$C$19)),1,0))</f>
        <v>1</v>
      </c>
      <c r="M336" s="24">
        <f>IF(AND(L336=1,OR(Dashboard!$C$13="All",A336=Dashboard!$C$13),OR(Dashboard!$C$14="All",B336=Dashboard!$C$14),OR(Dashboard!$C$15="All",C336=Dashboard!$C$15),OR(Dashboard!$C$16="All",K336=Dashboard!$C$16),OR(Dashboard!$C$17="All",J336=Dashboard!$C$17)),1,0)</f>
        <v>1</v>
      </c>
      <c r="N336" s="24">
        <f>IF(AND(L336=1,OR(Dashboard!$C$13="All",A336=Dashboard!$C$13),OR(Dashboard!$C$14="All",B336=Dashboard!$C$14),OR(Dashboard!$C$16="All",K336=Dashboard!$C$16),OR(Dashboard!$C$17="All",J336=Dashboard!$C$17)),1,0)</f>
        <v>1</v>
      </c>
      <c r="O336" s="24">
        <f>IF(AND(L336=1,OR(Dashboard!$C$13="All",A336=Dashboard!$C$13),OR(Dashboard!$C$15="All",C336=Dashboard!$C$15),OR(Dashboard!$C$16="All",K336=Dashboard!$C$16),OR(Dashboard!$C$17="All",J336=Dashboard!$C$17)),1,0)</f>
        <v>1</v>
      </c>
      <c r="P336" s="24">
        <f>IF(AND(L336=1,OR(Dashboard!$C$13="All",A336=Dashboard!$C$13),OR(Dashboard!$C$14="All",B336=Dashboard!$C$14),OR(Dashboard!$C$15="All",C336=Dashboard!$C$15),OR(Dashboard!$C$17="All",J336=Dashboard!$C$17)),1,0)</f>
        <v>1</v>
      </c>
      <c r="Q336" s="24">
        <f>IF(AND(L336=1,OR(Dashboard!$C$14="All",B336=Dashboard!$C$14),OR(Dashboard!$C$15="All",C336=Dashboard!$C$15),OR(Dashboard!$C$16="All",K336=Dashboard!$C$16),OR(Dashboard!$C$17="All",J336=Dashboard!$C$17)),1,0)</f>
        <v>1</v>
      </c>
      <c r="R336" s="24">
        <f>IF(AND(L336=1,OR(Dashboard!$C$13="All",A336=Dashboard!$C$13),OR(Dashboard!$C$14="All",B336=Dashboard!$C$14),OR(Dashboard!$C$15="All",C336=Dashboard!$C$15),OR(Dashboard!$C$16="All",K336=Dashboard!$C$16)),1,0)</f>
        <v>1</v>
      </c>
      <c r="S336" s="24">
        <f t="shared" si="3"/>
        <v>335</v>
      </c>
      <c r="V336" s="24" t="s">
        <v>434</v>
      </c>
    </row>
    <row r="337" ht="15.75" customHeight="1">
      <c r="A337" s="10" t="s">
        <v>133</v>
      </c>
      <c r="B337" s="13"/>
      <c r="C337" s="10" t="s">
        <v>443</v>
      </c>
      <c r="D337" s="13">
        <v>200.0</v>
      </c>
      <c r="E337" s="14">
        <v>96.0</v>
      </c>
      <c r="F337" s="15">
        <f t="shared" si="1"/>
        <v>19200</v>
      </c>
      <c r="G337" s="6">
        <v>46279.0</v>
      </c>
      <c r="H337" s="22">
        <v>23.0</v>
      </c>
      <c r="I337" s="16">
        <f t="shared" si="2"/>
        <v>46440</v>
      </c>
      <c r="J337" s="13" t="s">
        <v>25</v>
      </c>
      <c r="K337" s="13" t="s">
        <v>31</v>
      </c>
      <c r="L337" s="24">
        <f>IF(A337="","",IF(OR(G337="",AND(G337&gt;=Dashboard!$C$18,G337&lt;=Dashboard!$C$19)),1,0))</f>
        <v>1</v>
      </c>
      <c r="M337" s="24">
        <f>IF(AND(L337=1,OR(Dashboard!$C$13="All",A337=Dashboard!$C$13),OR(Dashboard!$C$14="All",B337=Dashboard!$C$14),OR(Dashboard!$C$15="All",C337=Dashboard!$C$15),OR(Dashboard!$C$16="All",K337=Dashboard!$C$16),OR(Dashboard!$C$17="All",J337=Dashboard!$C$17)),1,0)</f>
        <v>1</v>
      </c>
      <c r="N337" s="24">
        <f>IF(AND(L337=1,OR(Dashboard!$C$13="All",A337=Dashboard!$C$13),OR(Dashboard!$C$14="All",B337=Dashboard!$C$14),OR(Dashboard!$C$16="All",K337=Dashboard!$C$16),OR(Dashboard!$C$17="All",J337=Dashboard!$C$17)),1,0)</f>
        <v>1</v>
      </c>
      <c r="O337" s="24">
        <f>IF(AND(L337=1,OR(Dashboard!$C$13="All",A337=Dashboard!$C$13),OR(Dashboard!$C$15="All",C337=Dashboard!$C$15),OR(Dashboard!$C$16="All",K337=Dashboard!$C$16),OR(Dashboard!$C$17="All",J337=Dashboard!$C$17)),1,0)</f>
        <v>1</v>
      </c>
      <c r="P337" s="24">
        <f>IF(AND(L337=1,OR(Dashboard!$C$13="All",A337=Dashboard!$C$13),OR(Dashboard!$C$14="All",B337=Dashboard!$C$14),OR(Dashboard!$C$15="All",C337=Dashboard!$C$15),OR(Dashboard!$C$17="All",J337=Dashboard!$C$17)),1,0)</f>
        <v>1</v>
      </c>
      <c r="Q337" s="24">
        <f>IF(AND(L337=1,OR(Dashboard!$C$14="All",B337=Dashboard!$C$14),OR(Dashboard!$C$15="All",C337=Dashboard!$C$15),OR(Dashboard!$C$16="All",K337=Dashboard!$C$16),OR(Dashboard!$C$17="All",J337=Dashboard!$C$17)),1,0)</f>
        <v>1</v>
      </c>
      <c r="R337" s="24">
        <f>IF(AND(L337=1,OR(Dashboard!$C$13="All",A337=Dashboard!$C$13),OR(Dashboard!$C$14="All",B337=Dashboard!$C$14),OR(Dashboard!$C$15="All",C337=Dashboard!$C$15),OR(Dashboard!$C$16="All",K337=Dashboard!$C$16)),1,0)</f>
        <v>1</v>
      </c>
      <c r="S337" s="24">
        <f t="shared" si="3"/>
        <v>336</v>
      </c>
      <c r="V337" s="24" t="s">
        <v>638</v>
      </c>
    </row>
    <row r="338" ht="15.75" customHeight="1">
      <c r="A338" s="3" t="s">
        <v>356</v>
      </c>
      <c r="B338" s="4"/>
      <c r="C338" s="3" t="s">
        <v>605</v>
      </c>
      <c r="D338" s="4">
        <v>1.0</v>
      </c>
      <c r="E338" s="17">
        <v>8.0</v>
      </c>
      <c r="F338" s="5">
        <f t="shared" si="1"/>
        <v>8</v>
      </c>
      <c r="G338" s="6">
        <v>46280.0</v>
      </c>
      <c r="H338" s="22">
        <v>24.0</v>
      </c>
      <c r="I338" s="7">
        <f t="shared" si="2"/>
        <v>46448</v>
      </c>
      <c r="J338" s="4" t="s">
        <v>25</v>
      </c>
      <c r="K338" s="4" t="s">
        <v>31</v>
      </c>
      <c r="L338" s="24">
        <f>IF(A338="","",IF(OR(G338="",AND(G338&gt;=Dashboard!$C$18,G338&lt;=Dashboard!$C$19)),1,0))</f>
        <v>1</v>
      </c>
      <c r="M338" s="24">
        <f>IF(AND(L338=1,OR(Dashboard!$C$13="All",A338=Dashboard!$C$13),OR(Dashboard!$C$14="All",B338=Dashboard!$C$14),OR(Dashboard!$C$15="All",C338=Dashboard!$C$15),OR(Dashboard!$C$16="All",K338=Dashboard!$C$16),OR(Dashboard!$C$17="All",J338=Dashboard!$C$17)),1,0)</f>
        <v>1</v>
      </c>
      <c r="N338" s="24">
        <f>IF(AND(L338=1,OR(Dashboard!$C$13="All",A338=Dashboard!$C$13),OR(Dashboard!$C$14="All",B338=Dashboard!$C$14),OR(Dashboard!$C$16="All",K338=Dashboard!$C$16),OR(Dashboard!$C$17="All",J338=Dashboard!$C$17)),1,0)</f>
        <v>1</v>
      </c>
      <c r="O338" s="24">
        <f>IF(AND(L338=1,OR(Dashboard!$C$13="All",A338=Dashboard!$C$13),OR(Dashboard!$C$15="All",C338=Dashboard!$C$15),OR(Dashboard!$C$16="All",K338=Dashboard!$C$16),OR(Dashboard!$C$17="All",J338=Dashboard!$C$17)),1,0)</f>
        <v>1</v>
      </c>
      <c r="P338" s="24">
        <f>IF(AND(L338=1,OR(Dashboard!$C$13="All",A338=Dashboard!$C$13),OR(Dashboard!$C$14="All",B338=Dashboard!$C$14),OR(Dashboard!$C$15="All",C338=Dashboard!$C$15),OR(Dashboard!$C$17="All",J338=Dashboard!$C$17)),1,0)</f>
        <v>1</v>
      </c>
      <c r="Q338" s="24">
        <f>IF(AND(L338=1,OR(Dashboard!$C$14="All",B338=Dashboard!$C$14),OR(Dashboard!$C$15="All",C338=Dashboard!$C$15),OR(Dashboard!$C$16="All",K338=Dashboard!$C$16),OR(Dashboard!$C$17="All",J338=Dashboard!$C$17)),1,0)</f>
        <v>1</v>
      </c>
      <c r="R338" s="24">
        <f>IF(AND(L338=1,OR(Dashboard!$C$13="All",A338=Dashboard!$C$13),OR(Dashboard!$C$14="All",B338=Dashboard!$C$14),OR(Dashboard!$C$15="All",C338=Dashboard!$C$15),OR(Dashboard!$C$16="All",K338=Dashboard!$C$16)),1,0)</f>
        <v>1</v>
      </c>
      <c r="S338" s="24">
        <f t="shared" si="3"/>
        <v>337</v>
      </c>
      <c r="V338" s="24" t="s">
        <v>645</v>
      </c>
    </row>
    <row r="339" ht="15.75" customHeight="1">
      <c r="A339" s="10" t="s">
        <v>297</v>
      </c>
      <c r="B339" s="13"/>
      <c r="C339" s="10" t="s">
        <v>479</v>
      </c>
      <c r="D339" s="13">
        <v>2.0</v>
      </c>
      <c r="E339" s="14">
        <v>5.0</v>
      </c>
      <c r="F339" s="15">
        <f t="shared" si="1"/>
        <v>10</v>
      </c>
      <c r="G339" s="6">
        <v>46281.0</v>
      </c>
      <c r="H339" s="22">
        <v>24.0</v>
      </c>
      <c r="I339" s="16">
        <f t="shared" si="2"/>
        <v>46449</v>
      </c>
      <c r="J339" s="13" t="s">
        <v>25</v>
      </c>
      <c r="K339" s="13" t="s">
        <v>31</v>
      </c>
      <c r="L339" s="24">
        <f>IF(A339="","",IF(OR(G339="",AND(G339&gt;=Dashboard!$C$18,G339&lt;=Dashboard!$C$19)),1,0))</f>
        <v>1</v>
      </c>
      <c r="M339" s="24">
        <f>IF(AND(L339=1,OR(Dashboard!$C$13="All",A339=Dashboard!$C$13),OR(Dashboard!$C$14="All",B339=Dashboard!$C$14),OR(Dashboard!$C$15="All",C339=Dashboard!$C$15),OR(Dashboard!$C$16="All",K339=Dashboard!$C$16),OR(Dashboard!$C$17="All",J339=Dashboard!$C$17)),1,0)</f>
        <v>1</v>
      </c>
      <c r="N339" s="24">
        <f>IF(AND(L339=1,OR(Dashboard!$C$13="All",A339=Dashboard!$C$13),OR(Dashboard!$C$14="All",B339=Dashboard!$C$14),OR(Dashboard!$C$16="All",K339=Dashboard!$C$16),OR(Dashboard!$C$17="All",J339=Dashboard!$C$17)),1,0)</f>
        <v>1</v>
      </c>
      <c r="O339" s="24">
        <f>IF(AND(L339=1,OR(Dashboard!$C$13="All",A339=Dashboard!$C$13),OR(Dashboard!$C$15="All",C339=Dashboard!$C$15),OR(Dashboard!$C$16="All",K339=Dashboard!$C$16),OR(Dashboard!$C$17="All",J339=Dashboard!$C$17)),1,0)</f>
        <v>1</v>
      </c>
      <c r="P339" s="24">
        <f>IF(AND(L339=1,OR(Dashboard!$C$13="All",A339=Dashboard!$C$13),OR(Dashboard!$C$14="All",B339=Dashboard!$C$14),OR(Dashboard!$C$15="All",C339=Dashboard!$C$15),OR(Dashboard!$C$17="All",J339=Dashboard!$C$17)),1,0)</f>
        <v>1</v>
      </c>
      <c r="Q339" s="24">
        <f>IF(AND(L339=1,OR(Dashboard!$C$14="All",B339=Dashboard!$C$14),OR(Dashboard!$C$15="All",C339=Dashboard!$C$15),OR(Dashboard!$C$16="All",K339=Dashboard!$C$16),OR(Dashboard!$C$17="All",J339=Dashboard!$C$17)),1,0)</f>
        <v>1</v>
      </c>
      <c r="R339" s="24">
        <f>IF(AND(L339=1,OR(Dashboard!$C$13="All",A339=Dashboard!$C$13),OR(Dashboard!$C$14="All",B339=Dashboard!$C$14),OR(Dashboard!$C$15="All",C339=Dashboard!$C$15),OR(Dashboard!$C$16="All",K339=Dashboard!$C$16)),1,0)</f>
        <v>1</v>
      </c>
      <c r="S339" s="24">
        <f t="shared" si="3"/>
        <v>338</v>
      </c>
      <c r="V339" s="24" t="s">
        <v>228</v>
      </c>
    </row>
    <row r="340" ht="15.75" customHeight="1">
      <c r="A340" s="3" t="s">
        <v>297</v>
      </c>
      <c r="B340" s="4"/>
      <c r="C340" s="3" t="s">
        <v>363</v>
      </c>
      <c r="D340" s="4">
        <v>2.0</v>
      </c>
      <c r="E340" s="17">
        <v>4.0</v>
      </c>
      <c r="F340" s="5">
        <f t="shared" si="1"/>
        <v>8</v>
      </c>
      <c r="G340" s="6">
        <v>46282.0</v>
      </c>
      <c r="H340" s="22">
        <v>24.0</v>
      </c>
      <c r="I340" s="7">
        <f t="shared" si="2"/>
        <v>46450</v>
      </c>
      <c r="J340" s="4" t="s">
        <v>25</v>
      </c>
      <c r="K340" s="4" t="s">
        <v>31</v>
      </c>
      <c r="L340" s="24">
        <f>IF(A340="","",IF(OR(G340="",AND(G340&gt;=Dashboard!$C$18,G340&lt;=Dashboard!$C$19)),1,0))</f>
        <v>1</v>
      </c>
      <c r="M340" s="24">
        <f>IF(AND(L340=1,OR(Dashboard!$C$13="All",A340=Dashboard!$C$13),OR(Dashboard!$C$14="All",B340=Dashboard!$C$14),OR(Dashboard!$C$15="All",C340=Dashboard!$C$15),OR(Dashboard!$C$16="All",K340=Dashboard!$C$16),OR(Dashboard!$C$17="All",J340=Dashboard!$C$17)),1,0)</f>
        <v>1</v>
      </c>
      <c r="N340" s="24">
        <f>IF(AND(L340=1,OR(Dashboard!$C$13="All",A340=Dashboard!$C$13),OR(Dashboard!$C$14="All",B340=Dashboard!$C$14),OR(Dashboard!$C$16="All",K340=Dashboard!$C$16),OR(Dashboard!$C$17="All",J340=Dashboard!$C$17)),1,0)</f>
        <v>1</v>
      </c>
      <c r="O340" s="24">
        <f>IF(AND(L340=1,OR(Dashboard!$C$13="All",A340=Dashboard!$C$13),OR(Dashboard!$C$15="All",C340=Dashboard!$C$15),OR(Dashboard!$C$16="All",K340=Dashboard!$C$16),OR(Dashboard!$C$17="All",J340=Dashboard!$C$17)),1,0)</f>
        <v>1</v>
      </c>
      <c r="P340" s="24">
        <f>IF(AND(L340=1,OR(Dashboard!$C$13="All",A340=Dashboard!$C$13),OR(Dashboard!$C$14="All",B340=Dashboard!$C$14),OR(Dashboard!$C$15="All",C340=Dashboard!$C$15),OR(Dashboard!$C$17="All",J340=Dashboard!$C$17)),1,0)</f>
        <v>1</v>
      </c>
      <c r="Q340" s="24">
        <f>IF(AND(L340=1,OR(Dashboard!$C$14="All",B340=Dashboard!$C$14),OR(Dashboard!$C$15="All",C340=Dashboard!$C$15),OR(Dashboard!$C$16="All",K340=Dashboard!$C$16),OR(Dashboard!$C$17="All",J340=Dashboard!$C$17)),1,0)</f>
        <v>1</v>
      </c>
      <c r="R340" s="24">
        <f>IF(AND(L340=1,OR(Dashboard!$C$13="All",A340=Dashboard!$C$13),OR(Dashboard!$C$14="All",B340=Dashboard!$C$14),OR(Dashboard!$C$15="All",C340=Dashboard!$C$15),OR(Dashboard!$C$16="All",K340=Dashboard!$C$16)),1,0)</f>
        <v>1</v>
      </c>
      <c r="S340" s="24">
        <f t="shared" si="3"/>
        <v>339</v>
      </c>
      <c r="V340" s="24" t="s">
        <v>646</v>
      </c>
    </row>
    <row r="341" ht="15.75" customHeight="1">
      <c r="A341" s="10" t="s">
        <v>358</v>
      </c>
      <c r="B341" s="13"/>
      <c r="C341" s="10" t="s">
        <v>647</v>
      </c>
      <c r="D341" s="13">
        <v>1.0</v>
      </c>
      <c r="E341" s="14">
        <v>2.0</v>
      </c>
      <c r="F341" s="15">
        <f t="shared" si="1"/>
        <v>2</v>
      </c>
      <c r="G341" s="6">
        <v>46283.0</v>
      </c>
      <c r="H341" s="22">
        <v>22.0</v>
      </c>
      <c r="I341" s="16">
        <f t="shared" si="2"/>
        <v>46437</v>
      </c>
      <c r="J341" s="13" t="s">
        <v>25</v>
      </c>
      <c r="K341" s="13" t="s">
        <v>31</v>
      </c>
      <c r="L341" s="24">
        <f>IF(A341="","",IF(OR(G341="",AND(G341&gt;=Dashboard!$C$18,G341&lt;=Dashboard!$C$19)),1,0))</f>
        <v>1</v>
      </c>
      <c r="M341" s="24">
        <f>IF(AND(L341=1,OR(Dashboard!$C$13="All",A341=Dashboard!$C$13),OR(Dashboard!$C$14="All",B341=Dashboard!$C$14),OR(Dashboard!$C$15="All",C341=Dashboard!$C$15),OR(Dashboard!$C$16="All",K341=Dashboard!$C$16),OR(Dashboard!$C$17="All",J341=Dashboard!$C$17)),1,0)</f>
        <v>1</v>
      </c>
      <c r="N341" s="24">
        <f>IF(AND(L341=1,OR(Dashboard!$C$13="All",A341=Dashboard!$C$13),OR(Dashboard!$C$14="All",B341=Dashboard!$C$14),OR(Dashboard!$C$16="All",K341=Dashboard!$C$16),OR(Dashboard!$C$17="All",J341=Dashboard!$C$17)),1,0)</f>
        <v>1</v>
      </c>
      <c r="O341" s="24">
        <f>IF(AND(L341=1,OR(Dashboard!$C$13="All",A341=Dashboard!$C$13),OR(Dashboard!$C$15="All",C341=Dashboard!$C$15),OR(Dashboard!$C$16="All",K341=Dashboard!$C$16),OR(Dashboard!$C$17="All",J341=Dashboard!$C$17)),1,0)</f>
        <v>1</v>
      </c>
      <c r="P341" s="24">
        <f>IF(AND(L341=1,OR(Dashboard!$C$13="All",A341=Dashboard!$C$13),OR(Dashboard!$C$14="All",B341=Dashboard!$C$14),OR(Dashboard!$C$15="All",C341=Dashboard!$C$15),OR(Dashboard!$C$17="All",J341=Dashboard!$C$17)),1,0)</f>
        <v>1</v>
      </c>
      <c r="Q341" s="24">
        <f>IF(AND(L341=1,OR(Dashboard!$C$14="All",B341=Dashboard!$C$14),OR(Dashboard!$C$15="All",C341=Dashboard!$C$15),OR(Dashboard!$C$16="All",K341=Dashboard!$C$16),OR(Dashboard!$C$17="All",J341=Dashboard!$C$17)),1,0)</f>
        <v>1</v>
      </c>
      <c r="R341" s="24">
        <f>IF(AND(L341=1,OR(Dashboard!$C$13="All",A341=Dashboard!$C$13),OR(Dashboard!$C$14="All",B341=Dashboard!$C$14),OR(Dashboard!$C$15="All",C341=Dashboard!$C$15),OR(Dashboard!$C$16="All",K341=Dashboard!$C$16)),1,0)</f>
        <v>1</v>
      </c>
      <c r="S341" s="24">
        <f t="shared" si="3"/>
        <v>340</v>
      </c>
      <c r="V341" s="24" t="s">
        <v>648</v>
      </c>
    </row>
    <row r="342" ht="15.75" customHeight="1">
      <c r="A342" s="3" t="s">
        <v>360</v>
      </c>
      <c r="B342" s="4"/>
      <c r="C342" s="3" t="s">
        <v>355</v>
      </c>
      <c r="D342" s="4">
        <v>1000.0</v>
      </c>
      <c r="E342" s="17">
        <v>36.0</v>
      </c>
      <c r="F342" s="5">
        <f t="shared" si="1"/>
        <v>36000</v>
      </c>
      <c r="G342" s="6">
        <v>46284.0</v>
      </c>
      <c r="H342" s="22">
        <v>22.0</v>
      </c>
      <c r="I342" s="7">
        <f t="shared" si="2"/>
        <v>46438</v>
      </c>
      <c r="J342" s="4" t="s">
        <v>25</v>
      </c>
      <c r="K342" s="4" t="s">
        <v>31</v>
      </c>
      <c r="L342" s="24">
        <f>IF(A342="","",IF(OR(G342="",AND(G342&gt;=Dashboard!$C$18,G342&lt;=Dashboard!$C$19)),1,0))</f>
        <v>1</v>
      </c>
      <c r="M342" s="24">
        <f>IF(AND(L342=1,OR(Dashboard!$C$13="All",A342=Dashboard!$C$13),OR(Dashboard!$C$14="All",B342=Dashboard!$C$14),OR(Dashboard!$C$15="All",C342=Dashboard!$C$15),OR(Dashboard!$C$16="All",K342=Dashboard!$C$16),OR(Dashboard!$C$17="All",J342=Dashboard!$C$17)),1,0)</f>
        <v>1</v>
      </c>
      <c r="N342" s="24">
        <f>IF(AND(L342=1,OR(Dashboard!$C$13="All",A342=Dashboard!$C$13),OR(Dashboard!$C$14="All",B342=Dashboard!$C$14),OR(Dashboard!$C$16="All",K342=Dashboard!$C$16),OR(Dashboard!$C$17="All",J342=Dashboard!$C$17)),1,0)</f>
        <v>1</v>
      </c>
      <c r="O342" s="24">
        <f>IF(AND(L342=1,OR(Dashboard!$C$13="All",A342=Dashboard!$C$13),OR(Dashboard!$C$15="All",C342=Dashboard!$C$15),OR(Dashboard!$C$16="All",K342=Dashboard!$C$16),OR(Dashboard!$C$17="All",J342=Dashboard!$C$17)),1,0)</f>
        <v>1</v>
      </c>
      <c r="P342" s="24">
        <f>IF(AND(L342=1,OR(Dashboard!$C$13="All",A342=Dashboard!$C$13),OR(Dashboard!$C$14="All",B342=Dashboard!$C$14),OR(Dashboard!$C$15="All",C342=Dashboard!$C$15),OR(Dashboard!$C$17="All",J342=Dashboard!$C$17)),1,0)</f>
        <v>1</v>
      </c>
      <c r="Q342" s="24">
        <f>IF(AND(L342=1,OR(Dashboard!$C$14="All",B342=Dashboard!$C$14),OR(Dashboard!$C$15="All",C342=Dashboard!$C$15),OR(Dashboard!$C$16="All",K342=Dashboard!$C$16),OR(Dashboard!$C$17="All",J342=Dashboard!$C$17)),1,0)</f>
        <v>1</v>
      </c>
      <c r="R342" s="24">
        <f>IF(AND(L342=1,OR(Dashboard!$C$13="All",A342=Dashboard!$C$13),OR(Dashboard!$C$14="All",B342=Dashboard!$C$14),OR(Dashboard!$C$15="All",C342=Dashboard!$C$15),OR(Dashboard!$C$16="All",K342=Dashboard!$C$16)),1,0)</f>
        <v>1</v>
      </c>
      <c r="S342" s="24">
        <f t="shared" si="3"/>
        <v>341</v>
      </c>
      <c r="V342" s="24" t="s">
        <v>537</v>
      </c>
    </row>
    <row r="343" ht="15.75" customHeight="1">
      <c r="A343" s="10" t="s">
        <v>360</v>
      </c>
      <c r="B343" s="13"/>
      <c r="C343" s="10" t="s">
        <v>234</v>
      </c>
      <c r="D343" s="13">
        <v>1.0</v>
      </c>
      <c r="E343" s="5">
        <v>2.0</v>
      </c>
      <c r="F343" s="15">
        <f t="shared" si="1"/>
        <v>2</v>
      </c>
      <c r="G343" s="6">
        <v>46285.0</v>
      </c>
      <c r="H343" s="22">
        <v>22.0</v>
      </c>
      <c r="I343" s="16">
        <f t="shared" si="2"/>
        <v>46439</v>
      </c>
      <c r="J343" s="13" t="s">
        <v>25</v>
      </c>
      <c r="K343" s="13" t="s">
        <v>31</v>
      </c>
      <c r="L343" s="24">
        <f>IF(A343="","",IF(OR(G343="",AND(G343&gt;=Dashboard!$C$18,G343&lt;=Dashboard!$C$19)),1,0))</f>
        <v>1</v>
      </c>
      <c r="M343" s="24">
        <f>IF(AND(L343=1,OR(Dashboard!$C$13="All",A343=Dashboard!$C$13),OR(Dashboard!$C$14="All",B343=Dashboard!$C$14),OR(Dashboard!$C$15="All",C343=Dashboard!$C$15),OR(Dashboard!$C$16="All",K343=Dashboard!$C$16),OR(Dashboard!$C$17="All",J343=Dashboard!$C$17)),1,0)</f>
        <v>1</v>
      </c>
      <c r="N343" s="24">
        <f>IF(AND(L343=1,OR(Dashboard!$C$13="All",A343=Dashboard!$C$13),OR(Dashboard!$C$14="All",B343=Dashboard!$C$14),OR(Dashboard!$C$16="All",K343=Dashboard!$C$16),OR(Dashboard!$C$17="All",J343=Dashboard!$C$17)),1,0)</f>
        <v>1</v>
      </c>
      <c r="O343" s="24">
        <f>IF(AND(L343=1,OR(Dashboard!$C$13="All",A343=Dashboard!$C$13),OR(Dashboard!$C$15="All",C343=Dashboard!$C$15),OR(Dashboard!$C$16="All",K343=Dashboard!$C$16),OR(Dashboard!$C$17="All",J343=Dashboard!$C$17)),1,0)</f>
        <v>1</v>
      </c>
      <c r="P343" s="24">
        <f>IF(AND(L343=1,OR(Dashboard!$C$13="All",A343=Dashboard!$C$13),OR(Dashboard!$C$14="All",B343=Dashboard!$C$14),OR(Dashboard!$C$15="All",C343=Dashboard!$C$15),OR(Dashboard!$C$17="All",J343=Dashboard!$C$17)),1,0)</f>
        <v>1</v>
      </c>
      <c r="Q343" s="24">
        <f>IF(AND(L343=1,OR(Dashboard!$C$14="All",B343=Dashboard!$C$14),OR(Dashboard!$C$15="All",C343=Dashboard!$C$15),OR(Dashboard!$C$16="All",K343=Dashboard!$C$16),OR(Dashboard!$C$17="All",J343=Dashboard!$C$17)),1,0)</f>
        <v>1</v>
      </c>
      <c r="R343" s="24">
        <f>IF(AND(L343=1,OR(Dashboard!$C$13="All",A343=Dashboard!$C$13),OR(Dashboard!$C$14="All",B343=Dashboard!$C$14),OR(Dashboard!$C$15="All",C343=Dashboard!$C$15),OR(Dashboard!$C$16="All",K343=Dashboard!$C$16)),1,0)</f>
        <v>1</v>
      </c>
      <c r="S343" s="24">
        <f t="shared" si="3"/>
        <v>342</v>
      </c>
      <c r="V343" s="24" t="s">
        <v>649</v>
      </c>
    </row>
    <row r="344" ht="15.75" customHeight="1">
      <c r="A344" s="3" t="s">
        <v>362</v>
      </c>
      <c r="B344" s="4"/>
      <c r="C344" s="3" t="s">
        <v>443</v>
      </c>
      <c r="D344" s="4">
        <v>500.0</v>
      </c>
      <c r="E344" s="14">
        <v>5.0</v>
      </c>
      <c r="F344" s="5">
        <f t="shared" si="1"/>
        <v>2500</v>
      </c>
      <c r="G344" s="6">
        <v>46286.0</v>
      </c>
      <c r="H344" s="22">
        <v>21.0</v>
      </c>
      <c r="I344" s="7">
        <f t="shared" si="2"/>
        <v>46433</v>
      </c>
      <c r="J344" s="4" t="s">
        <v>25</v>
      </c>
      <c r="K344" s="4" t="s">
        <v>31</v>
      </c>
      <c r="L344" s="24">
        <f>IF(A344="","",IF(OR(G344="",AND(G344&gt;=Dashboard!$C$18,G344&lt;=Dashboard!$C$19)),1,0))</f>
        <v>1</v>
      </c>
      <c r="M344" s="24">
        <f>IF(AND(L344=1,OR(Dashboard!$C$13="All",A344=Dashboard!$C$13),OR(Dashboard!$C$14="All",B344=Dashboard!$C$14),OR(Dashboard!$C$15="All",C344=Dashboard!$C$15),OR(Dashboard!$C$16="All",K344=Dashboard!$C$16),OR(Dashboard!$C$17="All",J344=Dashboard!$C$17)),1,0)</f>
        <v>1</v>
      </c>
      <c r="N344" s="24">
        <f>IF(AND(L344=1,OR(Dashboard!$C$13="All",A344=Dashboard!$C$13),OR(Dashboard!$C$14="All",B344=Dashboard!$C$14),OR(Dashboard!$C$16="All",K344=Dashboard!$C$16),OR(Dashboard!$C$17="All",J344=Dashboard!$C$17)),1,0)</f>
        <v>1</v>
      </c>
      <c r="O344" s="24">
        <f>IF(AND(L344=1,OR(Dashboard!$C$13="All",A344=Dashboard!$C$13),OR(Dashboard!$C$15="All",C344=Dashboard!$C$15),OR(Dashboard!$C$16="All",K344=Dashboard!$C$16),OR(Dashboard!$C$17="All",J344=Dashboard!$C$17)),1,0)</f>
        <v>1</v>
      </c>
      <c r="P344" s="24">
        <f>IF(AND(L344=1,OR(Dashboard!$C$13="All",A344=Dashboard!$C$13),OR(Dashboard!$C$14="All",B344=Dashboard!$C$14),OR(Dashboard!$C$15="All",C344=Dashboard!$C$15),OR(Dashboard!$C$17="All",J344=Dashboard!$C$17)),1,0)</f>
        <v>1</v>
      </c>
      <c r="Q344" s="24">
        <f>IF(AND(L344=1,OR(Dashboard!$C$14="All",B344=Dashboard!$C$14),OR(Dashboard!$C$15="All",C344=Dashboard!$C$15),OR(Dashboard!$C$16="All",K344=Dashboard!$C$16),OR(Dashboard!$C$17="All",J344=Dashboard!$C$17)),1,0)</f>
        <v>1</v>
      </c>
      <c r="R344" s="24">
        <f>IF(AND(L344=1,OR(Dashboard!$C$13="All",A344=Dashboard!$C$13),OR(Dashboard!$C$14="All",B344=Dashboard!$C$14),OR(Dashboard!$C$15="All",C344=Dashboard!$C$15),OR(Dashboard!$C$16="All",K344=Dashboard!$C$16)),1,0)</f>
        <v>1</v>
      </c>
      <c r="S344" s="24">
        <f t="shared" si="3"/>
        <v>343</v>
      </c>
      <c r="V344" s="24" t="s">
        <v>591</v>
      </c>
    </row>
    <row r="345" ht="15.75" customHeight="1">
      <c r="A345" s="10" t="s">
        <v>362</v>
      </c>
      <c r="B345" s="13"/>
      <c r="C345" s="10" t="s">
        <v>550</v>
      </c>
      <c r="D345" s="13">
        <v>1.0</v>
      </c>
      <c r="E345" s="17">
        <v>6.0</v>
      </c>
      <c r="F345" s="15">
        <f t="shared" si="1"/>
        <v>6</v>
      </c>
      <c r="G345" s="6">
        <v>46287.0</v>
      </c>
      <c r="H345" s="22">
        <v>20.0</v>
      </c>
      <c r="I345" s="16">
        <f t="shared" si="2"/>
        <v>46427</v>
      </c>
      <c r="J345" s="13" t="s">
        <v>25</v>
      </c>
      <c r="K345" s="13" t="s">
        <v>31</v>
      </c>
      <c r="L345" s="24">
        <f>IF(A345="","",IF(OR(G345="",AND(G345&gt;=Dashboard!$C$18,G345&lt;=Dashboard!$C$19)),1,0))</f>
        <v>1</v>
      </c>
      <c r="M345" s="24">
        <f>IF(AND(L345=1,OR(Dashboard!$C$13="All",A345=Dashboard!$C$13),OR(Dashboard!$C$14="All",B345=Dashboard!$C$14),OR(Dashboard!$C$15="All",C345=Dashboard!$C$15),OR(Dashboard!$C$16="All",K345=Dashboard!$C$16),OR(Dashboard!$C$17="All",J345=Dashboard!$C$17)),1,0)</f>
        <v>1</v>
      </c>
      <c r="N345" s="24">
        <f>IF(AND(L345=1,OR(Dashboard!$C$13="All",A345=Dashboard!$C$13),OR(Dashboard!$C$14="All",B345=Dashboard!$C$14),OR(Dashboard!$C$16="All",K345=Dashboard!$C$16),OR(Dashboard!$C$17="All",J345=Dashboard!$C$17)),1,0)</f>
        <v>1</v>
      </c>
      <c r="O345" s="24">
        <f>IF(AND(L345=1,OR(Dashboard!$C$13="All",A345=Dashboard!$C$13),OR(Dashboard!$C$15="All",C345=Dashboard!$C$15),OR(Dashboard!$C$16="All",K345=Dashboard!$C$16),OR(Dashboard!$C$17="All",J345=Dashboard!$C$17)),1,0)</f>
        <v>1</v>
      </c>
      <c r="P345" s="24">
        <f>IF(AND(L345=1,OR(Dashboard!$C$13="All",A345=Dashboard!$C$13),OR(Dashboard!$C$14="All",B345=Dashboard!$C$14),OR(Dashboard!$C$15="All",C345=Dashboard!$C$15),OR(Dashboard!$C$17="All",J345=Dashboard!$C$17)),1,0)</f>
        <v>1</v>
      </c>
      <c r="Q345" s="24">
        <f>IF(AND(L345=1,OR(Dashboard!$C$14="All",B345=Dashboard!$C$14),OR(Dashboard!$C$15="All",C345=Dashboard!$C$15),OR(Dashboard!$C$16="All",K345=Dashboard!$C$16),OR(Dashboard!$C$17="All",J345=Dashboard!$C$17)),1,0)</f>
        <v>1</v>
      </c>
      <c r="R345" s="24">
        <f>IF(AND(L345=1,OR(Dashboard!$C$13="All",A345=Dashboard!$C$13),OR(Dashboard!$C$14="All",B345=Dashboard!$C$14),OR(Dashboard!$C$15="All",C345=Dashboard!$C$15),OR(Dashboard!$C$16="All",K345=Dashboard!$C$16)),1,0)</f>
        <v>1</v>
      </c>
      <c r="S345" s="24">
        <f t="shared" si="3"/>
        <v>344</v>
      </c>
      <c r="V345" s="24" t="s">
        <v>650</v>
      </c>
    </row>
    <row r="346" ht="15.75" customHeight="1">
      <c r="A346" s="3" t="s">
        <v>362</v>
      </c>
      <c r="B346" s="4"/>
      <c r="C346" s="3" t="s">
        <v>651</v>
      </c>
      <c r="D346" s="4">
        <v>1.0</v>
      </c>
      <c r="E346" s="14">
        <v>7.0</v>
      </c>
      <c r="F346" s="5">
        <f t="shared" si="1"/>
        <v>7</v>
      </c>
      <c r="G346" s="6">
        <v>46288.0</v>
      </c>
      <c r="H346" s="22">
        <v>21.0</v>
      </c>
      <c r="I346" s="7">
        <f t="shared" si="2"/>
        <v>46435</v>
      </c>
      <c r="J346" s="4" t="s">
        <v>25</v>
      </c>
      <c r="K346" s="4" t="s">
        <v>31</v>
      </c>
      <c r="L346" s="24">
        <f>IF(A346="","",IF(OR(G346="",AND(G346&gt;=Dashboard!$C$18,G346&lt;=Dashboard!$C$19)),1,0))</f>
        <v>1</v>
      </c>
      <c r="M346" s="24">
        <f>IF(AND(L346=1,OR(Dashboard!$C$13="All",A346=Dashboard!$C$13),OR(Dashboard!$C$14="All",B346=Dashboard!$C$14),OR(Dashboard!$C$15="All",C346=Dashboard!$C$15),OR(Dashboard!$C$16="All",K346=Dashboard!$C$16),OR(Dashboard!$C$17="All",J346=Dashboard!$C$17)),1,0)</f>
        <v>1</v>
      </c>
      <c r="N346" s="24">
        <f>IF(AND(L346=1,OR(Dashboard!$C$13="All",A346=Dashboard!$C$13),OR(Dashboard!$C$14="All",B346=Dashboard!$C$14),OR(Dashboard!$C$16="All",K346=Dashboard!$C$16),OR(Dashboard!$C$17="All",J346=Dashboard!$C$17)),1,0)</f>
        <v>1</v>
      </c>
      <c r="O346" s="24">
        <f>IF(AND(L346=1,OR(Dashboard!$C$13="All",A346=Dashboard!$C$13),OR(Dashboard!$C$15="All",C346=Dashboard!$C$15),OR(Dashboard!$C$16="All",K346=Dashboard!$C$16),OR(Dashboard!$C$17="All",J346=Dashboard!$C$17)),1,0)</f>
        <v>1</v>
      </c>
      <c r="P346" s="24">
        <f>IF(AND(L346=1,OR(Dashboard!$C$13="All",A346=Dashboard!$C$13),OR(Dashboard!$C$14="All",B346=Dashboard!$C$14),OR(Dashboard!$C$15="All",C346=Dashboard!$C$15),OR(Dashboard!$C$17="All",J346=Dashboard!$C$17)),1,0)</f>
        <v>1</v>
      </c>
      <c r="Q346" s="24">
        <f>IF(AND(L346=1,OR(Dashboard!$C$14="All",B346=Dashboard!$C$14),OR(Dashboard!$C$15="All",C346=Dashboard!$C$15),OR(Dashboard!$C$16="All",K346=Dashboard!$C$16),OR(Dashboard!$C$17="All",J346=Dashboard!$C$17)),1,0)</f>
        <v>1</v>
      </c>
      <c r="R346" s="24">
        <f>IF(AND(L346=1,OR(Dashboard!$C$13="All",A346=Dashboard!$C$13),OR(Dashboard!$C$14="All",B346=Dashboard!$C$14),OR(Dashboard!$C$15="All",C346=Dashboard!$C$15),OR(Dashboard!$C$16="All",K346=Dashboard!$C$16)),1,0)</f>
        <v>1</v>
      </c>
      <c r="S346" s="24">
        <f t="shared" si="3"/>
        <v>345</v>
      </c>
      <c r="V346" s="24" t="s">
        <v>206</v>
      </c>
    </row>
    <row r="347" ht="15.75" customHeight="1">
      <c r="A347" s="10" t="s">
        <v>362</v>
      </c>
      <c r="B347" s="13"/>
      <c r="C347" s="10" t="s">
        <v>652</v>
      </c>
      <c r="D347" s="13">
        <v>5.0</v>
      </c>
      <c r="E347" s="17">
        <v>8.0</v>
      </c>
      <c r="F347" s="15">
        <f t="shared" si="1"/>
        <v>40</v>
      </c>
      <c r="G347" s="6">
        <v>46289.0</v>
      </c>
      <c r="H347" s="22">
        <v>18.0</v>
      </c>
      <c r="I347" s="16">
        <f t="shared" si="2"/>
        <v>46415</v>
      </c>
      <c r="J347" s="13" t="s">
        <v>25</v>
      </c>
      <c r="K347" s="13" t="s">
        <v>31</v>
      </c>
      <c r="L347" s="24">
        <f>IF(A347="","",IF(OR(G347="",AND(G347&gt;=Dashboard!$C$18,G347&lt;=Dashboard!$C$19)),1,0))</f>
        <v>1</v>
      </c>
      <c r="M347" s="24">
        <f>IF(AND(L347=1,OR(Dashboard!$C$13="All",A347=Dashboard!$C$13),OR(Dashboard!$C$14="All",B347=Dashboard!$C$14),OR(Dashboard!$C$15="All",C347=Dashboard!$C$15),OR(Dashboard!$C$16="All",K347=Dashboard!$C$16),OR(Dashboard!$C$17="All",J347=Dashboard!$C$17)),1,0)</f>
        <v>1</v>
      </c>
      <c r="N347" s="24">
        <f>IF(AND(L347=1,OR(Dashboard!$C$13="All",A347=Dashboard!$C$13),OR(Dashboard!$C$14="All",B347=Dashboard!$C$14),OR(Dashboard!$C$16="All",K347=Dashboard!$C$16),OR(Dashboard!$C$17="All",J347=Dashboard!$C$17)),1,0)</f>
        <v>1</v>
      </c>
      <c r="O347" s="24">
        <f>IF(AND(L347=1,OR(Dashboard!$C$13="All",A347=Dashboard!$C$13),OR(Dashboard!$C$15="All",C347=Dashboard!$C$15),OR(Dashboard!$C$16="All",K347=Dashboard!$C$16),OR(Dashboard!$C$17="All",J347=Dashboard!$C$17)),1,0)</f>
        <v>1</v>
      </c>
      <c r="P347" s="24">
        <f>IF(AND(L347=1,OR(Dashboard!$C$13="All",A347=Dashboard!$C$13),OR(Dashboard!$C$14="All",B347=Dashboard!$C$14),OR(Dashboard!$C$15="All",C347=Dashboard!$C$15),OR(Dashboard!$C$17="All",J347=Dashboard!$C$17)),1,0)</f>
        <v>1</v>
      </c>
      <c r="Q347" s="24">
        <f>IF(AND(L347=1,OR(Dashboard!$C$14="All",B347=Dashboard!$C$14),OR(Dashboard!$C$15="All",C347=Dashboard!$C$15),OR(Dashboard!$C$16="All",K347=Dashboard!$C$16),OR(Dashboard!$C$17="All",J347=Dashboard!$C$17)),1,0)</f>
        <v>1</v>
      </c>
      <c r="R347" s="24">
        <f>IF(AND(L347=1,OR(Dashboard!$C$13="All",A347=Dashboard!$C$13),OR(Dashboard!$C$14="All",B347=Dashboard!$C$14),OR(Dashboard!$C$15="All",C347=Dashboard!$C$15),OR(Dashboard!$C$16="All",K347=Dashboard!$C$16)),1,0)</f>
        <v>1</v>
      </c>
      <c r="S347" s="24">
        <f t="shared" si="3"/>
        <v>346</v>
      </c>
      <c r="V347" s="24" t="s">
        <v>218</v>
      </c>
    </row>
    <row r="348" ht="15.75" customHeight="1">
      <c r="A348" s="3" t="s">
        <v>364</v>
      </c>
      <c r="B348" s="4"/>
      <c r="C348" s="3" t="s">
        <v>607</v>
      </c>
      <c r="D348" s="4">
        <v>500.0</v>
      </c>
      <c r="E348" s="14">
        <v>2.0</v>
      </c>
      <c r="F348" s="5">
        <f t="shared" si="1"/>
        <v>1000</v>
      </c>
      <c r="G348" s="6">
        <v>46290.0</v>
      </c>
      <c r="H348" s="22">
        <v>22.0</v>
      </c>
      <c r="I348" s="7">
        <f t="shared" si="2"/>
        <v>46444</v>
      </c>
      <c r="J348" s="4" t="s">
        <v>25</v>
      </c>
      <c r="K348" s="4" t="s">
        <v>31</v>
      </c>
      <c r="L348" s="24">
        <f>IF(A348="","",IF(OR(G348="",AND(G348&gt;=Dashboard!$C$18,G348&lt;=Dashboard!$C$19)),1,0))</f>
        <v>1</v>
      </c>
      <c r="M348" s="24">
        <f>IF(AND(L348=1,OR(Dashboard!$C$13="All",A348=Dashboard!$C$13),OR(Dashboard!$C$14="All",B348=Dashboard!$C$14),OR(Dashboard!$C$15="All",C348=Dashboard!$C$15),OR(Dashboard!$C$16="All",K348=Dashboard!$C$16),OR(Dashboard!$C$17="All",J348=Dashboard!$C$17)),1,0)</f>
        <v>1</v>
      </c>
      <c r="N348" s="24">
        <f>IF(AND(L348=1,OR(Dashboard!$C$13="All",A348=Dashboard!$C$13),OR(Dashboard!$C$14="All",B348=Dashboard!$C$14),OR(Dashboard!$C$16="All",K348=Dashboard!$C$16),OR(Dashboard!$C$17="All",J348=Dashboard!$C$17)),1,0)</f>
        <v>1</v>
      </c>
      <c r="O348" s="24">
        <f>IF(AND(L348=1,OR(Dashboard!$C$13="All",A348=Dashboard!$C$13),OR(Dashboard!$C$15="All",C348=Dashboard!$C$15),OR(Dashboard!$C$16="All",K348=Dashboard!$C$16),OR(Dashboard!$C$17="All",J348=Dashboard!$C$17)),1,0)</f>
        <v>1</v>
      </c>
      <c r="P348" s="24">
        <f>IF(AND(L348=1,OR(Dashboard!$C$13="All",A348=Dashboard!$C$13),OR(Dashboard!$C$14="All",B348=Dashboard!$C$14),OR(Dashboard!$C$15="All",C348=Dashboard!$C$15),OR(Dashboard!$C$17="All",J348=Dashboard!$C$17)),1,0)</f>
        <v>1</v>
      </c>
      <c r="Q348" s="24">
        <f>IF(AND(L348=1,OR(Dashboard!$C$14="All",B348=Dashboard!$C$14),OR(Dashboard!$C$15="All",C348=Dashboard!$C$15),OR(Dashboard!$C$16="All",K348=Dashboard!$C$16),OR(Dashboard!$C$17="All",J348=Dashboard!$C$17)),1,0)</f>
        <v>1</v>
      </c>
      <c r="R348" s="24">
        <f>IF(AND(L348=1,OR(Dashboard!$C$13="All",A348=Dashboard!$C$13),OR(Dashboard!$C$14="All",B348=Dashboard!$C$14),OR(Dashboard!$C$15="All",C348=Dashboard!$C$15),OR(Dashboard!$C$16="All",K348=Dashboard!$C$16)),1,0)</f>
        <v>1</v>
      </c>
      <c r="S348" s="24">
        <f t="shared" si="3"/>
        <v>347</v>
      </c>
      <c r="V348" s="24" t="s">
        <v>215</v>
      </c>
    </row>
    <row r="349" ht="15.75" customHeight="1">
      <c r="A349" s="10" t="s">
        <v>364</v>
      </c>
      <c r="B349" s="13"/>
      <c r="C349" s="10" t="s">
        <v>562</v>
      </c>
      <c r="D349" s="13">
        <v>200.0</v>
      </c>
      <c r="E349" s="17">
        <v>15.0</v>
      </c>
      <c r="F349" s="15">
        <f t="shared" si="1"/>
        <v>3000</v>
      </c>
      <c r="G349" s="6">
        <v>46291.0</v>
      </c>
      <c r="H349" s="22">
        <v>21.0</v>
      </c>
      <c r="I349" s="16">
        <f t="shared" si="2"/>
        <v>46438</v>
      </c>
      <c r="J349" s="13" t="s">
        <v>25</v>
      </c>
      <c r="K349" s="13" t="s">
        <v>31</v>
      </c>
      <c r="L349" s="24">
        <f>IF(A349="","",IF(OR(G349="",AND(G349&gt;=Dashboard!$C$18,G349&lt;=Dashboard!$C$19)),1,0))</f>
        <v>1</v>
      </c>
      <c r="M349" s="24">
        <f>IF(AND(L349=1,OR(Dashboard!$C$13="All",A349=Dashboard!$C$13),OR(Dashboard!$C$14="All",B349=Dashboard!$C$14),OR(Dashboard!$C$15="All",C349=Dashboard!$C$15),OR(Dashboard!$C$16="All",K349=Dashboard!$C$16),OR(Dashboard!$C$17="All",J349=Dashboard!$C$17)),1,0)</f>
        <v>1</v>
      </c>
      <c r="N349" s="24">
        <f>IF(AND(L349=1,OR(Dashboard!$C$13="All",A349=Dashboard!$C$13),OR(Dashboard!$C$14="All",B349=Dashboard!$C$14),OR(Dashboard!$C$16="All",K349=Dashboard!$C$16),OR(Dashboard!$C$17="All",J349=Dashboard!$C$17)),1,0)</f>
        <v>1</v>
      </c>
      <c r="O349" s="24">
        <f>IF(AND(L349=1,OR(Dashboard!$C$13="All",A349=Dashboard!$C$13),OR(Dashboard!$C$15="All",C349=Dashboard!$C$15),OR(Dashboard!$C$16="All",K349=Dashboard!$C$16),OR(Dashboard!$C$17="All",J349=Dashboard!$C$17)),1,0)</f>
        <v>1</v>
      </c>
      <c r="P349" s="24">
        <f>IF(AND(L349=1,OR(Dashboard!$C$13="All",A349=Dashboard!$C$13),OR(Dashboard!$C$14="All",B349=Dashboard!$C$14),OR(Dashboard!$C$15="All",C349=Dashboard!$C$15),OR(Dashboard!$C$17="All",J349=Dashboard!$C$17)),1,0)</f>
        <v>1</v>
      </c>
      <c r="Q349" s="24">
        <f>IF(AND(L349=1,OR(Dashboard!$C$14="All",B349=Dashboard!$C$14),OR(Dashboard!$C$15="All",C349=Dashboard!$C$15),OR(Dashboard!$C$16="All",K349=Dashboard!$C$16),OR(Dashboard!$C$17="All",J349=Dashboard!$C$17)),1,0)</f>
        <v>1</v>
      </c>
      <c r="R349" s="24">
        <f>IF(AND(L349=1,OR(Dashboard!$C$13="All",A349=Dashboard!$C$13),OR(Dashboard!$C$14="All",B349=Dashboard!$C$14),OR(Dashboard!$C$15="All",C349=Dashboard!$C$15),OR(Dashboard!$C$16="All",K349=Dashboard!$C$16)),1,0)</f>
        <v>1</v>
      </c>
      <c r="S349" s="24">
        <f t="shared" si="3"/>
        <v>348</v>
      </c>
      <c r="V349" s="24" t="s">
        <v>204</v>
      </c>
    </row>
    <row r="350" ht="15.75" customHeight="1">
      <c r="A350" s="3" t="s">
        <v>133</v>
      </c>
      <c r="B350" s="4"/>
      <c r="C350" s="3" t="s">
        <v>416</v>
      </c>
      <c r="D350" s="4">
        <v>4.0</v>
      </c>
      <c r="E350" s="14">
        <v>45.0</v>
      </c>
      <c r="F350" s="5">
        <f t="shared" si="1"/>
        <v>180</v>
      </c>
      <c r="G350" s="6">
        <v>46292.0</v>
      </c>
      <c r="H350" s="22">
        <v>20.0</v>
      </c>
      <c r="I350" s="7">
        <f t="shared" si="2"/>
        <v>46432</v>
      </c>
      <c r="J350" s="4" t="s">
        <v>25</v>
      </c>
      <c r="K350" s="4" t="s">
        <v>31</v>
      </c>
      <c r="L350" s="24">
        <f>IF(A350="","",IF(OR(G350="",AND(G350&gt;=Dashboard!$C$18,G350&lt;=Dashboard!$C$19)),1,0))</f>
        <v>1</v>
      </c>
      <c r="M350" s="24">
        <f>IF(AND(L350=1,OR(Dashboard!$C$13="All",A350=Dashboard!$C$13),OR(Dashboard!$C$14="All",B350=Dashboard!$C$14),OR(Dashboard!$C$15="All",C350=Dashboard!$C$15),OR(Dashboard!$C$16="All",K350=Dashboard!$C$16),OR(Dashboard!$C$17="All",J350=Dashboard!$C$17)),1,0)</f>
        <v>1</v>
      </c>
      <c r="N350" s="24">
        <f>IF(AND(L350=1,OR(Dashboard!$C$13="All",A350=Dashboard!$C$13),OR(Dashboard!$C$14="All",B350=Dashboard!$C$14),OR(Dashboard!$C$16="All",K350=Dashboard!$C$16),OR(Dashboard!$C$17="All",J350=Dashboard!$C$17)),1,0)</f>
        <v>1</v>
      </c>
      <c r="O350" s="24">
        <f>IF(AND(L350=1,OR(Dashboard!$C$13="All",A350=Dashboard!$C$13),OR(Dashboard!$C$15="All",C350=Dashboard!$C$15),OR(Dashboard!$C$16="All",K350=Dashboard!$C$16),OR(Dashboard!$C$17="All",J350=Dashboard!$C$17)),1,0)</f>
        <v>1</v>
      </c>
      <c r="P350" s="24">
        <f>IF(AND(L350=1,OR(Dashboard!$C$13="All",A350=Dashboard!$C$13),OR(Dashboard!$C$14="All",B350=Dashboard!$C$14),OR(Dashboard!$C$15="All",C350=Dashboard!$C$15),OR(Dashboard!$C$17="All",J350=Dashboard!$C$17)),1,0)</f>
        <v>1</v>
      </c>
      <c r="Q350" s="24">
        <f>IF(AND(L350=1,OR(Dashboard!$C$14="All",B350=Dashboard!$C$14),OR(Dashboard!$C$15="All",C350=Dashboard!$C$15),OR(Dashboard!$C$16="All",K350=Dashboard!$C$16),OR(Dashboard!$C$17="All",J350=Dashboard!$C$17)),1,0)</f>
        <v>1</v>
      </c>
      <c r="R350" s="24">
        <f>IF(AND(L350=1,OR(Dashboard!$C$13="All",A350=Dashboard!$C$13),OR(Dashboard!$C$14="All",B350=Dashboard!$C$14),OR(Dashboard!$C$15="All",C350=Dashboard!$C$15),OR(Dashboard!$C$16="All",K350=Dashboard!$C$16)),1,0)</f>
        <v>1</v>
      </c>
      <c r="S350" s="24">
        <f t="shared" si="3"/>
        <v>349</v>
      </c>
      <c r="V350" s="24" t="s">
        <v>420</v>
      </c>
    </row>
    <row r="351" ht="15.75" customHeight="1">
      <c r="A351" s="10" t="s">
        <v>177</v>
      </c>
      <c r="B351" s="13"/>
      <c r="C351" s="10" t="s">
        <v>440</v>
      </c>
      <c r="D351" s="13" t="s">
        <v>653</v>
      </c>
      <c r="E351" s="17">
        <v>24.0</v>
      </c>
      <c r="F351" s="15" t="str">
        <f t="shared" si="1"/>
        <v>#VALUE!</v>
      </c>
      <c r="G351" s="6">
        <v>46293.0</v>
      </c>
      <c r="H351" s="22">
        <v>18.0</v>
      </c>
      <c r="I351" s="16">
        <f t="shared" si="2"/>
        <v>46419</v>
      </c>
      <c r="J351" s="13" t="s">
        <v>25</v>
      </c>
      <c r="K351" s="13" t="s">
        <v>31</v>
      </c>
      <c r="L351" s="24">
        <f>IF(A351="","",IF(OR(G351="",AND(G351&gt;=Dashboard!$C$18,G351&lt;=Dashboard!$C$19)),1,0))</f>
        <v>1</v>
      </c>
      <c r="M351" s="24">
        <f>IF(AND(L351=1,OR(Dashboard!$C$13="All",A351=Dashboard!$C$13),OR(Dashboard!$C$14="All",B351=Dashboard!$C$14),OR(Dashboard!$C$15="All",C351=Dashboard!$C$15),OR(Dashboard!$C$16="All",K351=Dashboard!$C$16),OR(Dashboard!$C$17="All",J351=Dashboard!$C$17)),1,0)</f>
        <v>1</v>
      </c>
      <c r="N351" s="24">
        <f>IF(AND(L351=1,OR(Dashboard!$C$13="All",A351=Dashboard!$C$13),OR(Dashboard!$C$14="All",B351=Dashboard!$C$14),OR(Dashboard!$C$16="All",K351=Dashboard!$C$16),OR(Dashboard!$C$17="All",J351=Dashboard!$C$17)),1,0)</f>
        <v>1</v>
      </c>
      <c r="O351" s="24">
        <f>IF(AND(L351=1,OR(Dashboard!$C$13="All",A351=Dashboard!$C$13),OR(Dashboard!$C$15="All",C351=Dashboard!$C$15),OR(Dashboard!$C$16="All",K351=Dashboard!$C$16),OR(Dashboard!$C$17="All",J351=Dashboard!$C$17)),1,0)</f>
        <v>1</v>
      </c>
      <c r="P351" s="24">
        <f>IF(AND(L351=1,OR(Dashboard!$C$13="All",A351=Dashboard!$C$13),OR(Dashboard!$C$14="All",B351=Dashboard!$C$14),OR(Dashboard!$C$15="All",C351=Dashboard!$C$15),OR(Dashboard!$C$17="All",J351=Dashboard!$C$17)),1,0)</f>
        <v>1</v>
      </c>
      <c r="Q351" s="24">
        <f>IF(AND(L351=1,OR(Dashboard!$C$14="All",B351=Dashboard!$C$14),OR(Dashboard!$C$15="All",C351=Dashboard!$C$15),OR(Dashboard!$C$16="All",K351=Dashboard!$C$16),OR(Dashboard!$C$17="All",J351=Dashboard!$C$17)),1,0)</f>
        <v>1</v>
      </c>
      <c r="R351" s="24">
        <f>IF(AND(L351=1,OR(Dashboard!$C$13="All",A351=Dashboard!$C$13),OR(Dashboard!$C$14="All",B351=Dashboard!$C$14),OR(Dashboard!$C$15="All",C351=Dashboard!$C$15),OR(Dashboard!$C$16="All",K351=Dashboard!$C$16)),1,0)</f>
        <v>1</v>
      </c>
      <c r="S351" s="24">
        <f t="shared" si="3"/>
        <v>350</v>
      </c>
      <c r="V351" s="24" t="s">
        <v>504</v>
      </c>
    </row>
    <row r="352" ht="15.75" customHeight="1">
      <c r="A352" s="3" t="s">
        <v>354</v>
      </c>
      <c r="B352" s="4"/>
      <c r="C352" s="23" t="s">
        <v>257</v>
      </c>
      <c r="D352" s="4">
        <v>5.0</v>
      </c>
      <c r="E352" s="14">
        <v>25.0</v>
      </c>
      <c r="F352" s="5">
        <f t="shared" si="1"/>
        <v>125</v>
      </c>
      <c r="G352" s="6">
        <v>46294.0</v>
      </c>
      <c r="H352" s="22">
        <v>19.0</v>
      </c>
      <c r="I352" s="7">
        <f t="shared" si="2"/>
        <v>46427</v>
      </c>
      <c r="J352" s="4" t="s">
        <v>25</v>
      </c>
      <c r="K352" s="4" t="s">
        <v>31</v>
      </c>
      <c r="L352" s="24">
        <f>IF(A352="","",IF(OR(G352="",AND(G352&gt;=Dashboard!$C$18,G352&lt;=Dashboard!$C$19)),1,0))</f>
        <v>1</v>
      </c>
      <c r="M352" s="24">
        <f>IF(AND(L352=1,OR(Dashboard!$C$13="All",A352=Dashboard!$C$13),OR(Dashboard!$C$14="All",B352=Dashboard!$C$14),OR(Dashboard!$C$15="All",C352=Dashboard!$C$15),OR(Dashboard!$C$16="All",K352=Dashboard!$C$16),OR(Dashboard!$C$17="All",J352=Dashboard!$C$17)),1,0)</f>
        <v>1</v>
      </c>
      <c r="N352" s="24">
        <f>IF(AND(L352=1,OR(Dashboard!$C$13="All",A352=Dashboard!$C$13),OR(Dashboard!$C$14="All",B352=Dashboard!$C$14),OR(Dashboard!$C$16="All",K352=Dashboard!$C$16),OR(Dashboard!$C$17="All",J352=Dashboard!$C$17)),1,0)</f>
        <v>1</v>
      </c>
      <c r="O352" s="24">
        <f>IF(AND(L352=1,OR(Dashboard!$C$13="All",A352=Dashboard!$C$13),OR(Dashboard!$C$15="All",C352=Dashboard!$C$15),OR(Dashboard!$C$16="All",K352=Dashboard!$C$16),OR(Dashboard!$C$17="All",J352=Dashboard!$C$17)),1,0)</f>
        <v>1</v>
      </c>
      <c r="P352" s="24">
        <f>IF(AND(L352=1,OR(Dashboard!$C$13="All",A352=Dashboard!$C$13),OR(Dashboard!$C$14="All",B352=Dashboard!$C$14),OR(Dashboard!$C$15="All",C352=Dashboard!$C$15),OR(Dashboard!$C$17="All",J352=Dashboard!$C$17)),1,0)</f>
        <v>1</v>
      </c>
      <c r="Q352" s="24">
        <f>IF(AND(L352=1,OR(Dashboard!$C$14="All",B352=Dashboard!$C$14),OR(Dashboard!$C$15="All",C352=Dashboard!$C$15),OR(Dashboard!$C$16="All",K352=Dashboard!$C$16),OR(Dashboard!$C$17="All",J352=Dashboard!$C$17)),1,0)</f>
        <v>1</v>
      </c>
      <c r="R352" s="24">
        <f>IF(AND(L352=1,OR(Dashboard!$C$13="All",A352=Dashboard!$C$13),OR(Dashboard!$C$14="All",B352=Dashboard!$C$14),OR(Dashboard!$C$15="All",C352=Dashboard!$C$15),OR(Dashboard!$C$16="All",K352=Dashboard!$C$16)),1,0)</f>
        <v>1</v>
      </c>
      <c r="S352" s="24">
        <f t="shared" si="3"/>
        <v>351</v>
      </c>
      <c r="V352" s="24" t="s">
        <v>629</v>
      </c>
    </row>
    <row r="353" ht="15.75" customHeight="1">
      <c r="A353" s="10" t="s">
        <v>366</v>
      </c>
      <c r="B353" s="13"/>
      <c r="C353" s="10" t="s">
        <v>322</v>
      </c>
      <c r="D353" s="13" t="s">
        <v>654</v>
      </c>
      <c r="E353" s="17">
        <v>36.0</v>
      </c>
      <c r="F353" s="15" t="str">
        <f t="shared" si="1"/>
        <v>#VALUE!</v>
      </c>
      <c r="G353" s="6">
        <v>46295.0</v>
      </c>
      <c r="H353" s="22">
        <v>5.0</v>
      </c>
      <c r="I353" s="16">
        <f t="shared" si="2"/>
        <v>46330</v>
      </c>
      <c r="J353" s="13" t="s">
        <v>25</v>
      </c>
      <c r="K353" s="13" t="s">
        <v>31</v>
      </c>
      <c r="L353" s="24">
        <f>IF(A353="","",IF(OR(G353="",AND(G353&gt;=Dashboard!$C$18,G353&lt;=Dashboard!$C$19)),1,0))</f>
        <v>1</v>
      </c>
      <c r="M353" s="24">
        <f>IF(AND(L353=1,OR(Dashboard!$C$13="All",A353=Dashboard!$C$13),OR(Dashboard!$C$14="All",B353=Dashboard!$C$14),OR(Dashboard!$C$15="All",C353=Dashboard!$C$15),OR(Dashboard!$C$16="All",K353=Dashboard!$C$16),OR(Dashboard!$C$17="All",J353=Dashboard!$C$17)),1,0)</f>
        <v>1</v>
      </c>
      <c r="N353" s="24">
        <f>IF(AND(L353=1,OR(Dashboard!$C$13="All",A353=Dashboard!$C$13),OR(Dashboard!$C$14="All",B353=Dashboard!$C$14),OR(Dashboard!$C$16="All",K353=Dashboard!$C$16),OR(Dashboard!$C$17="All",J353=Dashboard!$C$17)),1,0)</f>
        <v>1</v>
      </c>
      <c r="O353" s="24">
        <f>IF(AND(L353=1,OR(Dashboard!$C$13="All",A353=Dashboard!$C$13),OR(Dashboard!$C$15="All",C353=Dashboard!$C$15),OR(Dashboard!$C$16="All",K353=Dashboard!$C$16),OR(Dashboard!$C$17="All",J353=Dashboard!$C$17)),1,0)</f>
        <v>1</v>
      </c>
      <c r="P353" s="24">
        <f>IF(AND(L353=1,OR(Dashboard!$C$13="All",A353=Dashboard!$C$13),OR(Dashboard!$C$14="All",B353=Dashboard!$C$14),OR(Dashboard!$C$15="All",C353=Dashboard!$C$15),OR(Dashboard!$C$17="All",J353=Dashboard!$C$17)),1,0)</f>
        <v>1</v>
      </c>
      <c r="Q353" s="24">
        <f>IF(AND(L353=1,OR(Dashboard!$C$14="All",B353=Dashboard!$C$14),OR(Dashboard!$C$15="All",C353=Dashboard!$C$15),OR(Dashboard!$C$16="All",K353=Dashboard!$C$16),OR(Dashboard!$C$17="All",J353=Dashboard!$C$17)),1,0)</f>
        <v>1</v>
      </c>
      <c r="R353" s="24">
        <f>IF(AND(L353=1,OR(Dashboard!$C$13="All",A353=Dashboard!$C$13),OR(Dashboard!$C$14="All",B353=Dashboard!$C$14),OR(Dashboard!$C$15="All",C353=Dashboard!$C$15),OR(Dashboard!$C$16="All",K353=Dashboard!$C$16)),1,0)</f>
        <v>1</v>
      </c>
      <c r="S353" s="24">
        <f t="shared" si="3"/>
        <v>352</v>
      </c>
      <c r="V353" s="24" t="s">
        <v>559</v>
      </c>
    </row>
    <row r="354" ht="15.75" customHeight="1">
      <c r="A354" s="3" t="s">
        <v>367</v>
      </c>
      <c r="B354" s="4"/>
      <c r="C354" s="3" t="s">
        <v>655</v>
      </c>
      <c r="D354" s="4">
        <v>6.0</v>
      </c>
      <c r="E354" s="14">
        <v>95.0</v>
      </c>
      <c r="F354" s="5">
        <f t="shared" si="1"/>
        <v>570</v>
      </c>
      <c r="G354" s="6">
        <v>46296.0</v>
      </c>
      <c r="H354" s="22">
        <v>4.0</v>
      </c>
      <c r="I354" s="7">
        <f t="shared" si="2"/>
        <v>46324</v>
      </c>
      <c r="J354" s="4" t="s">
        <v>25</v>
      </c>
      <c r="K354" s="4" t="s">
        <v>31</v>
      </c>
      <c r="L354" s="24">
        <f>IF(A354="","",IF(OR(G354="",AND(G354&gt;=Dashboard!$C$18,G354&lt;=Dashboard!$C$19)),1,0))</f>
        <v>1</v>
      </c>
      <c r="M354" s="24">
        <f>IF(AND(L354=1,OR(Dashboard!$C$13="All",A354=Dashboard!$C$13),OR(Dashboard!$C$14="All",B354=Dashboard!$C$14),OR(Dashboard!$C$15="All",C354=Dashboard!$C$15),OR(Dashboard!$C$16="All",K354=Dashboard!$C$16),OR(Dashboard!$C$17="All",J354=Dashboard!$C$17)),1,0)</f>
        <v>1</v>
      </c>
      <c r="N354" s="24">
        <f>IF(AND(L354=1,OR(Dashboard!$C$13="All",A354=Dashboard!$C$13),OR(Dashboard!$C$14="All",B354=Dashboard!$C$14),OR(Dashboard!$C$16="All",K354=Dashboard!$C$16),OR(Dashboard!$C$17="All",J354=Dashboard!$C$17)),1,0)</f>
        <v>1</v>
      </c>
      <c r="O354" s="24">
        <f>IF(AND(L354=1,OR(Dashboard!$C$13="All",A354=Dashboard!$C$13),OR(Dashboard!$C$15="All",C354=Dashboard!$C$15),OR(Dashboard!$C$16="All",K354=Dashboard!$C$16),OR(Dashboard!$C$17="All",J354=Dashboard!$C$17)),1,0)</f>
        <v>1</v>
      </c>
      <c r="P354" s="24">
        <f>IF(AND(L354=1,OR(Dashboard!$C$13="All",A354=Dashboard!$C$13),OR(Dashboard!$C$14="All",B354=Dashboard!$C$14),OR(Dashboard!$C$15="All",C354=Dashboard!$C$15),OR(Dashboard!$C$17="All",J354=Dashboard!$C$17)),1,0)</f>
        <v>1</v>
      </c>
      <c r="Q354" s="24">
        <f>IF(AND(L354=1,OR(Dashboard!$C$14="All",B354=Dashboard!$C$14),OR(Dashboard!$C$15="All",C354=Dashboard!$C$15),OR(Dashboard!$C$16="All",K354=Dashboard!$C$16),OR(Dashboard!$C$17="All",J354=Dashboard!$C$17)),1,0)</f>
        <v>1</v>
      </c>
      <c r="R354" s="24">
        <f>IF(AND(L354=1,OR(Dashboard!$C$13="All",A354=Dashboard!$C$13),OR(Dashboard!$C$14="All",B354=Dashboard!$C$14),OR(Dashboard!$C$15="All",C354=Dashboard!$C$15),OR(Dashboard!$C$16="All",K354=Dashboard!$C$16)),1,0)</f>
        <v>1</v>
      </c>
      <c r="S354" s="24">
        <f t="shared" si="3"/>
        <v>353</v>
      </c>
      <c r="V354" s="24" t="s">
        <v>406</v>
      </c>
    </row>
    <row r="355" ht="15.75" customHeight="1">
      <c r="A355" s="10" t="s">
        <v>369</v>
      </c>
      <c r="B355" s="13"/>
      <c r="C355" s="10" t="s">
        <v>520</v>
      </c>
      <c r="D355" s="13">
        <v>3.0</v>
      </c>
      <c r="E355" s="17">
        <v>574.0</v>
      </c>
      <c r="F355" s="15">
        <f t="shared" si="1"/>
        <v>1722</v>
      </c>
      <c r="G355" s="6">
        <v>46297.0</v>
      </c>
      <c r="H355" s="22">
        <v>6.0</v>
      </c>
      <c r="I355" s="16">
        <f t="shared" si="2"/>
        <v>46339</v>
      </c>
      <c r="J355" s="13" t="s">
        <v>25</v>
      </c>
      <c r="K355" s="13" t="s">
        <v>31</v>
      </c>
      <c r="L355" s="24">
        <f>IF(A355="","",IF(OR(G355="",AND(G355&gt;=Dashboard!$C$18,G355&lt;=Dashboard!$C$19)),1,0))</f>
        <v>1</v>
      </c>
      <c r="M355" s="24">
        <f>IF(AND(L355=1,OR(Dashboard!$C$13="All",A355=Dashboard!$C$13),OR(Dashboard!$C$14="All",B355=Dashboard!$C$14),OR(Dashboard!$C$15="All",C355=Dashboard!$C$15),OR(Dashboard!$C$16="All",K355=Dashboard!$C$16),OR(Dashboard!$C$17="All",J355=Dashboard!$C$17)),1,0)</f>
        <v>1</v>
      </c>
      <c r="N355" s="24">
        <f>IF(AND(L355=1,OR(Dashboard!$C$13="All",A355=Dashboard!$C$13),OR(Dashboard!$C$14="All",B355=Dashboard!$C$14),OR(Dashboard!$C$16="All",K355=Dashboard!$C$16),OR(Dashboard!$C$17="All",J355=Dashboard!$C$17)),1,0)</f>
        <v>1</v>
      </c>
      <c r="O355" s="24">
        <f>IF(AND(L355=1,OR(Dashboard!$C$13="All",A355=Dashboard!$C$13),OR(Dashboard!$C$15="All",C355=Dashboard!$C$15),OR(Dashboard!$C$16="All",K355=Dashboard!$C$16),OR(Dashboard!$C$17="All",J355=Dashboard!$C$17)),1,0)</f>
        <v>1</v>
      </c>
      <c r="P355" s="24">
        <f>IF(AND(L355=1,OR(Dashboard!$C$13="All",A355=Dashboard!$C$13),OR(Dashboard!$C$14="All",B355=Dashboard!$C$14),OR(Dashboard!$C$15="All",C355=Dashboard!$C$15),OR(Dashboard!$C$17="All",J355=Dashboard!$C$17)),1,0)</f>
        <v>1</v>
      </c>
      <c r="Q355" s="24">
        <f>IF(AND(L355=1,OR(Dashboard!$C$14="All",B355=Dashboard!$C$14),OR(Dashboard!$C$15="All",C355=Dashboard!$C$15),OR(Dashboard!$C$16="All",K355=Dashboard!$C$16),OR(Dashboard!$C$17="All",J355=Dashboard!$C$17)),1,0)</f>
        <v>1</v>
      </c>
      <c r="R355" s="24">
        <f>IF(AND(L355=1,OR(Dashboard!$C$13="All",A355=Dashboard!$C$13),OR(Dashboard!$C$14="All",B355=Dashboard!$C$14),OR(Dashboard!$C$15="All",C355=Dashboard!$C$15),OR(Dashboard!$C$16="All",K355=Dashboard!$C$16)),1,0)</f>
        <v>1</v>
      </c>
      <c r="S355" s="24">
        <f t="shared" si="3"/>
        <v>354</v>
      </c>
      <c r="V355" s="24" t="s">
        <v>328</v>
      </c>
    </row>
    <row r="356" ht="15.75" customHeight="1">
      <c r="A356" s="3" t="s">
        <v>369</v>
      </c>
      <c r="B356" s="4"/>
      <c r="C356" s="3" t="s">
        <v>223</v>
      </c>
      <c r="D356" s="4">
        <v>1.0</v>
      </c>
      <c r="E356" s="14">
        <v>558.0</v>
      </c>
      <c r="F356" s="5">
        <f t="shared" si="1"/>
        <v>558</v>
      </c>
      <c r="G356" s="6">
        <v>46298.0</v>
      </c>
      <c r="H356" s="22">
        <v>5.0</v>
      </c>
      <c r="I356" s="7">
        <f t="shared" si="2"/>
        <v>46333</v>
      </c>
      <c r="J356" s="4" t="s">
        <v>25</v>
      </c>
      <c r="K356" s="4" t="s">
        <v>31</v>
      </c>
      <c r="L356" s="24">
        <f>IF(A356="","",IF(OR(G356="",AND(G356&gt;=Dashboard!$C$18,G356&lt;=Dashboard!$C$19)),1,0))</f>
        <v>1</v>
      </c>
      <c r="M356" s="24">
        <f>IF(AND(L356=1,OR(Dashboard!$C$13="All",A356=Dashboard!$C$13),OR(Dashboard!$C$14="All",B356=Dashboard!$C$14),OR(Dashboard!$C$15="All",C356=Dashboard!$C$15),OR(Dashboard!$C$16="All",K356=Dashboard!$C$16),OR(Dashboard!$C$17="All",J356=Dashboard!$C$17)),1,0)</f>
        <v>1</v>
      </c>
      <c r="N356" s="24">
        <f>IF(AND(L356=1,OR(Dashboard!$C$13="All",A356=Dashboard!$C$13),OR(Dashboard!$C$14="All",B356=Dashboard!$C$14),OR(Dashboard!$C$16="All",K356=Dashboard!$C$16),OR(Dashboard!$C$17="All",J356=Dashboard!$C$17)),1,0)</f>
        <v>1</v>
      </c>
      <c r="O356" s="24">
        <f>IF(AND(L356=1,OR(Dashboard!$C$13="All",A356=Dashboard!$C$13),OR(Dashboard!$C$15="All",C356=Dashboard!$C$15),OR(Dashboard!$C$16="All",K356=Dashboard!$C$16),OR(Dashboard!$C$17="All",J356=Dashboard!$C$17)),1,0)</f>
        <v>1</v>
      </c>
      <c r="P356" s="24">
        <f>IF(AND(L356=1,OR(Dashboard!$C$13="All",A356=Dashboard!$C$13),OR(Dashboard!$C$14="All",B356=Dashboard!$C$14),OR(Dashboard!$C$15="All",C356=Dashboard!$C$15),OR(Dashboard!$C$17="All",J356=Dashboard!$C$17)),1,0)</f>
        <v>1</v>
      </c>
      <c r="Q356" s="24">
        <f>IF(AND(L356=1,OR(Dashboard!$C$14="All",B356=Dashboard!$C$14),OR(Dashboard!$C$15="All",C356=Dashboard!$C$15),OR(Dashboard!$C$16="All",K356=Dashboard!$C$16),OR(Dashboard!$C$17="All",J356=Dashboard!$C$17)),1,0)</f>
        <v>1</v>
      </c>
      <c r="R356" s="24">
        <f>IF(AND(L356=1,OR(Dashboard!$C$13="All",A356=Dashboard!$C$13),OR(Dashboard!$C$14="All",B356=Dashboard!$C$14),OR(Dashboard!$C$15="All",C356=Dashboard!$C$15),OR(Dashboard!$C$16="All",K356=Dashboard!$C$16)),1,0)</f>
        <v>1</v>
      </c>
      <c r="S356" s="24">
        <f t="shared" si="3"/>
        <v>355</v>
      </c>
      <c r="V356" s="24" t="s">
        <v>548</v>
      </c>
    </row>
    <row r="357" ht="15.75" customHeight="1">
      <c r="A357" s="10" t="s">
        <v>369</v>
      </c>
      <c r="B357" s="13"/>
      <c r="C357" s="10" t="s">
        <v>481</v>
      </c>
      <c r="D357" s="13">
        <v>6.0</v>
      </c>
      <c r="E357" s="17">
        <v>2265.0</v>
      </c>
      <c r="F357" s="15">
        <f t="shared" si="1"/>
        <v>13590</v>
      </c>
      <c r="G357" s="6">
        <v>46299.0</v>
      </c>
      <c r="H357" s="22">
        <v>2.0</v>
      </c>
      <c r="I357" s="16">
        <f t="shared" si="2"/>
        <v>46313</v>
      </c>
      <c r="J357" s="13" t="s">
        <v>25</v>
      </c>
      <c r="K357" s="13" t="s">
        <v>31</v>
      </c>
      <c r="L357" s="24">
        <f>IF(A357="","",IF(OR(G357="",AND(G357&gt;=Dashboard!$C$18,G357&lt;=Dashboard!$C$19)),1,0))</f>
        <v>1</v>
      </c>
      <c r="M357" s="24">
        <f>IF(AND(L357=1,OR(Dashboard!$C$13="All",A357=Dashboard!$C$13),OR(Dashboard!$C$14="All",B357=Dashboard!$C$14),OR(Dashboard!$C$15="All",C357=Dashboard!$C$15),OR(Dashboard!$C$16="All",K357=Dashboard!$C$16),OR(Dashboard!$C$17="All",J357=Dashboard!$C$17)),1,0)</f>
        <v>1</v>
      </c>
      <c r="N357" s="24">
        <f>IF(AND(L357=1,OR(Dashboard!$C$13="All",A357=Dashboard!$C$13),OR(Dashboard!$C$14="All",B357=Dashboard!$C$14),OR(Dashboard!$C$16="All",K357=Dashboard!$C$16),OR(Dashboard!$C$17="All",J357=Dashboard!$C$17)),1,0)</f>
        <v>1</v>
      </c>
      <c r="O357" s="24">
        <f>IF(AND(L357=1,OR(Dashboard!$C$13="All",A357=Dashboard!$C$13),OR(Dashboard!$C$15="All",C357=Dashboard!$C$15),OR(Dashboard!$C$16="All",K357=Dashboard!$C$16),OR(Dashboard!$C$17="All",J357=Dashboard!$C$17)),1,0)</f>
        <v>1</v>
      </c>
      <c r="P357" s="24">
        <f>IF(AND(L357=1,OR(Dashboard!$C$13="All",A357=Dashboard!$C$13),OR(Dashboard!$C$14="All",B357=Dashboard!$C$14),OR(Dashboard!$C$15="All",C357=Dashboard!$C$15),OR(Dashboard!$C$17="All",J357=Dashboard!$C$17)),1,0)</f>
        <v>1</v>
      </c>
      <c r="Q357" s="24">
        <f>IF(AND(L357=1,OR(Dashboard!$C$14="All",B357=Dashboard!$C$14),OR(Dashboard!$C$15="All",C357=Dashboard!$C$15),OR(Dashboard!$C$16="All",K357=Dashboard!$C$16),OR(Dashboard!$C$17="All",J357=Dashboard!$C$17)),1,0)</f>
        <v>1</v>
      </c>
      <c r="R357" s="24">
        <f>IF(AND(L357=1,OR(Dashboard!$C$13="All",A357=Dashboard!$C$13),OR(Dashboard!$C$14="All",B357=Dashboard!$C$14),OR(Dashboard!$C$15="All",C357=Dashboard!$C$15),OR(Dashboard!$C$16="All",K357=Dashboard!$C$16)),1,0)</f>
        <v>1</v>
      </c>
      <c r="S357" s="24">
        <f t="shared" si="3"/>
        <v>356</v>
      </c>
      <c r="V357" s="24" t="s">
        <v>24</v>
      </c>
    </row>
    <row r="358" ht="15.75" customHeight="1">
      <c r="A358" s="3" t="s">
        <v>369</v>
      </c>
      <c r="B358" s="4"/>
      <c r="C358" s="3" t="s">
        <v>607</v>
      </c>
      <c r="D358" s="4">
        <v>5000.0</v>
      </c>
      <c r="E358" s="14">
        <v>45.0</v>
      </c>
      <c r="F358" s="5">
        <f t="shared" si="1"/>
        <v>225000</v>
      </c>
      <c r="G358" s="6">
        <v>46300.0</v>
      </c>
      <c r="H358" s="22">
        <v>5.0</v>
      </c>
      <c r="I358" s="7">
        <f t="shared" si="2"/>
        <v>46335</v>
      </c>
      <c r="J358" s="4" t="s">
        <v>25</v>
      </c>
      <c r="K358" s="4" t="s">
        <v>31</v>
      </c>
      <c r="L358" s="24">
        <f>IF(A358="","",IF(OR(G358="",AND(G358&gt;=Dashboard!$C$18,G358&lt;=Dashboard!$C$19)),1,0))</f>
        <v>1</v>
      </c>
      <c r="M358" s="24">
        <f>IF(AND(L358=1,OR(Dashboard!$C$13="All",A358=Dashboard!$C$13),OR(Dashboard!$C$14="All",B358=Dashboard!$C$14),OR(Dashboard!$C$15="All",C358=Dashboard!$C$15),OR(Dashboard!$C$16="All",K358=Dashboard!$C$16),OR(Dashboard!$C$17="All",J358=Dashboard!$C$17)),1,0)</f>
        <v>1</v>
      </c>
      <c r="N358" s="24">
        <f>IF(AND(L358=1,OR(Dashboard!$C$13="All",A358=Dashboard!$C$13),OR(Dashboard!$C$14="All",B358=Dashboard!$C$14),OR(Dashboard!$C$16="All",K358=Dashboard!$C$16),OR(Dashboard!$C$17="All",J358=Dashboard!$C$17)),1,0)</f>
        <v>1</v>
      </c>
      <c r="O358" s="24">
        <f>IF(AND(L358=1,OR(Dashboard!$C$13="All",A358=Dashboard!$C$13),OR(Dashboard!$C$15="All",C358=Dashboard!$C$15),OR(Dashboard!$C$16="All",K358=Dashboard!$C$16),OR(Dashboard!$C$17="All",J358=Dashboard!$C$17)),1,0)</f>
        <v>1</v>
      </c>
      <c r="P358" s="24">
        <f>IF(AND(L358=1,OR(Dashboard!$C$13="All",A358=Dashboard!$C$13),OR(Dashboard!$C$14="All",B358=Dashboard!$C$14),OR(Dashboard!$C$15="All",C358=Dashboard!$C$15),OR(Dashboard!$C$17="All",J358=Dashboard!$C$17)),1,0)</f>
        <v>1</v>
      </c>
      <c r="Q358" s="24">
        <f>IF(AND(L358=1,OR(Dashboard!$C$14="All",B358=Dashboard!$C$14),OR(Dashboard!$C$15="All",C358=Dashboard!$C$15),OR(Dashboard!$C$16="All",K358=Dashboard!$C$16),OR(Dashboard!$C$17="All",J358=Dashboard!$C$17)),1,0)</f>
        <v>1</v>
      </c>
      <c r="R358" s="24">
        <f>IF(AND(L358=1,OR(Dashboard!$C$13="All",A358=Dashboard!$C$13),OR(Dashboard!$C$14="All",B358=Dashboard!$C$14),OR(Dashboard!$C$15="All",C358=Dashboard!$C$15),OR(Dashboard!$C$16="All",K358=Dashboard!$C$16)),1,0)</f>
        <v>1</v>
      </c>
      <c r="S358" s="24">
        <f t="shared" si="3"/>
        <v>357</v>
      </c>
      <c r="V358" s="24" t="s">
        <v>656</v>
      </c>
    </row>
    <row r="359" ht="15.75" customHeight="1">
      <c r="A359" s="10" t="s">
        <v>369</v>
      </c>
      <c r="B359" s="13"/>
      <c r="C359" s="10" t="s">
        <v>657</v>
      </c>
      <c r="D359" s="13">
        <v>5000.0</v>
      </c>
      <c r="E359" s="17">
        <v>5554.0</v>
      </c>
      <c r="F359" s="15">
        <f t="shared" si="1"/>
        <v>27770000</v>
      </c>
      <c r="G359" s="6">
        <v>46301.0</v>
      </c>
      <c r="H359" s="22">
        <v>2.0</v>
      </c>
      <c r="I359" s="16">
        <f t="shared" si="2"/>
        <v>46315</v>
      </c>
      <c r="J359" s="13" t="s">
        <v>25</v>
      </c>
      <c r="K359" s="13" t="s">
        <v>31</v>
      </c>
      <c r="L359" s="24">
        <f>IF(A359="","",IF(OR(G359="",AND(G359&gt;=Dashboard!$C$18,G359&lt;=Dashboard!$C$19)),1,0))</f>
        <v>1</v>
      </c>
      <c r="M359" s="24">
        <f>IF(AND(L359=1,OR(Dashboard!$C$13="All",A359=Dashboard!$C$13),OR(Dashboard!$C$14="All",B359=Dashboard!$C$14),OR(Dashboard!$C$15="All",C359=Dashboard!$C$15),OR(Dashboard!$C$16="All",K359=Dashboard!$C$16),OR(Dashboard!$C$17="All",J359=Dashboard!$C$17)),1,0)</f>
        <v>1</v>
      </c>
      <c r="N359" s="24">
        <f>IF(AND(L359=1,OR(Dashboard!$C$13="All",A359=Dashboard!$C$13),OR(Dashboard!$C$14="All",B359=Dashboard!$C$14),OR(Dashboard!$C$16="All",K359=Dashboard!$C$16),OR(Dashboard!$C$17="All",J359=Dashboard!$C$17)),1,0)</f>
        <v>1</v>
      </c>
      <c r="O359" s="24">
        <f>IF(AND(L359=1,OR(Dashboard!$C$13="All",A359=Dashboard!$C$13),OR(Dashboard!$C$15="All",C359=Dashboard!$C$15),OR(Dashboard!$C$16="All",K359=Dashboard!$C$16),OR(Dashboard!$C$17="All",J359=Dashboard!$C$17)),1,0)</f>
        <v>1</v>
      </c>
      <c r="P359" s="24">
        <f>IF(AND(L359=1,OR(Dashboard!$C$13="All",A359=Dashboard!$C$13),OR(Dashboard!$C$14="All",B359=Dashboard!$C$14),OR(Dashboard!$C$15="All",C359=Dashboard!$C$15),OR(Dashboard!$C$17="All",J359=Dashboard!$C$17)),1,0)</f>
        <v>1</v>
      </c>
      <c r="Q359" s="24">
        <f>IF(AND(L359=1,OR(Dashboard!$C$14="All",B359=Dashboard!$C$14),OR(Dashboard!$C$15="All",C359=Dashboard!$C$15),OR(Dashboard!$C$16="All",K359=Dashboard!$C$16),OR(Dashboard!$C$17="All",J359=Dashboard!$C$17)),1,0)</f>
        <v>1</v>
      </c>
      <c r="R359" s="24">
        <f>IF(AND(L359=1,OR(Dashboard!$C$13="All",A359=Dashboard!$C$13),OR(Dashboard!$C$14="All",B359=Dashboard!$C$14),OR(Dashboard!$C$15="All",C359=Dashboard!$C$15),OR(Dashboard!$C$16="All",K359=Dashboard!$C$16)),1,0)</f>
        <v>1</v>
      </c>
      <c r="S359" s="24">
        <f t="shared" si="3"/>
        <v>358</v>
      </c>
      <c r="V359" s="24" t="s">
        <v>392</v>
      </c>
    </row>
    <row r="360" ht="15.75" customHeight="1">
      <c r="A360" s="3" t="s">
        <v>369</v>
      </c>
      <c r="B360" s="4"/>
      <c r="C360" s="3" t="s">
        <v>609</v>
      </c>
      <c r="D360" s="4">
        <v>1.0</v>
      </c>
      <c r="E360" s="14">
        <v>41.0</v>
      </c>
      <c r="F360" s="5">
        <f t="shared" si="1"/>
        <v>41</v>
      </c>
      <c r="G360" s="6">
        <v>46302.0</v>
      </c>
      <c r="H360" s="22">
        <v>4.0</v>
      </c>
      <c r="I360" s="7">
        <f t="shared" si="2"/>
        <v>46330</v>
      </c>
      <c r="J360" s="4" t="s">
        <v>25</v>
      </c>
      <c r="K360" s="4" t="s">
        <v>31</v>
      </c>
      <c r="L360" s="24">
        <f>IF(A360="","",IF(OR(G360="",AND(G360&gt;=Dashboard!$C$18,G360&lt;=Dashboard!$C$19)),1,0))</f>
        <v>1</v>
      </c>
      <c r="M360" s="24">
        <f>IF(AND(L360=1,OR(Dashboard!$C$13="All",A360=Dashboard!$C$13),OR(Dashboard!$C$14="All",B360=Dashboard!$C$14),OR(Dashboard!$C$15="All",C360=Dashboard!$C$15),OR(Dashboard!$C$16="All",K360=Dashboard!$C$16),OR(Dashboard!$C$17="All",J360=Dashboard!$C$17)),1,0)</f>
        <v>1</v>
      </c>
      <c r="N360" s="24">
        <f>IF(AND(L360=1,OR(Dashboard!$C$13="All",A360=Dashboard!$C$13),OR(Dashboard!$C$14="All",B360=Dashboard!$C$14),OR(Dashboard!$C$16="All",K360=Dashboard!$C$16),OR(Dashboard!$C$17="All",J360=Dashboard!$C$17)),1,0)</f>
        <v>1</v>
      </c>
      <c r="O360" s="24">
        <f>IF(AND(L360=1,OR(Dashboard!$C$13="All",A360=Dashboard!$C$13),OR(Dashboard!$C$15="All",C360=Dashboard!$C$15),OR(Dashboard!$C$16="All",K360=Dashboard!$C$16),OR(Dashboard!$C$17="All",J360=Dashboard!$C$17)),1,0)</f>
        <v>1</v>
      </c>
      <c r="P360" s="24">
        <f>IF(AND(L360=1,OR(Dashboard!$C$13="All",A360=Dashboard!$C$13),OR(Dashboard!$C$14="All",B360=Dashboard!$C$14),OR(Dashboard!$C$15="All",C360=Dashboard!$C$15),OR(Dashboard!$C$17="All",J360=Dashboard!$C$17)),1,0)</f>
        <v>1</v>
      </c>
      <c r="Q360" s="24">
        <f>IF(AND(L360=1,OR(Dashboard!$C$14="All",B360=Dashboard!$C$14),OR(Dashboard!$C$15="All",C360=Dashboard!$C$15),OR(Dashboard!$C$16="All",K360=Dashboard!$C$16),OR(Dashboard!$C$17="All",J360=Dashboard!$C$17)),1,0)</f>
        <v>1</v>
      </c>
      <c r="R360" s="24">
        <f>IF(AND(L360=1,OR(Dashboard!$C$13="All",A360=Dashboard!$C$13),OR(Dashboard!$C$14="All",B360=Dashboard!$C$14),OR(Dashboard!$C$15="All",C360=Dashboard!$C$15),OR(Dashboard!$C$16="All",K360=Dashboard!$C$16)),1,0)</f>
        <v>1</v>
      </c>
      <c r="S360" s="24">
        <f t="shared" si="3"/>
        <v>359</v>
      </c>
      <c r="V360" s="24" t="s">
        <v>471</v>
      </c>
    </row>
    <row r="361" ht="15.75" customHeight="1">
      <c r="A361" s="10" t="s">
        <v>369</v>
      </c>
      <c r="B361" s="13"/>
      <c r="C361" s="10" t="s">
        <v>581</v>
      </c>
      <c r="D361" s="13">
        <v>10.0</v>
      </c>
      <c r="E361" s="17">
        <v>231.0</v>
      </c>
      <c r="F361" s="15">
        <f t="shared" si="1"/>
        <v>2310</v>
      </c>
      <c r="G361" s="6">
        <v>46303.0</v>
      </c>
      <c r="H361" s="22">
        <v>3.0</v>
      </c>
      <c r="I361" s="16">
        <f t="shared" si="2"/>
        <v>46324</v>
      </c>
      <c r="J361" s="13" t="s">
        <v>25</v>
      </c>
      <c r="K361" s="13" t="s">
        <v>31</v>
      </c>
      <c r="L361" s="24">
        <f>IF(A361="","",IF(OR(G361="",AND(G361&gt;=Dashboard!$C$18,G361&lt;=Dashboard!$C$19)),1,0))</f>
        <v>1</v>
      </c>
      <c r="M361" s="24">
        <f>IF(AND(L361=1,OR(Dashboard!$C$13="All",A361=Dashboard!$C$13),OR(Dashboard!$C$14="All",B361=Dashboard!$C$14),OR(Dashboard!$C$15="All",C361=Dashboard!$C$15),OR(Dashboard!$C$16="All",K361=Dashboard!$C$16),OR(Dashboard!$C$17="All",J361=Dashboard!$C$17)),1,0)</f>
        <v>1</v>
      </c>
      <c r="N361" s="24">
        <f>IF(AND(L361=1,OR(Dashboard!$C$13="All",A361=Dashboard!$C$13),OR(Dashboard!$C$14="All",B361=Dashboard!$C$14),OR(Dashboard!$C$16="All",K361=Dashboard!$C$16),OR(Dashboard!$C$17="All",J361=Dashboard!$C$17)),1,0)</f>
        <v>1</v>
      </c>
      <c r="O361" s="24">
        <f>IF(AND(L361=1,OR(Dashboard!$C$13="All",A361=Dashboard!$C$13),OR(Dashboard!$C$15="All",C361=Dashboard!$C$15),OR(Dashboard!$C$16="All",K361=Dashboard!$C$16),OR(Dashboard!$C$17="All",J361=Dashboard!$C$17)),1,0)</f>
        <v>1</v>
      </c>
      <c r="P361" s="24">
        <f>IF(AND(L361=1,OR(Dashboard!$C$13="All",A361=Dashboard!$C$13),OR(Dashboard!$C$14="All",B361=Dashboard!$C$14),OR(Dashboard!$C$15="All",C361=Dashboard!$C$15),OR(Dashboard!$C$17="All",J361=Dashboard!$C$17)),1,0)</f>
        <v>1</v>
      </c>
      <c r="Q361" s="24">
        <f>IF(AND(L361=1,OR(Dashboard!$C$14="All",B361=Dashboard!$C$14),OR(Dashboard!$C$15="All",C361=Dashboard!$C$15),OR(Dashboard!$C$16="All",K361=Dashboard!$C$16),OR(Dashboard!$C$17="All",J361=Dashboard!$C$17)),1,0)</f>
        <v>1</v>
      </c>
      <c r="R361" s="24">
        <f>IF(AND(L361=1,OR(Dashboard!$C$13="All",A361=Dashboard!$C$13),OR(Dashboard!$C$14="All",B361=Dashboard!$C$14),OR(Dashboard!$C$15="All",C361=Dashboard!$C$15),OR(Dashboard!$C$16="All",K361=Dashboard!$C$16)),1,0)</f>
        <v>1</v>
      </c>
      <c r="S361" s="24">
        <f t="shared" si="3"/>
        <v>360</v>
      </c>
      <c r="V361" s="24" t="s">
        <v>599</v>
      </c>
    </row>
    <row r="362" ht="15.75" customHeight="1">
      <c r="A362" s="3" t="s">
        <v>369</v>
      </c>
      <c r="B362" s="4"/>
      <c r="C362" s="3" t="s">
        <v>658</v>
      </c>
      <c r="D362" s="4">
        <v>1000.0</v>
      </c>
      <c r="E362" s="14">
        <v>25.0</v>
      </c>
      <c r="F362" s="5">
        <f t="shared" si="1"/>
        <v>25000</v>
      </c>
      <c r="G362" s="6">
        <v>46304.0</v>
      </c>
      <c r="H362" s="22">
        <v>6.0</v>
      </c>
      <c r="I362" s="7">
        <f t="shared" si="2"/>
        <v>46346</v>
      </c>
      <c r="J362" s="4" t="s">
        <v>25</v>
      </c>
      <c r="K362" s="4" t="s">
        <v>31</v>
      </c>
      <c r="L362" s="24">
        <f>IF(A362="","",IF(OR(G362="",AND(G362&gt;=Dashboard!$C$18,G362&lt;=Dashboard!$C$19)),1,0))</f>
        <v>1</v>
      </c>
      <c r="M362" s="24">
        <f>IF(AND(L362=1,OR(Dashboard!$C$13="All",A362=Dashboard!$C$13),OR(Dashboard!$C$14="All",B362=Dashboard!$C$14),OR(Dashboard!$C$15="All",C362=Dashboard!$C$15),OR(Dashboard!$C$16="All",K362=Dashboard!$C$16),OR(Dashboard!$C$17="All",J362=Dashboard!$C$17)),1,0)</f>
        <v>1</v>
      </c>
      <c r="N362" s="24">
        <f>IF(AND(L362=1,OR(Dashboard!$C$13="All",A362=Dashboard!$C$13),OR(Dashboard!$C$14="All",B362=Dashboard!$C$14),OR(Dashboard!$C$16="All",K362=Dashboard!$C$16),OR(Dashboard!$C$17="All",J362=Dashboard!$C$17)),1,0)</f>
        <v>1</v>
      </c>
      <c r="O362" s="24">
        <f>IF(AND(L362=1,OR(Dashboard!$C$13="All",A362=Dashboard!$C$13),OR(Dashboard!$C$15="All",C362=Dashboard!$C$15),OR(Dashboard!$C$16="All",K362=Dashboard!$C$16),OR(Dashboard!$C$17="All",J362=Dashboard!$C$17)),1,0)</f>
        <v>1</v>
      </c>
      <c r="P362" s="24">
        <f>IF(AND(L362=1,OR(Dashboard!$C$13="All",A362=Dashboard!$C$13),OR(Dashboard!$C$14="All",B362=Dashboard!$C$14),OR(Dashboard!$C$15="All",C362=Dashboard!$C$15),OR(Dashboard!$C$17="All",J362=Dashboard!$C$17)),1,0)</f>
        <v>1</v>
      </c>
      <c r="Q362" s="24">
        <f>IF(AND(L362=1,OR(Dashboard!$C$14="All",B362=Dashboard!$C$14),OR(Dashboard!$C$15="All",C362=Dashboard!$C$15),OR(Dashboard!$C$16="All",K362=Dashboard!$C$16),OR(Dashboard!$C$17="All",J362=Dashboard!$C$17)),1,0)</f>
        <v>1</v>
      </c>
      <c r="R362" s="24">
        <f>IF(AND(L362=1,OR(Dashboard!$C$13="All",A362=Dashboard!$C$13),OR(Dashboard!$C$14="All",B362=Dashboard!$C$14),OR(Dashboard!$C$15="All",C362=Dashboard!$C$15),OR(Dashboard!$C$16="All",K362=Dashboard!$C$16)),1,0)</f>
        <v>1</v>
      </c>
      <c r="S362" s="24">
        <f t="shared" si="3"/>
        <v>361</v>
      </c>
      <c r="V362" s="24" t="s">
        <v>659</v>
      </c>
    </row>
    <row r="363" ht="15.75" customHeight="1">
      <c r="A363" s="10" t="s">
        <v>370</v>
      </c>
      <c r="B363" s="13"/>
      <c r="C363" s="10" t="s">
        <v>609</v>
      </c>
      <c r="D363" s="13">
        <v>1.0</v>
      </c>
      <c r="E363" s="17">
        <v>245.0</v>
      </c>
      <c r="F363" s="15">
        <f t="shared" si="1"/>
        <v>245</v>
      </c>
      <c r="G363" s="6">
        <v>46305.0</v>
      </c>
      <c r="H363" s="22">
        <v>22.0</v>
      </c>
      <c r="I363" s="16">
        <f t="shared" si="2"/>
        <v>46459</v>
      </c>
      <c r="J363" s="13" t="s">
        <v>25</v>
      </c>
      <c r="K363" s="13" t="s">
        <v>31</v>
      </c>
      <c r="L363" s="24">
        <f>IF(A363="","",IF(OR(G363="",AND(G363&gt;=Dashboard!$C$18,G363&lt;=Dashboard!$C$19)),1,0))</f>
        <v>1</v>
      </c>
      <c r="M363" s="24">
        <f>IF(AND(L363=1,OR(Dashboard!$C$13="All",A363=Dashboard!$C$13),OR(Dashboard!$C$14="All",B363=Dashboard!$C$14),OR(Dashboard!$C$15="All",C363=Dashboard!$C$15),OR(Dashboard!$C$16="All",K363=Dashboard!$C$16),OR(Dashboard!$C$17="All",J363=Dashboard!$C$17)),1,0)</f>
        <v>1</v>
      </c>
      <c r="N363" s="24">
        <f>IF(AND(L363=1,OR(Dashboard!$C$13="All",A363=Dashboard!$C$13),OR(Dashboard!$C$14="All",B363=Dashboard!$C$14),OR(Dashboard!$C$16="All",K363=Dashboard!$C$16),OR(Dashboard!$C$17="All",J363=Dashboard!$C$17)),1,0)</f>
        <v>1</v>
      </c>
      <c r="O363" s="24">
        <f>IF(AND(L363=1,OR(Dashboard!$C$13="All",A363=Dashboard!$C$13),OR(Dashboard!$C$15="All",C363=Dashboard!$C$15),OR(Dashboard!$C$16="All",K363=Dashboard!$C$16),OR(Dashboard!$C$17="All",J363=Dashboard!$C$17)),1,0)</f>
        <v>1</v>
      </c>
      <c r="P363" s="24">
        <f>IF(AND(L363=1,OR(Dashboard!$C$13="All",A363=Dashboard!$C$13),OR(Dashboard!$C$14="All",B363=Dashboard!$C$14),OR(Dashboard!$C$15="All",C363=Dashboard!$C$15),OR(Dashboard!$C$17="All",J363=Dashboard!$C$17)),1,0)</f>
        <v>1</v>
      </c>
      <c r="Q363" s="24">
        <f>IF(AND(L363=1,OR(Dashboard!$C$14="All",B363=Dashboard!$C$14),OR(Dashboard!$C$15="All",C363=Dashboard!$C$15),OR(Dashboard!$C$16="All",K363=Dashboard!$C$16),OR(Dashboard!$C$17="All",J363=Dashboard!$C$17)),1,0)</f>
        <v>1</v>
      </c>
      <c r="R363" s="24">
        <f>IF(AND(L363=1,OR(Dashboard!$C$13="All",A363=Dashboard!$C$13),OR(Dashboard!$C$14="All",B363=Dashboard!$C$14),OR(Dashboard!$C$15="All",C363=Dashboard!$C$15),OR(Dashboard!$C$16="All",K363=Dashboard!$C$16)),1,0)</f>
        <v>1</v>
      </c>
      <c r="S363" s="24">
        <f t="shared" si="3"/>
        <v>362</v>
      </c>
      <c r="V363" s="24" t="s">
        <v>323</v>
      </c>
    </row>
    <row r="364" ht="15.75" customHeight="1">
      <c r="A364" s="3" t="s">
        <v>370</v>
      </c>
      <c r="B364" s="4"/>
      <c r="C364" s="3" t="s">
        <v>581</v>
      </c>
      <c r="D364" s="4">
        <v>10.0</v>
      </c>
      <c r="E364" s="14">
        <v>2555.0</v>
      </c>
      <c r="F364" s="5">
        <f t="shared" si="1"/>
        <v>25550</v>
      </c>
      <c r="G364" s="6">
        <v>46306.0</v>
      </c>
      <c r="H364" s="22">
        <v>24.0</v>
      </c>
      <c r="I364" s="7">
        <f t="shared" si="2"/>
        <v>46474</v>
      </c>
      <c r="J364" s="4" t="s">
        <v>25</v>
      </c>
      <c r="K364" s="4" t="s">
        <v>31</v>
      </c>
      <c r="L364" s="24">
        <f>IF(A364="","",IF(OR(G364="",AND(G364&gt;=Dashboard!$C$18,G364&lt;=Dashboard!$C$19)),1,0))</f>
        <v>1</v>
      </c>
      <c r="M364" s="24">
        <f>IF(AND(L364=1,OR(Dashboard!$C$13="All",A364=Dashboard!$C$13),OR(Dashboard!$C$14="All",B364=Dashboard!$C$14),OR(Dashboard!$C$15="All",C364=Dashboard!$C$15),OR(Dashboard!$C$16="All",K364=Dashboard!$C$16),OR(Dashboard!$C$17="All",J364=Dashboard!$C$17)),1,0)</f>
        <v>1</v>
      </c>
      <c r="N364" s="24">
        <f>IF(AND(L364=1,OR(Dashboard!$C$13="All",A364=Dashboard!$C$13),OR(Dashboard!$C$14="All",B364=Dashboard!$C$14),OR(Dashboard!$C$16="All",K364=Dashboard!$C$16),OR(Dashboard!$C$17="All",J364=Dashboard!$C$17)),1,0)</f>
        <v>1</v>
      </c>
      <c r="O364" s="24">
        <f>IF(AND(L364=1,OR(Dashboard!$C$13="All",A364=Dashboard!$C$13),OR(Dashboard!$C$15="All",C364=Dashboard!$C$15),OR(Dashboard!$C$16="All",K364=Dashboard!$C$16),OR(Dashboard!$C$17="All",J364=Dashboard!$C$17)),1,0)</f>
        <v>1</v>
      </c>
      <c r="P364" s="24">
        <f>IF(AND(L364=1,OR(Dashboard!$C$13="All",A364=Dashboard!$C$13),OR(Dashboard!$C$14="All",B364=Dashboard!$C$14),OR(Dashboard!$C$15="All",C364=Dashboard!$C$15),OR(Dashboard!$C$17="All",J364=Dashboard!$C$17)),1,0)</f>
        <v>1</v>
      </c>
      <c r="Q364" s="24">
        <f>IF(AND(L364=1,OR(Dashboard!$C$14="All",B364=Dashboard!$C$14),OR(Dashboard!$C$15="All",C364=Dashboard!$C$15),OR(Dashboard!$C$16="All",K364=Dashboard!$C$16),OR(Dashboard!$C$17="All",J364=Dashboard!$C$17)),1,0)</f>
        <v>1</v>
      </c>
      <c r="R364" s="24">
        <f>IF(AND(L364=1,OR(Dashboard!$C$13="All",A364=Dashboard!$C$13),OR(Dashboard!$C$14="All",B364=Dashboard!$C$14),OR(Dashboard!$C$15="All",C364=Dashboard!$C$15),OR(Dashboard!$C$16="All",K364=Dashboard!$C$16)),1,0)</f>
        <v>1</v>
      </c>
      <c r="S364" s="24">
        <f t="shared" si="3"/>
        <v>363</v>
      </c>
      <c r="V364" s="24" t="s">
        <v>283</v>
      </c>
    </row>
    <row r="365" ht="15.75" customHeight="1">
      <c r="A365" s="10" t="s">
        <v>133</v>
      </c>
      <c r="B365" s="13"/>
      <c r="C365" s="10" t="s">
        <v>565</v>
      </c>
      <c r="D365" s="13">
        <v>1.0</v>
      </c>
      <c r="E365" s="17">
        <v>255.0</v>
      </c>
      <c r="F365" s="15">
        <f t="shared" si="1"/>
        <v>255</v>
      </c>
      <c r="G365" s="6">
        <v>46307.0</v>
      </c>
      <c r="H365" s="22">
        <v>24.0</v>
      </c>
      <c r="I365" s="16">
        <f t="shared" si="2"/>
        <v>46475</v>
      </c>
      <c r="J365" s="13" t="s">
        <v>25</v>
      </c>
      <c r="K365" s="13" t="s">
        <v>31</v>
      </c>
      <c r="L365" s="24">
        <f>IF(A365="","",IF(OR(G365="",AND(G365&gt;=Dashboard!$C$18,G365&lt;=Dashboard!$C$19)),1,0))</f>
        <v>1</v>
      </c>
      <c r="M365" s="24">
        <f>IF(AND(L365=1,OR(Dashboard!$C$13="All",A365=Dashboard!$C$13),OR(Dashboard!$C$14="All",B365=Dashboard!$C$14),OR(Dashboard!$C$15="All",C365=Dashboard!$C$15),OR(Dashboard!$C$16="All",K365=Dashboard!$C$16),OR(Dashboard!$C$17="All",J365=Dashboard!$C$17)),1,0)</f>
        <v>1</v>
      </c>
      <c r="N365" s="24">
        <f>IF(AND(L365=1,OR(Dashboard!$C$13="All",A365=Dashboard!$C$13),OR(Dashboard!$C$14="All",B365=Dashboard!$C$14),OR(Dashboard!$C$16="All",K365=Dashboard!$C$16),OR(Dashboard!$C$17="All",J365=Dashboard!$C$17)),1,0)</f>
        <v>1</v>
      </c>
      <c r="O365" s="24">
        <f>IF(AND(L365=1,OR(Dashboard!$C$13="All",A365=Dashboard!$C$13),OR(Dashboard!$C$15="All",C365=Dashboard!$C$15),OR(Dashboard!$C$16="All",K365=Dashboard!$C$16),OR(Dashboard!$C$17="All",J365=Dashboard!$C$17)),1,0)</f>
        <v>1</v>
      </c>
      <c r="P365" s="24">
        <f>IF(AND(L365=1,OR(Dashboard!$C$13="All",A365=Dashboard!$C$13),OR(Dashboard!$C$14="All",B365=Dashboard!$C$14),OR(Dashboard!$C$15="All",C365=Dashboard!$C$15),OR(Dashboard!$C$17="All",J365=Dashboard!$C$17)),1,0)</f>
        <v>1</v>
      </c>
      <c r="Q365" s="24">
        <f>IF(AND(L365=1,OR(Dashboard!$C$14="All",B365=Dashboard!$C$14),OR(Dashboard!$C$15="All",C365=Dashboard!$C$15),OR(Dashboard!$C$16="All",K365=Dashboard!$C$16),OR(Dashboard!$C$17="All",J365=Dashboard!$C$17)),1,0)</f>
        <v>1</v>
      </c>
      <c r="R365" s="24">
        <f>IF(AND(L365=1,OR(Dashboard!$C$13="All",A365=Dashboard!$C$13),OR(Dashboard!$C$14="All",B365=Dashboard!$C$14),OR(Dashboard!$C$15="All",C365=Dashboard!$C$15),OR(Dashboard!$C$16="All",K365=Dashboard!$C$16)),1,0)</f>
        <v>1</v>
      </c>
      <c r="S365" s="24">
        <f t="shared" si="3"/>
        <v>364</v>
      </c>
      <c r="V365" s="24" t="s">
        <v>655</v>
      </c>
    </row>
    <row r="366" ht="15.75" customHeight="1">
      <c r="A366" s="3" t="s">
        <v>309</v>
      </c>
      <c r="B366" s="4"/>
      <c r="C366" s="3" t="s">
        <v>611</v>
      </c>
      <c r="D366" s="4">
        <v>10000.0</v>
      </c>
      <c r="E366" s="14">
        <v>45.0</v>
      </c>
      <c r="F366" s="5">
        <f t="shared" si="1"/>
        <v>450000</v>
      </c>
      <c r="G366" s="6">
        <v>46308.0</v>
      </c>
      <c r="H366" s="22">
        <v>23.0</v>
      </c>
      <c r="I366" s="7">
        <f t="shared" si="2"/>
        <v>46469</v>
      </c>
      <c r="J366" s="4" t="s">
        <v>25</v>
      </c>
      <c r="K366" s="4" t="s">
        <v>31</v>
      </c>
      <c r="L366" s="24">
        <f>IF(A366="","",IF(OR(G366="",AND(G366&gt;=Dashboard!$C$18,G366&lt;=Dashboard!$C$19)),1,0))</f>
        <v>1</v>
      </c>
      <c r="M366" s="24">
        <f>IF(AND(L366=1,OR(Dashboard!$C$13="All",A366=Dashboard!$C$13),OR(Dashboard!$C$14="All",B366=Dashboard!$C$14),OR(Dashboard!$C$15="All",C366=Dashboard!$C$15),OR(Dashboard!$C$16="All",K366=Dashboard!$C$16),OR(Dashboard!$C$17="All",J366=Dashboard!$C$17)),1,0)</f>
        <v>1</v>
      </c>
      <c r="N366" s="24">
        <f>IF(AND(L366=1,OR(Dashboard!$C$13="All",A366=Dashboard!$C$13),OR(Dashboard!$C$14="All",B366=Dashboard!$C$14),OR(Dashboard!$C$16="All",K366=Dashboard!$C$16),OR(Dashboard!$C$17="All",J366=Dashboard!$C$17)),1,0)</f>
        <v>1</v>
      </c>
      <c r="O366" s="24">
        <f>IF(AND(L366=1,OR(Dashboard!$C$13="All",A366=Dashboard!$C$13),OR(Dashboard!$C$15="All",C366=Dashboard!$C$15),OR(Dashboard!$C$16="All",K366=Dashboard!$C$16),OR(Dashboard!$C$17="All",J366=Dashboard!$C$17)),1,0)</f>
        <v>1</v>
      </c>
      <c r="P366" s="24">
        <f>IF(AND(L366=1,OR(Dashboard!$C$13="All",A366=Dashboard!$C$13),OR(Dashboard!$C$14="All",B366=Dashboard!$C$14),OR(Dashboard!$C$15="All",C366=Dashboard!$C$15),OR(Dashboard!$C$17="All",J366=Dashboard!$C$17)),1,0)</f>
        <v>1</v>
      </c>
      <c r="Q366" s="24">
        <f>IF(AND(L366=1,OR(Dashboard!$C$14="All",B366=Dashboard!$C$14),OR(Dashboard!$C$15="All",C366=Dashboard!$C$15),OR(Dashboard!$C$16="All",K366=Dashboard!$C$16),OR(Dashboard!$C$17="All",J366=Dashboard!$C$17)),1,0)</f>
        <v>1</v>
      </c>
      <c r="R366" s="24">
        <f>IF(AND(L366=1,OR(Dashboard!$C$13="All",A366=Dashboard!$C$13),OR(Dashboard!$C$14="All",B366=Dashboard!$C$14),OR(Dashboard!$C$15="All",C366=Dashboard!$C$15),OR(Dashboard!$C$16="All",K366=Dashboard!$C$16)),1,0)</f>
        <v>1</v>
      </c>
      <c r="S366" s="24">
        <f t="shared" si="3"/>
        <v>365</v>
      </c>
      <c r="V366" s="24" t="s">
        <v>660</v>
      </c>
    </row>
    <row r="367" ht="15.75" customHeight="1">
      <c r="A367" s="10" t="s">
        <v>327</v>
      </c>
      <c r="B367" s="13"/>
      <c r="C367" s="10" t="s">
        <v>450</v>
      </c>
      <c r="D367" s="13">
        <v>60.0</v>
      </c>
      <c r="E367" s="17">
        <v>36.0</v>
      </c>
      <c r="F367" s="15">
        <f t="shared" si="1"/>
        <v>2160</v>
      </c>
      <c r="G367" s="6">
        <v>46309.0</v>
      </c>
      <c r="H367" s="22">
        <v>24.0</v>
      </c>
      <c r="I367" s="16">
        <f t="shared" si="2"/>
        <v>46477</v>
      </c>
      <c r="J367" s="13" t="s">
        <v>25</v>
      </c>
      <c r="K367" s="13" t="s">
        <v>31</v>
      </c>
      <c r="L367" s="24">
        <f>IF(A367="","",IF(OR(G367="",AND(G367&gt;=Dashboard!$C$18,G367&lt;=Dashboard!$C$19)),1,0))</f>
        <v>1</v>
      </c>
      <c r="M367" s="24">
        <f>IF(AND(L367=1,OR(Dashboard!$C$13="All",A367=Dashboard!$C$13),OR(Dashboard!$C$14="All",B367=Dashboard!$C$14),OR(Dashboard!$C$15="All",C367=Dashboard!$C$15),OR(Dashboard!$C$16="All",K367=Dashboard!$C$16),OR(Dashboard!$C$17="All",J367=Dashboard!$C$17)),1,0)</f>
        <v>1</v>
      </c>
      <c r="N367" s="24">
        <f>IF(AND(L367=1,OR(Dashboard!$C$13="All",A367=Dashboard!$C$13),OR(Dashboard!$C$14="All",B367=Dashboard!$C$14),OR(Dashboard!$C$16="All",K367=Dashboard!$C$16),OR(Dashboard!$C$17="All",J367=Dashboard!$C$17)),1,0)</f>
        <v>1</v>
      </c>
      <c r="O367" s="24">
        <f>IF(AND(L367=1,OR(Dashboard!$C$13="All",A367=Dashboard!$C$13),OR(Dashboard!$C$15="All",C367=Dashboard!$C$15),OR(Dashboard!$C$16="All",K367=Dashboard!$C$16),OR(Dashboard!$C$17="All",J367=Dashboard!$C$17)),1,0)</f>
        <v>1</v>
      </c>
      <c r="P367" s="24">
        <f>IF(AND(L367=1,OR(Dashboard!$C$13="All",A367=Dashboard!$C$13),OR(Dashboard!$C$14="All",B367=Dashboard!$C$14),OR(Dashboard!$C$15="All",C367=Dashboard!$C$15),OR(Dashboard!$C$17="All",J367=Dashboard!$C$17)),1,0)</f>
        <v>1</v>
      </c>
      <c r="Q367" s="24">
        <f>IF(AND(L367=1,OR(Dashboard!$C$14="All",B367=Dashboard!$C$14),OR(Dashboard!$C$15="All",C367=Dashboard!$C$15),OR(Dashboard!$C$16="All",K367=Dashboard!$C$16),OR(Dashboard!$C$17="All",J367=Dashboard!$C$17)),1,0)</f>
        <v>1</v>
      </c>
      <c r="R367" s="24">
        <f>IF(AND(L367=1,OR(Dashboard!$C$13="All",A367=Dashboard!$C$13),OR(Dashboard!$C$14="All",B367=Dashboard!$C$14),OR(Dashboard!$C$15="All",C367=Dashboard!$C$15),OR(Dashboard!$C$16="All",K367=Dashboard!$C$16)),1,0)</f>
        <v>1</v>
      </c>
      <c r="S367" s="24">
        <f t="shared" si="3"/>
        <v>366</v>
      </c>
      <c r="V367" s="24" t="s">
        <v>411</v>
      </c>
    </row>
    <row r="368" ht="15.75" customHeight="1">
      <c r="A368" s="3" t="s">
        <v>327</v>
      </c>
      <c r="B368" s="4"/>
      <c r="C368" s="3" t="s">
        <v>196</v>
      </c>
      <c r="D368" s="4">
        <v>3.0</v>
      </c>
      <c r="E368" s="14">
        <v>96.0</v>
      </c>
      <c r="F368" s="5">
        <f t="shared" si="1"/>
        <v>288</v>
      </c>
      <c r="G368" s="6">
        <v>46310.0</v>
      </c>
      <c r="H368" s="22">
        <v>23.0</v>
      </c>
      <c r="I368" s="7">
        <f t="shared" si="2"/>
        <v>46471</v>
      </c>
      <c r="J368" s="4" t="s">
        <v>25</v>
      </c>
      <c r="K368" s="4" t="s">
        <v>31</v>
      </c>
      <c r="L368" s="24">
        <f>IF(A368="","",IF(OR(G368="",AND(G368&gt;=Dashboard!$C$18,G368&lt;=Dashboard!$C$19)),1,0))</f>
        <v>1</v>
      </c>
      <c r="M368" s="24">
        <f>IF(AND(L368=1,OR(Dashboard!$C$13="All",A368=Dashboard!$C$13),OR(Dashboard!$C$14="All",B368=Dashboard!$C$14),OR(Dashboard!$C$15="All",C368=Dashboard!$C$15),OR(Dashboard!$C$16="All",K368=Dashboard!$C$16),OR(Dashboard!$C$17="All",J368=Dashboard!$C$17)),1,0)</f>
        <v>1</v>
      </c>
      <c r="N368" s="24">
        <f>IF(AND(L368=1,OR(Dashboard!$C$13="All",A368=Dashboard!$C$13),OR(Dashboard!$C$14="All",B368=Dashboard!$C$14),OR(Dashboard!$C$16="All",K368=Dashboard!$C$16),OR(Dashboard!$C$17="All",J368=Dashboard!$C$17)),1,0)</f>
        <v>1</v>
      </c>
      <c r="O368" s="24">
        <f>IF(AND(L368=1,OR(Dashboard!$C$13="All",A368=Dashboard!$C$13),OR(Dashboard!$C$15="All",C368=Dashboard!$C$15),OR(Dashboard!$C$16="All",K368=Dashboard!$C$16),OR(Dashboard!$C$17="All",J368=Dashboard!$C$17)),1,0)</f>
        <v>1</v>
      </c>
      <c r="P368" s="24">
        <f>IF(AND(L368=1,OR(Dashboard!$C$13="All",A368=Dashboard!$C$13),OR(Dashboard!$C$14="All",B368=Dashboard!$C$14),OR(Dashboard!$C$15="All",C368=Dashboard!$C$15),OR(Dashboard!$C$17="All",J368=Dashboard!$C$17)),1,0)</f>
        <v>1</v>
      </c>
      <c r="Q368" s="24">
        <f>IF(AND(L368=1,OR(Dashboard!$C$14="All",B368=Dashboard!$C$14),OR(Dashboard!$C$15="All",C368=Dashboard!$C$15),OR(Dashboard!$C$16="All",K368=Dashboard!$C$16),OR(Dashboard!$C$17="All",J368=Dashboard!$C$17)),1,0)</f>
        <v>1</v>
      </c>
      <c r="R368" s="24">
        <f>IF(AND(L368=1,OR(Dashboard!$C$13="All",A368=Dashboard!$C$13),OR(Dashboard!$C$14="All",B368=Dashboard!$C$14),OR(Dashboard!$C$15="All",C368=Dashboard!$C$15),OR(Dashboard!$C$16="All",K368=Dashboard!$C$16)),1,0)</f>
        <v>1</v>
      </c>
      <c r="S368" s="24">
        <f t="shared" si="3"/>
        <v>367</v>
      </c>
      <c r="V368" s="24" t="s">
        <v>338</v>
      </c>
    </row>
    <row r="369" ht="15.75" customHeight="1">
      <c r="A369" s="10" t="s">
        <v>372</v>
      </c>
      <c r="B369" s="13"/>
      <c r="C369" s="10" t="s">
        <v>359</v>
      </c>
      <c r="D369" s="13">
        <v>5000.0</v>
      </c>
      <c r="E369" s="17">
        <v>8.0</v>
      </c>
      <c r="F369" s="15">
        <f t="shared" si="1"/>
        <v>40000</v>
      </c>
      <c r="G369" s="6">
        <v>46311.0</v>
      </c>
      <c r="H369" s="22">
        <v>24.0</v>
      </c>
      <c r="I369" s="16">
        <f t="shared" si="2"/>
        <v>46479</v>
      </c>
      <c r="J369" s="13" t="s">
        <v>25</v>
      </c>
      <c r="K369" s="13" t="s">
        <v>31</v>
      </c>
      <c r="L369" s="24">
        <f>IF(A369="","",IF(OR(G369="",AND(G369&gt;=Dashboard!$C$18,G369&lt;=Dashboard!$C$19)),1,0))</f>
        <v>1</v>
      </c>
      <c r="M369" s="24">
        <f>IF(AND(L369=1,OR(Dashboard!$C$13="All",A369=Dashboard!$C$13),OR(Dashboard!$C$14="All",B369=Dashboard!$C$14),OR(Dashboard!$C$15="All",C369=Dashboard!$C$15),OR(Dashboard!$C$16="All",K369=Dashboard!$C$16),OR(Dashboard!$C$17="All",J369=Dashboard!$C$17)),1,0)</f>
        <v>1</v>
      </c>
      <c r="N369" s="24">
        <f>IF(AND(L369=1,OR(Dashboard!$C$13="All",A369=Dashboard!$C$13),OR(Dashboard!$C$14="All",B369=Dashboard!$C$14),OR(Dashboard!$C$16="All",K369=Dashboard!$C$16),OR(Dashboard!$C$17="All",J369=Dashboard!$C$17)),1,0)</f>
        <v>1</v>
      </c>
      <c r="O369" s="24">
        <f>IF(AND(L369=1,OR(Dashboard!$C$13="All",A369=Dashboard!$C$13),OR(Dashboard!$C$15="All",C369=Dashboard!$C$15),OR(Dashboard!$C$16="All",K369=Dashboard!$C$16),OR(Dashboard!$C$17="All",J369=Dashboard!$C$17)),1,0)</f>
        <v>1</v>
      </c>
      <c r="P369" s="24">
        <f>IF(AND(L369=1,OR(Dashboard!$C$13="All",A369=Dashboard!$C$13),OR(Dashboard!$C$14="All",B369=Dashboard!$C$14),OR(Dashboard!$C$15="All",C369=Dashboard!$C$15),OR(Dashboard!$C$17="All",J369=Dashboard!$C$17)),1,0)</f>
        <v>1</v>
      </c>
      <c r="Q369" s="24">
        <f>IF(AND(L369=1,OR(Dashboard!$C$14="All",B369=Dashboard!$C$14),OR(Dashboard!$C$15="All",C369=Dashboard!$C$15),OR(Dashboard!$C$16="All",K369=Dashboard!$C$16),OR(Dashboard!$C$17="All",J369=Dashboard!$C$17)),1,0)</f>
        <v>1</v>
      </c>
      <c r="R369" s="24">
        <f>IF(AND(L369=1,OR(Dashboard!$C$13="All",A369=Dashboard!$C$13),OR(Dashboard!$C$14="All",B369=Dashboard!$C$14),OR(Dashboard!$C$15="All",C369=Dashboard!$C$15),OR(Dashboard!$C$16="All",K369=Dashboard!$C$16)),1,0)</f>
        <v>1</v>
      </c>
      <c r="S369" s="24">
        <f t="shared" si="3"/>
        <v>368</v>
      </c>
      <c r="V369" s="24" t="s">
        <v>398</v>
      </c>
    </row>
    <row r="370" ht="15.75" customHeight="1">
      <c r="A370" s="3" t="s">
        <v>372</v>
      </c>
      <c r="B370" s="4"/>
      <c r="C370" s="3" t="s">
        <v>608</v>
      </c>
      <c r="D370" s="4">
        <v>3500.0</v>
      </c>
      <c r="E370" s="14">
        <v>5.0</v>
      </c>
      <c r="F370" s="5">
        <f t="shared" si="1"/>
        <v>17500</v>
      </c>
      <c r="G370" s="6">
        <v>46312.0</v>
      </c>
      <c r="H370" s="22">
        <v>24.0</v>
      </c>
      <c r="I370" s="7">
        <f t="shared" si="2"/>
        <v>46480</v>
      </c>
      <c r="J370" s="4" t="s">
        <v>25</v>
      </c>
      <c r="K370" s="4" t="s">
        <v>31</v>
      </c>
      <c r="L370" s="24">
        <f>IF(A370="","",IF(OR(G370="",AND(G370&gt;=Dashboard!$C$18,G370&lt;=Dashboard!$C$19)),1,0))</f>
        <v>1</v>
      </c>
      <c r="M370" s="24">
        <f>IF(AND(L370=1,OR(Dashboard!$C$13="All",A370=Dashboard!$C$13),OR(Dashboard!$C$14="All",B370=Dashboard!$C$14),OR(Dashboard!$C$15="All",C370=Dashboard!$C$15),OR(Dashboard!$C$16="All",K370=Dashboard!$C$16),OR(Dashboard!$C$17="All",J370=Dashboard!$C$17)),1,0)</f>
        <v>1</v>
      </c>
      <c r="N370" s="24">
        <f>IF(AND(L370=1,OR(Dashboard!$C$13="All",A370=Dashboard!$C$13),OR(Dashboard!$C$14="All",B370=Dashboard!$C$14),OR(Dashboard!$C$16="All",K370=Dashboard!$C$16),OR(Dashboard!$C$17="All",J370=Dashboard!$C$17)),1,0)</f>
        <v>1</v>
      </c>
      <c r="O370" s="24">
        <f>IF(AND(L370=1,OR(Dashboard!$C$13="All",A370=Dashboard!$C$13),OR(Dashboard!$C$15="All",C370=Dashboard!$C$15),OR(Dashboard!$C$16="All",K370=Dashboard!$C$16),OR(Dashboard!$C$17="All",J370=Dashboard!$C$17)),1,0)</f>
        <v>1</v>
      </c>
      <c r="P370" s="24">
        <f>IF(AND(L370=1,OR(Dashboard!$C$13="All",A370=Dashboard!$C$13),OR(Dashboard!$C$14="All",B370=Dashboard!$C$14),OR(Dashboard!$C$15="All",C370=Dashboard!$C$15),OR(Dashboard!$C$17="All",J370=Dashboard!$C$17)),1,0)</f>
        <v>1</v>
      </c>
      <c r="Q370" s="24">
        <f>IF(AND(L370=1,OR(Dashboard!$C$14="All",B370=Dashboard!$C$14),OR(Dashboard!$C$15="All",C370=Dashboard!$C$15),OR(Dashboard!$C$16="All",K370=Dashboard!$C$16),OR(Dashboard!$C$17="All",J370=Dashboard!$C$17)),1,0)</f>
        <v>1</v>
      </c>
      <c r="R370" s="24">
        <f>IF(AND(L370=1,OR(Dashboard!$C$13="All",A370=Dashboard!$C$13),OR(Dashboard!$C$14="All",B370=Dashboard!$C$14),OR(Dashboard!$C$15="All",C370=Dashboard!$C$15),OR(Dashboard!$C$16="All",K370=Dashboard!$C$16)),1,0)</f>
        <v>1</v>
      </c>
      <c r="S370" s="24">
        <f t="shared" si="3"/>
        <v>369</v>
      </c>
      <c r="V370" s="24" t="s">
        <v>572</v>
      </c>
    </row>
    <row r="371" ht="15.75" customHeight="1">
      <c r="A371" s="10" t="s">
        <v>374</v>
      </c>
      <c r="B371" s="13"/>
      <c r="C371" s="10" t="s">
        <v>245</v>
      </c>
      <c r="D371" s="13">
        <v>60000.0</v>
      </c>
      <c r="E371" s="17">
        <v>4.0</v>
      </c>
      <c r="F371" s="15">
        <f t="shared" si="1"/>
        <v>240000</v>
      </c>
      <c r="G371" s="6">
        <v>46313.0</v>
      </c>
      <c r="H371" s="22">
        <v>24.0</v>
      </c>
      <c r="I371" s="16">
        <f t="shared" si="2"/>
        <v>46481</v>
      </c>
      <c r="J371" s="13" t="s">
        <v>25</v>
      </c>
      <c r="K371" s="13" t="s">
        <v>31</v>
      </c>
      <c r="L371" s="24">
        <f>IF(A371="","",IF(OR(G371="",AND(G371&gt;=Dashboard!$C$18,G371&lt;=Dashboard!$C$19)),1,0))</f>
        <v>1</v>
      </c>
      <c r="M371" s="24">
        <f>IF(AND(L371=1,OR(Dashboard!$C$13="All",A371=Dashboard!$C$13),OR(Dashboard!$C$14="All",B371=Dashboard!$C$14),OR(Dashboard!$C$15="All",C371=Dashboard!$C$15),OR(Dashboard!$C$16="All",K371=Dashboard!$C$16),OR(Dashboard!$C$17="All",J371=Dashboard!$C$17)),1,0)</f>
        <v>1</v>
      </c>
      <c r="N371" s="24">
        <f>IF(AND(L371=1,OR(Dashboard!$C$13="All",A371=Dashboard!$C$13),OR(Dashboard!$C$14="All",B371=Dashboard!$C$14),OR(Dashboard!$C$16="All",K371=Dashboard!$C$16),OR(Dashboard!$C$17="All",J371=Dashboard!$C$17)),1,0)</f>
        <v>1</v>
      </c>
      <c r="O371" s="24">
        <f>IF(AND(L371=1,OR(Dashboard!$C$13="All",A371=Dashboard!$C$13),OR(Dashboard!$C$15="All",C371=Dashboard!$C$15),OR(Dashboard!$C$16="All",K371=Dashboard!$C$16),OR(Dashboard!$C$17="All",J371=Dashboard!$C$17)),1,0)</f>
        <v>1</v>
      </c>
      <c r="P371" s="24">
        <f>IF(AND(L371=1,OR(Dashboard!$C$13="All",A371=Dashboard!$C$13),OR(Dashboard!$C$14="All",B371=Dashboard!$C$14),OR(Dashboard!$C$15="All",C371=Dashboard!$C$15),OR(Dashboard!$C$17="All",J371=Dashboard!$C$17)),1,0)</f>
        <v>1</v>
      </c>
      <c r="Q371" s="24">
        <f>IF(AND(L371=1,OR(Dashboard!$C$14="All",B371=Dashboard!$C$14),OR(Dashboard!$C$15="All",C371=Dashboard!$C$15),OR(Dashboard!$C$16="All",K371=Dashboard!$C$16),OR(Dashboard!$C$17="All",J371=Dashboard!$C$17)),1,0)</f>
        <v>1</v>
      </c>
      <c r="R371" s="24">
        <f>IF(AND(L371=1,OR(Dashboard!$C$13="All",A371=Dashboard!$C$13),OR(Dashboard!$C$14="All",B371=Dashboard!$C$14),OR(Dashboard!$C$15="All",C371=Dashboard!$C$15),OR(Dashboard!$C$16="All",K371=Dashboard!$C$16)),1,0)</f>
        <v>1</v>
      </c>
      <c r="S371" s="24">
        <f t="shared" si="3"/>
        <v>370</v>
      </c>
      <c r="V371" s="24" t="s">
        <v>579</v>
      </c>
    </row>
    <row r="372" ht="15.75" customHeight="1">
      <c r="A372" s="3" t="s">
        <v>374</v>
      </c>
      <c r="B372" s="4"/>
      <c r="C372" s="3" t="s">
        <v>637</v>
      </c>
      <c r="D372" s="4">
        <v>19.0</v>
      </c>
      <c r="E372" s="14">
        <v>2.0</v>
      </c>
      <c r="F372" s="5">
        <f t="shared" si="1"/>
        <v>38</v>
      </c>
      <c r="G372" s="6">
        <v>46314.0</v>
      </c>
      <c r="H372" s="22">
        <v>24.0</v>
      </c>
      <c r="I372" s="7">
        <f t="shared" si="2"/>
        <v>46482</v>
      </c>
      <c r="J372" s="4" t="s">
        <v>25</v>
      </c>
      <c r="K372" s="4" t="s">
        <v>31</v>
      </c>
      <c r="L372" s="24">
        <f>IF(A372="","",IF(OR(G372="",AND(G372&gt;=Dashboard!$C$18,G372&lt;=Dashboard!$C$19)),1,0))</f>
        <v>1</v>
      </c>
      <c r="M372" s="24">
        <f>IF(AND(L372=1,OR(Dashboard!$C$13="All",A372=Dashboard!$C$13),OR(Dashboard!$C$14="All",B372=Dashboard!$C$14),OR(Dashboard!$C$15="All",C372=Dashboard!$C$15),OR(Dashboard!$C$16="All",K372=Dashboard!$C$16),OR(Dashboard!$C$17="All",J372=Dashboard!$C$17)),1,0)</f>
        <v>1</v>
      </c>
      <c r="N372" s="24">
        <f>IF(AND(L372=1,OR(Dashboard!$C$13="All",A372=Dashboard!$C$13),OR(Dashboard!$C$14="All",B372=Dashboard!$C$14),OR(Dashboard!$C$16="All",K372=Dashboard!$C$16),OR(Dashboard!$C$17="All",J372=Dashboard!$C$17)),1,0)</f>
        <v>1</v>
      </c>
      <c r="O372" s="24">
        <f>IF(AND(L372=1,OR(Dashboard!$C$13="All",A372=Dashboard!$C$13),OR(Dashboard!$C$15="All",C372=Dashboard!$C$15),OR(Dashboard!$C$16="All",K372=Dashboard!$C$16),OR(Dashboard!$C$17="All",J372=Dashboard!$C$17)),1,0)</f>
        <v>1</v>
      </c>
      <c r="P372" s="24">
        <f>IF(AND(L372=1,OR(Dashboard!$C$13="All",A372=Dashboard!$C$13),OR(Dashboard!$C$14="All",B372=Dashboard!$C$14),OR(Dashboard!$C$15="All",C372=Dashboard!$C$15),OR(Dashboard!$C$17="All",J372=Dashboard!$C$17)),1,0)</f>
        <v>1</v>
      </c>
      <c r="Q372" s="24">
        <f>IF(AND(L372=1,OR(Dashboard!$C$14="All",B372=Dashboard!$C$14),OR(Dashboard!$C$15="All",C372=Dashboard!$C$15),OR(Dashboard!$C$16="All",K372=Dashboard!$C$16),OR(Dashboard!$C$17="All",J372=Dashboard!$C$17)),1,0)</f>
        <v>1</v>
      </c>
      <c r="R372" s="24">
        <f>IF(AND(L372=1,OR(Dashboard!$C$13="All",A372=Dashboard!$C$13),OR(Dashboard!$C$14="All",B372=Dashboard!$C$14),OR(Dashboard!$C$15="All",C372=Dashboard!$C$15),OR(Dashboard!$C$16="All",K372=Dashboard!$C$16)),1,0)</f>
        <v>1</v>
      </c>
      <c r="S372" s="24">
        <f t="shared" si="3"/>
        <v>371</v>
      </c>
      <c r="V372" s="24" t="s">
        <v>661</v>
      </c>
    </row>
    <row r="373" ht="15.75" customHeight="1">
      <c r="A373" s="10" t="s">
        <v>376</v>
      </c>
      <c r="B373" s="13"/>
      <c r="C373" s="10" t="s">
        <v>172</v>
      </c>
      <c r="D373" s="13">
        <v>2.0</v>
      </c>
      <c r="E373" s="17">
        <v>36.0</v>
      </c>
      <c r="F373" s="15">
        <f t="shared" si="1"/>
        <v>72</v>
      </c>
      <c r="G373" s="6">
        <v>46315.0</v>
      </c>
      <c r="H373" s="22">
        <v>23.0</v>
      </c>
      <c r="I373" s="16">
        <f t="shared" si="2"/>
        <v>46476</v>
      </c>
      <c r="J373" s="13" t="s">
        <v>25</v>
      </c>
      <c r="K373" s="13" t="s">
        <v>31</v>
      </c>
      <c r="L373" s="24">
        <f>IF(A373="","",IF(OR(G373="",AND(G373&gt;=Dashboard!$C$18,G373&lt;=Dashboard!$C$19)),1,0))</f>
        <v>1</v>
      </c>
      <c r="M373" s="24">
        <f>IF(AND(L373=1,OR(Dashboard!$C$13="All",A373=Dashboard!$C$13),OR(Dashboard!$C$14="All",B373=Dashboard!$C$14),OR(Dashboard!$C$15="All",C373=Dashboard!$C$15),OR(Dashboard!$C$16="All",K373=Dashboard!$C$16),OR(Dashboard!$C$17="All",J373=Dashboard!$C$17)),1,0)</f>
        <v>1</v>
      </c>
      <c r="N373" s="24">
        <f>IF(AND(L373=1,OR(Dashboard!$C$13="All",A373=Dashboard!$C$13),OR(Dashboard!$C$14="All",B373=Dashboard!$C$14),OR(Dashboard!$C$16="All",K373=Dashboard!$C$16),OR(Dashboard!$C$17="All",J373=Dashboard!$C$17)),1,0)</f>
        <v>1</v>
      </c>
      <c r="O373" s="24">
        <f>IF(AND(L373=1,OR(Dashboard!$C$13="All",A373=Dashboard!$C$13),OR(Dashboard!$C$15="All",C373=Dashboard!$C$15),OR(Dashboard!$C$16="All",K373=Dashboard!$C$16),OR(Dashboard!$C$17="All",J373=Dashboard!$C$17)),1,0)</f>
        <v>1</v>
      </c>
      <c r="P373" s="24">
        <f>IF(AND(L373=1,OR(Dashboard!$C$13="All",A373=Dashboard!$C$13),OR(Dashboard!$C$14="All",B373=Dashboard!$C$14),OR(Dashboard!$C$15="All",C373=Dashboard!$C$15),OR(Dashboard!$C$17="All",J373=Dashboard!$C$17)),1,0)</f>
        <v>1</v>
      </c>
      <c r="Q373" s="24">
        <f>IF(AND(L373=1,OR(Dashboard!$C$14="All",B373=Dashboard!$C$14),OR(Dashboard!$C$15="All",C373=Dashboard!$C$15),OR(Dashboard!$C$16="All",K373=Dashboard!$C$16),OR(Dashboard!$C$17="All",J373=Dashboard!$C$17)),1,0)</f>
        <v>1</v>
      </c>
      <c r="R373" s="24">
        <f>IF(AND(L373=1,OR(Dashboard!$C$13="All",A373=Dashboard!$C$13),OR(Dashboard!$C$14="All",B373=Dashboard!$C$14),OR(Dashboard!$C$15="All",C373=Dashboard!$C$15),OR(Dashboard!$C$16="All",K373=Dashboard!$C$16)),1,0)</f>
        <v>1</v>
      </c>
      <c r="S373" s="24">
        <f t="shared" si="3"/>
        <v>372</v>
      </c>
      <c r="V373" s="24" t="s">
        <v>182</v>
      </c>
    </row>
    <row r="374" ht="15.75" customHeight="1">
      <c r="A374" s="3" t="s">
        <v>376</v>
      </c>
      <c r="B374" s="4"/>
      <c r="C374" s="23" t="s">
        <v>644</v>
      </c>
      <c r="D374" s="4">
        <v>120.0</v>
      </c>
      <c r="E374" s="5">
        <v>2.0</v>
      </c>
      <c r="F374" s="5">
        <f t="shared" si="1"/>
        <v>240</v>
      </c>
      <c r="G374" s="6">
        <v>46316.0</v>
      </c>
      <c r="H374" s="22">
        <v>21.0</v>
      </c>
      <c r="I374" s="7">
        <f t="shared" si="2"/>
        <v>46463</v>
      </c>
      <c r="J374" s="4" t="s">
        <v>25</v>
      </c>
      <c r="K374" s="4" t="s">
        <v>31</v>
      </c>
      <c r="L374" s="24">
        <f>IF(A374="","",IF(OR(G374="",AND(G374&gt;=Dashboard!$C$18,G374&lt;=Dashboard!$C$19)),1,0))</f>
        <v>1</v>
      </c>
      <c r="M374" s="24">
        <f>IF(AND(L374=1,OR(Dashboard!$C$13="All",A374=Dashboard!$C$13),OR(Dashboard!$C$14="All",B374=Dashboard!$C$14),OR(Dashboard!$C$15="All",C374=Dashboard!$C$15),OR(Dashboard!$C$16="All",K374=Dashboard!$C$16),OR(Dashboard!$C$17="All",J374=Dashboard!$C$17)),1,0)</f>
        <v>1</v>
      </c>
      <c r="N374" s="24">
        <f>IF(AND(L374=1,OR(Dashboard!$C$13="All",A374=Dashboard!$C$13),OR(Dashboard!$C$14="All",B374=Dashboard!$C$14),OR(Dashboard!$C$16="All",K374=Dashboard!$C$16),OR(Dashboard!$C$17="All",J374=Dashboard!$C$17)),1,0)</f>
        <v>1</v>
      </c>
      <c r="O374" s="24">
        <f>IF(AND(L374=1,OR(Dashboard!$C$13="All",A374=Dashboard!$C$13),OR(Dashboard!$C$15="All",C374=Dashboard!$C$15),OR(Dashboard!$C$16="All",K374=Dashboard!$C$16),OR(Dashboard!$C$17="All",J374=Dashboard!$C$17)),1,0)</f>
        <v>1</v>
      </c>
      <c r="P374" s="24">
        <f>IF(AND(L374=1,OR(Dashboard!$C$13="All",A374=Dashboard!$C$13),OR(Dashboard!$C$14="All",B374=Dashboard!$C$14),OR(Dashboard!$C$15="All",C374=Dashboard!$C$15),OR(Dashboard!$C$17="All",J374=Dashboard!$C$17)),1,0)</f>
        <v>1</v>
      </c>
      <c r="Q374" s="24">
        <f>IF(AND(L374=1,OR(Dashboard!$C$14="All",B374=Dashboard!$C$14),OR(Dashboard!$C$15="All",C374=Dashboard!$C$15),OR(Dashboard!$C$16="All",K374=Dashboard!$C$16),OR(Dashboard!$C$17="All",J374=Dashboard!$C$17)),1,0)</f>
        <v>1</v>
      </c>
      <c r="R374" s="24">
        <f>IF(AND(L374=1,OR(Dashboard!$C$13="All",A374=Dashboard!$C$13),OR(Dashboard!$C$14="All",B374=Dashboard!$C$14),OR(Dashboard!$C$15="All",C374=Dashboard!$C$15),OR(Dashboard!$C$16="All",K374=Dashboard!$C$16)),1,0)</f>
        <v>1</v>
      </c>
      <c r="S374" s="24">
        <f t="shared" si="3"/>
        <v>373</v>
      </c>
      <c r="V374" s="24" t="s">
        <v>563</v>
      </c>
    </row>
    <row r="375" ht="15.75" customHeight="1">
      <c r="A375" s="10" t="s">
        <v>177</v>
      </c>
      <c r="B375" s="13"/>
      <c r="C375" s="10" t="s">
        <v>445</v>
      </c>
      <c r="D375" s="13">
        <v>1500.0</v>
      </c>
      <c r="E375" s="14">
        <v>5.0</v>
      </c>
      <c r="F375" s="15">
        <f t="shared" si="1"/>
        <v>7500</v>
      </c>
      <c r="G375" s="6">
        <v>46317.0</v>
      </c>
      <c r="H375" s="22">
        <v>20.0</v>
      </c>
      <c r="I375" s="16">
        <f t="shared" si="2"/>
        <v>46457</v>
      </c>
      <c r="J375" s="13" t="s">
        <v>25</v>
      </c>
      <c r="K375" s="13" t="s">
        <v>31</v>
      </c>
      <c r="L375" s="24">
        <f>IF(A375="","",IF(OR(G375="",AND(G375&gt;=Dashboard!$C$18,G375&lt;=Dashboard!$C$19)),1,0))</f>
        <v>1</v>
      </c>
      <c r="M375" s="24">
        <f>IF(AND(L375=1,OR(Dashboard!$C$13="All",A375=Dashboard!$C$13),OR(Dashboard!$C$14="All",B375=Dashboard!$C$14),OR(Dashboard!$C$15="All",C375=Dashboard!$C$15),OR(Dashboard!$C$16="All",K375=Dashboard!$C$16),OR(Dashboard!$C$17="All",J375=Dashboard!$C$17)),1,0)</f>
        <v>1</v>
      </c>
      <c r="N375" s="24">
        <f>IF(AND(L375=1,OR(Dashboard!$C$13="All",A375=Dashboard!$C$13),OR(Dashboard!$C$14="All",B375=Dashboard!$C$14),OR(Dashboard!$C$16="All",K375=Dashboard!$C$16),OR(Dashboard!$C$17="All",J375=Dashboard!$C$17)),1,0)</f>
        <v>1</v>
      </c>
      <c r="O375" s="24">
        <f>IF(AND(L375=1,OR(Dashboard!$C$13="All",A375=Dashboard!$C$13),OR(Dashboard!$C$15="All",C375=Dashboard!$C$15),OR(Dashboard!$C$16="All",K375=Dashboard!$C$16),OR(Dashboard!$C$17="All",J375=Dashboard!$C$17)),1,0)</f>
        <v>1</v>
      </c>
      <c r="P375" s="24">
        <f>IF(AND(L375=1,OR(Dashboard!$C$13="All",A375=Dashboard!$C$13),OR(Dashboard!$C$14="All",B375=Dashboard!$C$14),OR(Dashboard!$C$15="All",C375=Dashboard!$C$15),OR(Dashboard!$C$17="All",J375=Dashboard!$C$17)),1,0)</f>
        <v>1</v>
      </c>
      <c r="Q375" s="24">
        <f>IF(AND(L375=1,OR(Dashboard!$C$14="All",B375=Dashboard!$C$14),OR(Dashboard!$C$15="All",C375=Dashboard!$C$15),OR(Dashboard!$C$16="All",K375=Dashboard!$C$16),OR(Dashboard!$C$17="All",J375=Dashboard!$C$17)),1,0)</f>
        <v>1</v>
      </c>
      <c r="R375" s="24">
        <f>IF(AND(L375=1,OR(Dashboard!$C$13="All",A375=Dashboard!$C$13),OR(Dashboard!$C$14="All",B375=Dashboard!$C$14),OR(Dashboard!$C$15="All",C375=Dashboard!$C$15),OR(Dashboard!$C$16="All",K375=Dashboard!$C$16)),1,0)</f>
        <v>1</v>
      </c>
      <c r="S375" s="24">
        <f t="shared" si="3"/>
        <v>374</v>
      </c>
      <c r="V375" s="24" t="s">
        <v>249</v>
      </c>
    </row>
    <row r="376" ht="15.75" customHeight="1">
      <c r="A376" s="3" t="s">
        <v>378</v>
      </c>
      <c r="B376" s="4"/>
      <c r="C376" s="3" t="s">
        <v>438</v>
      </c>
      <c r="D376" s="4">
        <v>5.0</v>
      </c>
      <c r="E376" s="17">
        <v>6.0</v>
      </c>
      <c r="F376" s="5">
        <f t="shared" si="1"/>
        <v>30</v>
      </c>
      <c r="G376" s="6">
        <v>46318.0</v>
      </c>
      <c r="H376" s="22">
        <v>23.0</v>
      </c>
      <c r="I376" s="7">
        <f t="shared" si="2"/>
        <v>46479</v>
      </c>
      <c r="J376" s="4" t="s">
        <v>25</v>
      </c>
      <c r="K376" s="4" t="s">
        <v>31</v>
      </c>
      <c r="L376" s="24">
        <f>IF(A376="","",IF(OR(G376="",AND(G376&gt;=Dashboard!$C$18,G376&lt;=Dashboard!$C$19)),1,0))</f>
        <v>1</v>
      </c>
      <c r="M376" s="24">
        <f>IF(AND(L376=1,OR(Dashboard!$C$13="All",A376=Dashboard!$C$13),OR(Dashboard!$C$14="All",B376=Dashboard!$C$14),OR(Dashboard!$C$15="All",C376=Dashboard!$C$15),OR(Dashboard!$C$16="All",K376=Dashboard!$C$16),OR(Dashboard!$C$17="All",J376=Dashboard!$C$17)),1,0)</f>
        <v>1</v>
      </c>
      <c r="N376" s="24">
        <f>IF(AND(L376=1,OR(Dashboard!$C$13="All",A376=Dashboard!$C$13),OR(Dashboard!$C$14="All",B376=Dashboard!$C$14),OR(Dashboard!$C$16="All",K376=Dashboard!$C$16),OR(Dashboard!$C$17="All",J376=Dashboard!$C$17)),1,0)</f>
        <v>1</v>
      </c>
      <c r="O376" s="24">
        <f>IF(AND(L376=1,OR(Dashboard!$C$13="All",A376=Dashboard!$C$13),OR(Dashboard!$C$15="All",C376=Dashboard!$C$15),OR(Dashboard!$C$16="All",K376=Dashboard!$C$16),OR(Dashboard!$C$17="All",J376=Dashboard!$C$17)),1,0)</f>
        <v>1</v>
      </c>
      <c r="P376" s="24">
        <f>IF(AND(L376=1,OR(Dashboard!$C$13="All",A376=Dashboard!$C$13),OR(Dashboard!$C$14="All",B376=Dashboard!$C$14),OR(Dashboard!$C$15="All",C376=Dashboard!$C$15),OR(Dashboard!$C$17="All",J376=Dashboard!$C$17)),1,0)</f>
        <v>1</v>
      </c>
      <c r="Q376" s="24">
        <f>IF(AND(L376=1,OR(Dashboard!$C$14="All",B376=Dashboard!$C$14),OR(Dashboard!$C$15="All",C376=Dashboard!$C$15),OR(Dashboard!$C$16="All",K376=Dashboard!$C$16),OR(Dashboard!$C$17="All",J376=Dashboard!$C$17)),1,0)</f>
        <v>1</v>
      </c>
      <c r="R376" s="24">
        <f>IF(AND(L376=1,OR(Dashboard!$C$13="All",A376=Dashboard!$C$13),OR(Dashboard!$C$14="All",B376=Dashboard!$C$14),OR(Dashboard!$C$15="All",C376=Dashboard!$C$15),OR(Dashboard!$C$16="All",K376=Dashboard!$C$16)),1,0)</f>
        <v>1</v>
      </c>
      <c r="S376" s="24">
        <f t="shared" si="3"/>
        <v>375</v>
      </c>
      <c r="V376" s="24" t="s">
        <v>541</v>
      </c>
    </row>
    <row r="377" ht="15.75" customHeight="1">
      <c r="A377" s="10" t="s">
        <v>380</v>
      </c>
      <c r="B377" s="13"/>
      <c r="C377" s="10" t="s">
        <v>181</v>
      </c>
      <c r="D377" s="13">
        <v>2000.0</v>
      </c>
      <c r="E377" s="14">
        <v>7.0</v>
      </c>
      <c r="F377" s="15">
        <f t="shared" si="1"/>
        <v>14000</v>
      </c>
      <c r="G377" s="6">
        <v>46319.0</v>
      </c>
      <c r="H377" s="22">
        <v>23.0</v>
      </c>
      <c r="I377" s="16">
        <f t="shared" si="2"/>
        <v>46480</v>
      </c>
      <c r="J377" s="13" t="s">
        <v>25</v>
      </c>
      <c r="K377" s="13" t="s">
        <v>31</v>
      </c>
      <c r="L377" s="24">
        <f>IF(A377="","",IF(OR(G377="",AND(G377&gt;=Dashboard!$C$18,G377&lt;=Dashboard!$C$19)),1,0))</f>
        <v>1</v>
      </c>
      <c r="M377" s="24">
        <f>IF(AND(L377=1,OR(Dashboard!$C$13="All",A377=Dashboard!$C$13),OR(Dashboard!$C$14="All",B377=Dashboard!$C$14),OR(Dashboard!$C$15="All",C377=Dashboard!$C$15),OR(Dashboard!$C$16="All",K377=Dashboard!$C$16),OR(Dashboard!$C$17="All",J377=Dashboard!$C$17)),1,0)</f>
        <v>1</v>
      </c>
      <c r="N377" s="24">
        <f>IF(AND(L377=1,OR(Dashboard!$C$13="All",A377=Dashboard!$C$13),OR(Dashboard!$C$14="All",B377=Dashboard!$C$14),OR(Dashboard!$C$16="All",K377=Dashboard!$C$16),OR(Dashboard!$C$17="All",J377=Dashboard!$C$17)),1,0)</f>
        <v>1</v>
      </c>
      <c r="O377" s="24">
        <f>IF(AND(L377=1,OR(Dashboard!$C$13="All",A377=Dashboard!$C$13),OR(Dashboard!$C$15="All",C377=Dashboard!$C$15),OR(Dashboard!$C$16="All",K377=Dashboard!$C$16),OR(Dashboard!$C$17="All",J377=Dashboard!$C$17)),1,0)</f>
        <v>1</v>
      </c>
      <c r="P377" s="24">
        <f>IF(AND(L377=1,OR(Dashboard!$C$13="All",A377=Dashboard!$C$13),OR(Dashboard!$C$14="All",B377=Dashboard!$C$14),OR(Dashboard!$C$15="All",C377=Dashboard!$C$15),OR(Dashboard!$C$17="All",J377=Dashboard!$C$17)),1,0)</f>
        <v>1</v>
      </c>
      <c r="Q377" s="24">
        <f>IF(AND(L377=1,OR(Dashboard!$C$14="All",B377=Dashboard!$C$14),OR(Dashboard!$C$15="All",C377=Dashboard!$C$15),OR(Dashboard!$C$16="All",K377=Dashboard!$C$16),OR(Dashboard!$C$17="All",J377=Dashboard!$C$17)),1,0)</f>
        <v>1</v>
      </c>
      <c r="R377" s="24">
        <f>IF(AND(L377=1,OR(Dashboard!$C$13="All",A377=Dashboard!$C$13),OR(Dashboard!$C$14="All",B377=Dashboard!$C$14),OR(Dashboard!$C$15="All",C377=Dashboard!$C$15),OR(Dashboard!$C$16="All",K377=Dashboard!$C$16)),1,0)</f>
        <v>1</v>
      </c>
      <c r="S377" s="24">
        <f t="shared" si="3"/>
        <v>376</v>
      </c>
      <c r="V377" s="24" t="s">
        <v>662</v>
      </c>
    </row>
    <row r="378" ht="15.75" customHeight="1">
      <c r="A378" s="3" t="s">
        <v>382</v>
      </c>
      <c r="B378" s="4"/>
      <c r="C378" s="3" t="s">
        <v>292</v>
      </c>
      <c r="D378" s="4">
        <v>1.0</v>
      </c>
      <c r="E378" s="17">
        <v>8.0</v>
      </c>
      <c r="F378" s="5">
        <f t="shared" si="1"/>
        <v>8</v>
      </c>
      <c r="G378" s="6">
        <v>46320.0</v>
      </c>
      <c r="H378" s="22">
        <v>22.0</v>
      </c>
      <c r="I378" s="7">
        <f t="shared" si="2"/>
        <v>46474</v>
      </c>
      <c r="J378" s="4" t="s">
        <v>25</v>
      </c>
      <c r="K378" s="4" t="s">
        <v>31</v>
      </c>
      <c r="L378" s="24">
        <f>IF(A378="","",IF(OR(G378="",AND(G378&gt;=Dashboard!$C$18,G378&lt;=Dashboard!$C$19)),1,0))</f>
        <v>1</v>
      </c>
      <c r="M378" s="24">
        <f>IF(AND(L378=1,OR(Dashboard!$C$13="All",A378=Dashboard!$C$13),OR(Dashboard!$C$14="All",B378=Dashboard!$C$14),OR(Dashboard!$C$15="All",C378=Dashboard!$C$15),OR(Dashboard!$C$16="All",K378=Dashboard!$C$16),OR(Dashboard!$C$17="All",J378=Dashboard!$C$17)),1,0)</f>
        <v>1</v>
      </c>
      <c r="N378" s="24">
        <f>IF(AND(L378=1,OR(Dashboard!$C$13="All",A378=Dashboard!$C$13),OR(Dashboard!$C$14="All",B378=Dashboard!$C$14),OR(Dashboard!$C$16="All",K378=Dashboard!$C$16),OR(Dashboard!$C$17="All",J378=Dashboard!$C$17)),1,0)</f>
        <v>1</v>
      </c>
      <c r="O378" s="24">
        <f>IF(AND(L378=1,OR(Dashboard!$C$13="All",A378=Dashboard!$C$13),OR(Dashboard!$C$15="All",C378=Dashboard!$C$15),OR(Dashboard!$C$16="All",K378=Dashboard!$C$16),OR(Dashboard!$C$17="All",J378=Dashboard!$C$17)),1,0)</f>
        <v>1</v>
      </c>
      <c r="P378" s="24">
        <f>IF(AND(L378=1,OR(Dashboard!$C$13="All",A378=Dashboard!$C$13),OR(Dashboard!$C$14="All",B378=Dashboard!$C$14),OR(Dashboard!$C$15="All",C378=Dashboard!$C$15),OR(Dashboard!$C$17="All",J378=Dashboard!$C$17)),1,0)</f>
        <v>1</v>
      </c>
      <c r="Q378" s="24">
        <f>IF(AND(L378=1,OR(Dashboard!$C$14="All",B378=Dashboard!$C$14),OR(Dashboard!$C$15="All",C378=Dashboard!$C$15),OR(Dashboard!$C$16="All",K378=Dashboard!$C$16),OR(Dashboard!$C$17="All",J378=Dashboard!$C$17)),1,0)</f>
        <v>1</v>
      </c>
      <c r="R378" s="24">
        <f>IF(AND(L378=1,OR(Dashboard!$C$13="All",A378=Dashboard!$C$13),OR(Dashboard!$C$14="All",B378=Dashboard!$C$14),OR(Dashboard!$C$15="All",C378=Dashboard!$C$15),OR(Dashboard!$C$16="All",K378=Dashboard!$C$16)),1,0)</f>
        <v>1</v>
      </c>
      <c r="S378" s="24">
        <f t="shared" si="3"/>
        <v>377</v>
      </c>
      <c r="V378" s="24" t="s">
        <v>539</v>
      </c>
    </row>
    <row r="379" ht="15.75" customHeight="1">
      <c r="A379" s="10" t="s">
        <v>385</v>
      </c>
      <c r="B379" s="13"/>
      <c r="C379" s="10" t="s">
        <v>89</v>
      </c>
      <c r="D379" s="13">
        <v>2.0</v>
      </c>
      <c r="E379" s="14">
        <v>2.0</v>
      </c>
      <c r="F379" s="15"/>
      <c r="G379" s="6">
        <v>46321.0</v>
      </c>
      <c r="H379" s="22">
        <v>22.0</v>
      </c>
      <c r="I379" s="16"/>
      <c r="J379" s="13" t="s">
        <v>25</v>
      </c>
      <c r="K379" s="13" t="s">
        <v>31</v>
      </c>
      <c r="L379" s="24">
        <f>IF(A379="","",IF(OR(G379="",AND(G379&gt;=Dashboard!$C$18,G379&lt;=Dashboard!$C$19)),1,0))</f>
        <v>1</v>
      </c>
      <c r="M379" s="24">
        <f>IF(AND(L379=1,OR(Dashboard!$C$13="All",A379=Dashboard!$C$13),OR(Dashboard!$C$14="All",B379=Dashboard!$C$14),OR(Dashboard!$C$15="All",C379=Dashboard!$C$15),OR(Dashboard!$C$16="All",K379=Dashboard!$C$16),OR(Dashboard!$C$17="All",J379=Dashboard!$C$17)),1,0)</f>
        <v>1</v>
      </c>
      <c r="N379" s="24">
        <f>IF(AND(L379=1,OR(Dashboard!$C$13="All",A379=Dashboard!$C$13),OR(Dashboard!$C$14="All",B379=Dashboard!$C$14),OR(Dashboard!$C$16="All",K379=Dashboard!$C$16),OR(Dashboard!$C$17="All",J379=Dashboard!$C$17)),1,0)</f>
        <v>1</v>
      </c>
      <c r="O379" s="24">
        <f>IF(AND(L379=1,OR(Dashboard!$C$13="All",A379=Dashboard!$C$13),OR(Dashboard!$C$15="All",C379=Dashboard!$C$15),OR(Dashboard!$C$16="All",K379=Dashboard!$C$16),OR(Dashboard!$C$17="All",J379=Dashboard!$C$17)),1,0)</f>
        <v>1</v>
      </c>
      <c r="P379" s="24">
        <f>IF(AND(L379=1,OR(Dashboard!$C$13="All",A379=Dashboard!$C$13),OR(Dashboard!$C$14="All",B379=Dashboard!$C$14),OR(Dashboard!$C$15="All",C379=Dashboard!$C$15),OR(Dashboard!$C$17="All",J379=Dashboard!$C$17)),1,0)</f>
        <v>1</v>
      </c>
      <c r="Q379" s="24">
        <f>IF(AND(L379=1,OR(Dashboard!$C$14="All",B379=Dashboard!$C$14),OR(Dashboard!$C$15="All",C379=Dashboard!$C$15),OR(Dashboard!$C$16="All",K379=Dashboard!$C$16),OR(Dashboard!$C$17="All",J379=Dashboard!$C$17)),1,0)</f>
        <v>1</v>
      </c>
      <c r="R379" s="24">
        <f>IF(AND(L379=1,OR(Dashboard!$C$13="All",A379=Dashboard!$C$13),OR(Dashboard!$C$14="All",B379=Dashboard!$C$14),OR(Dashboard!$C$15="All",C379=Dashboard!$C$15),OR(Dashboard!$C$16="All",K379=Dashboard!$C$16)),1,0)</f>
        <v>1</v>
      </c>
      <c r="S379" s="24">
        <f t="shared" si="3"/>
        <v>378</v>
      </c>
      <c r="V379" s="24" t="s">
        <v>441</v>
      </c>
    </row>
    <row r="380" ht="15.75" customHeight="1">
      <c r="A380" s="3" t="s">
        <v>385</v>
      </c>
      <c r="B380" s="4"/>
      <c r="C380" s="3" t="s">
        <v>93</v>
      </c>
      <c r="D380" s="4">
        <v>2.0</v>
      </c>
      <c r="E380" s="17">
        <v>15.0</v>
      </c>
      <c r="F380" s="5">
        <f t="shared" ref="F380:F750" si="4">IF(E380="","",D380*E380)</f>
        <v>30</v>
      </c>
      <c r="G380" s="6">
        <v>46322.0</v>
      </c>
      <c r="H380" s="22">
        <v>22.0</v>
      </c>
      <c r="I380" s="7">
        <f t="shared" ref="I380:I750" si="5">IF(OR(G380="",H380=""),"",G380+H380*7)</f>
        <v>46476</v>
      </c>
      <c r="J380" s="4" t="s">
        <v>25</v>
      </c>
      <c r="K380" s="4" t="s">
        <v>31</v>
      </c>
      <c r="L380" s="24">
        <f>IF(A380="","",IF(OR(G380="",AND(G380&gt;=Dashboard!$C$18,G380&lt;=Dashboard!$C$19)),1,0))</f>
        <v>1</v>
      </c>
      <c r="M380" s="24">
        <f>IF(AND(L380=1,OR(Dashboard!$C$13="All",A380=Dashboard!$C$13),OR(Dashboard!$C$14="All",B380=Dashboard!$C$14),OR(Dashboard!$C$15="All",C380=Dashboard!$C$15),OR(Dashboard!$C$16="All",K380=Dashboard!$C$16),OR(Dashboard!$C$17="All",J380=Dashboard!$C$17)),1,0)</f>
        <v>1</v>
      </c>
      <c r="N380" s="24">
        <f>IF(AND(L380=1,OR(Dashboard!$C$13="All",A380=Dashboard!$C$13),OR(Dashboard!$C$14="All",B380=Dashboard!$C$14),OR(Dashboard!$C$16="All",K380=Dashboard!$C$16),OR(Dashboard!$C$17="All",J380=Dashboard!$C$17)),1,0)</f>
        <v>1</v>
      </c>
      <c r="O380" s="24">
        <f>IF(AND(L380=1,OR(Dashboard!$C$13="All",A380=Dashboard!$C$13),OR(Dashboard!$C$15="All",C380=Dashboard!$C$15),OR(Dashboard!$C$16="All",K380=Dashboard!$C$16),OR(Dashboard!$C$17="All",J380=Dashboard!$C$17)),1,0)</f>
        <v>1</v>
      </c>
      <c r="P380" s="24">
        <f>IF(AND(L380=1,OR(Dashboard!$C$13="All",A380=Dashboard!$C$13),OR(Dashboard!$C$14="All",B380=Dashboard!$C$14),OR(Dashboard!$C$15="All",C380=Dashboard!$C$15),OR(Dashboard!$C$17="All",J380=Dashboard!$C$17)),1,0)</f>
        <v>1</v>
      </c>
      <c r="Q380" s="24">
        <f>IF(AND(L380=1,OR(Dashboard!$C$14="All",B380=Dashboard!$C$14),OR(Dashboard!$C$15="All",C380=Dashboard!$C$15),OR(Dashboard!$C$16="All",K380=Dashboard!$C$16),OR(Dashboard!$C$17="All",J380=Dashboard!$C$17)),1,0)</f>
        <v>1</v>
      </c>
      <c r="R380" s="24">
        <f>IF(AND(L380=1,OR(Dashboard!$C$13="All",A380=Dashboard!$C$13),OR(Dashboard!$C$14="All",B380=Dashboard!$C$14),OR(Dashboard!$C$15="All",C380=Dashboard!$C$15),OR(Dashboard!$C$16="All",K380=Dashboard!$C$16)),1,0)</f>
        <v>1</v>
      </c>
      <c r="S380" s="24">
        <f t="shared" si="3"/>
        <v>379</v>
      </c>
      <c r="V380" s="24" t="s">
        <v>252</v>
      </c>
    </row>
    <row r="381" ht="15.75" customHeight="1">
      <c r="A381" s="10" t="s">
        <v>385</v>
      </c>
      <c r="B381" s="13"/>
      <c r="C381" s="10" t="s">
        <v>419</v>
      </c>
      <c r="D381" s="13">
        <v>2.0</v>
      </c>
      <c r="E381" s="14">
        <v>45.0</v>
      </c>
      <c r="F381" s="15">
        <f t="shared" si="4"/>
        <v>90</v>
      </c>
      <c r="G381" s="6">
        <v>46323.0</v>
      </c>
      <c r="H381" s="22">
        <v>22.0</v>
      </c>
      <c r="I381" s="16">
        <f t="shared" si="5"/>
        <v>46477</v>
      </c>
      <c r="J381" s="13" t="s">
        <v>25</v>
      </c>
      <c r="K381" s="13" t="s">
        <v>31</v>
      </c>
      <c r="L381" s="24">
        <f>IF(A381="","",IF(OR(G381="",AND(G381&gt;=Dashboard!$C$18,G381&lt;=Dashboard!$C$19)),1,0))</f>
        <v>1</v>
      </c>
      <c r="M381" s="24">
        <f>IF(AND(L381=1,OR(Dashboard!$C$13="All",A381=Dashboard!$C$13),OR(Dashboard!$C$14="All",B381=Dashboard!$C$14),OR(Dashboard!$C$15="All",C381=Dashboard!$C$15),OR(Dashboard!$C$16="All",K381=Dashboard!$C$16),OR(Dashboard!$C$17="All",J381=Dashboard!$C$17)),1,0)</f>
        <v>1</v>
      </c>
      <c r="N381" s="24">
        <f>IF(AND(L381=1,OR(Dashboard!$C$13="All",A381=Dashboard!$C$13),OR(Dashboard!$C$14="All",B381=Dashboard!$C$14),OR(Dashboard!$C$16="All",K381=Dashboard!$C$16),OR(Dashboard!$C$17="All",J381=Dashboard!$C$17)),1,0)</f>
        <v>1</v>
      </c>
      <c r="O381" s="24">
        <f>IF(AND(L381=1,OR(Dashboard!$C$13="All",A381=Dashboard!$C$13),OR(Dashboard!$C$15="All",C381=Dashboard!$C$15),OR(Dashboard!$C$16="All",K381=Dashboard!$C$16),OR(Dashboard!$C$17="All",J381=Dashboard!$C$17)),1,0)</f>
        <v>1</v>
      </c>
      <c r="P381" s="24">
        <f>IF(AND(L381=1,OR(Dashboard!$C$13="All",A381=Dashboard!$C$13),OR(Dashboard!$C$14="All",B381=Dashboard!$C$14),OR(Dashboard!$C$15="All",C381=Dashboard!$C$15),OR(Dashboard!$C$17="All",J381=Dashboard!$C$17)),1,0)</f>
        <v>1</v>
      </c>
      <c r="Q381" s="24">
        <f>IF(AND(L381=1,OR(Dashboard!$C$14="All",B381=Dashboard!$C$14),OR(Dashboard!$C$15="All",C381=Dashboard!$C$15),OR(Dashboard!$C$16="All",K381=Dashboard!$C$16),OR(Dashboard!$C$17="All",J381=Dashboard!$C$17)),1,0)</f>
        <v>1</v>
      </c>
      <c r="R381" s="24">
        <f>IF(AND(L381=1,OR(Dashboard!$C$13="All",A381=Dashboard!$C$13),OR(Dashboard!$C$14="All",B381=Dashboard!$C$14),OR(Dashboard!$C$15="All",C381=Dashboard!$C$15),OR(Dashboard!$C$16="All",K381=Dashboard!$C$16)),1,0)</f>
        <v>1</v>
      </c>
      <c r="S381" s="24">
        <f t="shared" si="3"/>
        <v>380</v>
      </c>
      <c r="V381" s="24" t="s">
        <v>446</v>
      </c>
    </row>
    <row r="382" ht="15.75" customHeight="1">
      <c r="A382" s="3" t="s">
        <v>385</v>
      </c>
      <c r="B382" s="4"/>
      <c r="C382" s="3" t="s">
        <v>596</v>
      </c>
      <c r="D382" s="4">
        <v>4.0</v>
      </c>
      <c r="E382" s="17">
        <v>24.0</v>
      </c>
      <c r="F382" s="5">
        <f t="shared" si="4"/>
        <v>96</v>
      </c>
      <c r="G382" s="6">
        <v>46324.0</v>
      </c>
      <c r="H382" s="22">
        <v>24.0</v>
      </c>
      <c r="I382" s="7">
        <f t="shared" si="5"/>
        <v>46492</v>
      </c>
      <c r="J382" s="4" t="s">
        <v>25</v>
      </c>
      <c r="K382" s="4" t="s">
        <v>31</v>
      </c>
      <c r="L382" s="24">
        <f>IF(A382="","",IF(OR(G382="",AND(G382&gt;=Dashboard!$C$18,G382&lt;=Dashboard!$C$19)),1,0))</f>
        <v>1</v>
      </c>
      <c r="M382" s="24">
        <f>IF(AND(L382=1,OR(Dashboard!$C$13="All",A382=Dashboard!$C$13),OR(Dashboard!$C$14="All",B382=Dashboard!$C$14),OR(Dashboard!$C$15="All",C382=Dashboard!$C$15),OR(Dashboard!$C$16="All",K382=Dashboard!$C$16),OR(Dashboard!$C$17="All",J382=Dashboard!$C$17)),1,0)</f>
        <v>1</v>
      </c>
      <c r="N382" s="24">
        <f>IF(AND(L382=1,OR(Dashboard!$C$13="All",A382=Dashboard!$C$13),OR(Dashboard!$C$14="All",B382=Dashboard!$C$14),OR(Dashboard!$C$16="All",K382=Dashboard!$C$16),OR(Dashboard!$C$17="All",J382=Dashboard!$C$17)),1,0)</f>
        <v>1</v>
      </c>
      <c r="O382" s="24">
        <f>IF(AND(L382=1,OR(Dashboard!$C$13="All",A382=Dashboard!$C$13),OR(Dashboard!$C$15="All",C382=Dashboard!$C$15),OR(Dashboard!$C$16="All",K382=Dashboard!$C$16),OR(Dashboard!$C$17="All",J382=Dashboard!$C$17)),1,0)</f>
        <v>1</v>
      </c>
      <c r="P382" s="24">
        <f>IF(AND(L382=1,OR(Dashboard!$C$13="All",A382=Dashboard!$C$13),OR(Dashboard!$C$14="All",B382=Dashboard!$C$14),OR(Dashboard!$C$15="All",C382=Dashboard!$C$15),OR(Dashboard!$C$17="All",J382=Dashboard!$C$17)),1,0)</f>
        <v>1</v>
      </c>
      <c r="Q382" s="24">
        <f>IF(AND(L382=1,OR(Dashboard!$C$14="All",B382=Dashboard!$C$14),OR(Dashboard!$C$15="All",C382=Dashboard!$C$15),OR(Dashboard!$C$16="All",K382=Dashboard!$C$16),OR(Dashboard!$C$17="All",J382=Dashboard!$C$17)),1,0)</f>
        <v>1</v>
      </c>
      <c r="R382" s="24">
        <f>IF(AND(L382=1,OR(Dashboard!$C$13="All",A382=Dashboard!$C$13),OR(Dashboard!$C$14="All",B382=Dashboard!$C$14),OR(Dashboard!$C$15="All",C382=Dashboard!$C$15),OR(Dashboard!$C$16="All",K382=Dashboard!$C$16)),1,0)</f>
        <v>1</v>
      </c>
      <c r="S382" s="24">
        <f t="shared" si="3"/>
        <v>381</v>
      </c>
      <c r="V382" s="24" t="s">
        <v>658</v>
      </c>
    </row>
    <row r="383" ht="15.75" customHeight="1">
      <c r="A383" s="10" t="s">
        <v>385</v>
      </c>
      <c r="B383" s="13"/>
      <c r="C383" s="10" t="s">
        <v>573</v>
      </c>
      <c r="D383" s="13">
        <v>4.0</v>
      </c>
      <c r="E383" s="14">
        <v>25.0</v>
      </c>
      <c r="F383" s="15">
        <f t="shared" si="4"/>
        <v>100</v>
      </c>
      <c r="G383" s="6">
        <v>46325.0</v>
      </c>
      <c r="H383" s="22">
        <v>15.0</v>
      </c>
      <c r="I383" s="16">
        <f t="shared" si="5"/>
        <v>46430</v>
      </c>
      <c r="J383" s="13" t="s">
        <v>25</v>
      </c>
      <c r="K383" s="13" t="s">
        <v>31</v>
      </c>
      <c r="L383" s="24">
        <f>IF(A383="","",IF(OR(G383="",AND(G383&gt;=Dashboard!$C$18,G383&lt;=Dashboard!$C$19)),1,0))</f>
        <v>1</v>
      </c>
      <c r="M383" s="24">
        <f>IF(AND(L383=1,OR(Dashboard!$C$13="All",A383=Dashboard!$C$13),OR(Dashboard!$C$14="All",B383=Dashboard!$C$14),OR(Dashboard!$C$15="All",C383=Dashboard!$C$15),OR(Dashboard!$C$16="All",K383=Dashboard!$C$16),OR(Dashboard!$C$17="All",J383=Dashboard!$C$17)),1,0)</f>
        <v>1</v>
      </c>
      <c r="N383" s="24">
        <f>IF(AND(L383=1,OR(Dashboard!$C$13="All",A383=Dashboard!$C$13),OR(Dashboard!$C$14="All",B383=Dashboard!$C$14),OR(Dashboard!$C$16="All",K383=Dashboard!$C$16),OR(Dashboard!$C$17="All",J383=Dashboard!$C$17)),1,0)</f>
        <v>1</v>
      </c>
      <c r="O383" s="24">
        <f>IF(AND(L383=1,OR(Dashboard!$C$13="All",A383=Dashboard!$C$13),OR(Dashboard!$C$15="All",C383=Dashboard!$C$15),OR(Dashboard!$C$16="All",K383=Dashboard!$C$16),OR(Dashboard!$C$17="All",J383=Dashboard!$C$17)),1,0)</f>
        <v>1</v>
      </c>
      <c r="P383" s="24">
        <f>IF(AND(L383=1,OR(Dashboard!$C$13="All",A383=Dashboard!$C$13),OR(Dashboard!$C$14="All",B383=Dashboard!$C$14),OR(Dashboard!$C$15="All",C383=Dashboard!$C$15),OR(Dashboard!$C$17="All",J383=Dashboard!$C$17)),1,0)</f>
        <v>1</v>
      </c>
      <c r="Q383" s="24">
        <f>IF(AND(L383=1,OR(Dashboard!$C$14="All",B383=Dashboard!$C$14),OR(Dashboard!$C$15="All",C383=Dashboard!$C$15),OR(Dashboard!$C$16="All",K383=Dashboard!$C$16),OR(Dashboard!$C$17="All",J383=Dashboard!$C$17)),1,0)</f>
        <v>1</v>
      </c>
      <c r="R383" s="24">
        <f>IF(AND(L383=1,OR(Dashboard!$C$13="All",A383=Dashboard!$C$13),OR(Dashboard!$C$14="All",B383=Dashboard!$C$14),OR(Dashboard!$C$15="All",C383=Dashboard!$C$15),OR(Dashboard!$C$16="All",K383=Dashboard!$C$16)),1,0)</f>
        <v>1</v>
      </c>
      <c r="S383" s="24">
        <f t="shared" si="3"/>
        <v>382</v>
      </c>
      <c r="V383" s="24" t="s">
        <v>534</v>
      </c>
    </row>
    <row r="384" ht="15.75" customHeight="1">
      <c r="A384" s="3" t="s">
        <v>385</v>
      </c>
      <c r="B384" s="4"/>
      <c r="C384" s="3" t="s">
        <v>621</v>
      </c>
      <c r="D384" s="4">
        <v>4.0</v>
      </c>
      <c r="E384" s="17">
        <v>36.0</v>
      </c>
      <c r="F384" s="5">
        <f t="shared" si="4"/>
        <v>144</v>
      </c>
      <c r="G384" s="6">
        <v>46326.0</v>
      </c>
      <c r="H384" s="22">
        <v>12.0</v>
      </c>
      <c r="I384" s="7">
        <f t="shared" si="5"/>
        <v>46410</v>
      </c>
      <c r="J384" s="4" t="s">
        <v>25</v>
      </c>
      <c r="K384" s="4" t="s">
        <v>31</v>
      </c>
      <c r="L384" s="24">
        <f>IF(A384="","",IF(OR(G384="",AND(G384&gt;=Dashboard!$C$18,G384&lt;=Dashboard!$C$19)),1,0))</f>
        <v>1</v>
      </c>
      <c r="M384" s="24">
        <f>IF(AND(L384=1,OR(Dashboard!$C$13="All",A384=Dashboard!$C$13),OR(Dashboard!$C$14="All",B384=Dashboard!$C$14),OR(Dashboard!$C$15="All",C384=Dashboard!$C$15),OR(Dashboard!$C$16="All",K384=Dashboard!$C$16),OR(Dashboard!$C$17="All",J384=Dashboard!$C$17)),1,0)</f>
        <v>1</v>
      </c>
      <c r="N384" s="24">
        <f>IF(AND(L384=1,OR(Dashboard!$C$13="All",A384=Dashboard!$C$13),OR(Dashboard!$C$14="All",B384=Dashboard!$C$14),OR(Dashboard!$C$16="All",K384=Dashboard!$C$16),OR(Dashboard!$C$17="All",J384=Dashboard!$C$17)),1,0)</f>
        <v>1</v>
      </c>
      <c r="O384" s="24">
        <f>IF(AND(L384=1,OR(Dashboard!$C$13="All",A384=Dashboard!$C$13),OR(Dashboard!$C$15="All",C384=Dashboard!$C$15),OR(Dashboard!$C$16="All",K384=Dashboard!$C$16),OR(Dashboard!$C$17="All",J384=Dashboard!$C$17)),1,0)</f>
        <v>1</v>
      </c>
      <c r="P384" s="24">
        <f>IF(AND(L384=1,OR(Dashboard!$C$13="All",A384=Dashboard!$C$13),OR(Dashboard!$C$14="All",B384=Dashboard!$C$14),OR(Dashboard!$C$15="All",C384=Dashboard!$C$15),OR(Dashboard!$C$17="All",J384=Dashboard!$C$17)),1,0)</f>
        <v>1</v>
      </c>
      <c r="Q384" s="24">
        <f>IF(AND(L384=1,OR(Dashboard!$C$14="All",B384=Dashboard!$C$14),OR(Dashboard!$C$15="All",C384=Dashboard!$C$15),OR(Dashboard!$C$16="All",K384=Dashboard!$C$16),OR(Dashboard!$C$17="All",J384=Dashboard!$C$17)),1,0)</f>
        <v>1</v>
      </c>
      <c r="R384" s="24">
        <f>IF(AND(L384=1,OR(Dashboard!$C$13="All",A384=Dashboard!$C$13),OR(Dashboard!$C$14="All",B384=Dashboard!$C$14),OR(Dashboard!$C$15="All",C384=Dashboard!$C$15),OR(Dashboard!$C$16="All",K384=Dashboard!$C$16)),1,0)</f>
        <v>1</v>
      </c>
      <c r="S384" s="24">
        <f t="shared" si="3"/>
        <v>383</v>
      </c>
      <c r="V384" s="24" t="s">
        <v>657</v>
      </c>
    </row>
    <row r="385" ht="15.75" customHeight="1">
      <c r="A385" s="10" t="s">
        <v>385</v>
      </c>
      <c r="B385" s="13"/>
      <c r="C385" s="10" t="s">
        <v>650</v>
      </c>
      <c r="D385" s="13">
        <v>1.0</v>
      </c>
      <c r="E385" s="14">
        <v>95.0</v>
      </c>
      <c r="F385" s="15">
        <f t="shared" si="4"/>
        <v>95</v>
      </c>
      <c r="G385" s="6">
        <v>46327.0</v>
      </c>
      <c r="H385" s="22">
        <v>12.0</v>
      </c>
      <c r="I385" s="16">
        <f t="shared" si="5"/>
        <v>46411</v>
      </c>
      <c r="J385" s="13" t="s">
        <v>25</v>
      </c>
      <c r="K385" s="13" t="s">
        <v>31</v>
      </c>
      <c r="L385" s="24">
        <f>IF(A385="","",IF(OR(G385="",AND(G385&gt;=Dashboard!$C$18,G385&lt;=Dashboard!$C$19)),1,0))</f>
        <v>1</v>
      </c>
      <c r="M385" s="24">
        <f>IF(AND(L385=1,OR(Dashboard!$C$13="All",A385=Dashboard!$C$13),OR(Dashboard!$C$14="All",B385=Dashboard!$C$14),OR(Dashboard!$C$15="All",C385=Dashboard!$C$15),OR(Dashboard!$C$16="All",K385=Dashboard!$C$16),OR(Dashboard!$C$17="All",J385=Dashboard!$C$17)),1,0)</f>
        <v>1</v>
      </c>
      <c r="N385" s="24">
        <f>IF(AND(L385=1,OR(Dashboard!$C$13="All",A385=Dashboard!$C$13),OR(Dashboard!$C$14="All",B385=Dashboard!$C$14),OR(Dashboard!$C$16="All",K385=Dashboard!$C$16),OR(Dashboard!$C$17="All",J385=Dashboard!$C$17)),1,0)</f>
        <v>1</v>
      </c>
      <c r="O385" s="24">
        <f>IF(AND(L385=1,OR(Dashboard!$C$13="All",A385=Dashboard!$C$13),OR(Dashboard!$C$15="All",C385=Dashboard!$C$15),OR(Dashboard!$C$16="All",K385=Dashboard!$C$16),OR(Dashboard!$C$17="All",J385=Dashboard!$C$17)),1,0)</f>
        <v>1</v>
      </c>
      <c r="P385" s="24">
        <f>IF(AND(L385=1,OR(Dashboard!$C$13="All",A385=Dashboard!$C$13),OR(Dashboard!$C$14="All",B385=Dashboard!$C$14),OR(Dashboard!$C$15="All",C385=Dashboard!$C$15),OR(Dashboard!$C$17="All",J385=Dashboard!$C$17)),1,0)</f>
        <v>1</v>
      </c>
      <c r="Q385" s="24">
        <f>IF(AND(L385=1,OR(Dashboard!$C$14="All",B385=Dashboard!$C$14),OR(Dashboard!$C$15="All",C385=Dashboard!$C$15),OR(Dashboard!$C$16="All",K385=Dashboard!$C$16),OR(Dashboard!$C$17="All",J385=Dashboard!$C$17)),1,0)</f>
        <v>1</v>
      </c>
      <c r="R385" s="24">
        <f>IF(AND(L385=1,OR(Dashboard!$C$13="All",A385=Dashboard!$C$13),OR(Dashboard!$C$14="All",B385=Dashboard!$C$14),OR(Dashboard!$C$15="All",C385=Dashboard!$C$15),OR(Dashboard!$C$16="All",K385=Dashboard!$C$16)),1,0)</f>
        <v>1</v>
      </c>
      <c r="S385" s="24">
        <f t="shared" si="3"/>
        <v>384</v>
      </c>
      <c r="V385" s="24" t="s">
        <v>663</v>
      </c>
    </row>
    <row r="386" ht="15.75" customHeight="1">
      <c r="A386" s="3" t="s">
        <v>385</v>
      </c>
      <c r="B386" s="4"/>
      <c r="C386" s="3" t="s">
        <v>645</v>
      </c>
      <c r="D386" s="4">
        <v>4.0</v>
      </c>
      <c r="E386" s="17">
        <v>574.0</v>
      </c>
      <c r="F386" s="5">
        <f t="shared" si="4"/>
        <v>2296</v>
      </c>
      <c r="G386" s="6">
        <v>46328.0</v>
      </c>
      <c r="H386" s="22">
        <v>14.0</v>
      </c>
      <c r="I386" s="7">
        <f t="shared" si="5"/>
        <v>46426</v>
      </c>
      <c r="J386" s="4" t="s">
        <v>25</v>
      </c>
      <c r="K386" s="4" t="s">
        <v>31</v>
      </c>
      <c r="L386" s="24">
        <f>IF(A386="","",IF(OR(G386="",AND(G386&gt;=Dashboard!$C$18,G386&lt;=Dashboard!$C$19)),1,0))</f>
        <v>1</v>
      </c>
      <c r="M386" s="24">
        <f>IF(AND(L386=1,OR(Dashboard!$C$13="All",A386=Dashboard!$C$13),OR(Dashboard!$C$14="All",B386=Dashboard!$C$14),OR(Dashboard!$C$15="All",C386=Dashboard!$C$15),OR(Dashboard!$C$16="All",K386=Dashboard!$C$16),OR(Dashboard!$C$17="All",J386=Dashboard!$C$17)),1,0)</f>
        <v>1</v>
      </c>
      <c r="N386" s="24">
        <f>IF(AND(L386=1,OR(Dashboard!$C$13="All",A386=Dashboard!$C$13),OR(Dashboard!$C$14="All",B386=Dashboard!$C$14),OR(Dashboard!$C$16="All",K386=Dashboard!$C$16),OR(Dashboard!$C$17="All",J386=Dashboard!$C$17)),1,0)</f>
        <v>1</v>
      </c>
      <c r="O386" s="24">
        <f>IF(AND(L386=1,OR(Dashboard!$C$13="All",A386=Dashboard!$C$13),OR(Dashboard!$C$15="All",C386=Dashboard!$C$15),OR(Dashboard!$C$16="All",K386=Dashboard!$C$16),OR(Dashboard!$C$17="All",J386=Dashboard!$C$17)),1,0)</f>
        <v>1</v>
      </c>
      <c r="P386" s="24">
        <f>IF(AND(L386=1,OR(Dashboard!$C$13="All",A386=Dashboard!$C$13),OR(Dashboard!$C$14="All",B386=Dashboard!$C$14),OR(Dashboard!$C$15="All",C386=Dashboard!$C$15),OR(Dashboard!$C$17="All",J386=Dashboard!$C$17)),1,0)</f>
        <v>1</v>
      </c>
      <c r="Q386" s="24">
        <f>IF(AND(L386=1,OR(Dashboard!$C$14="All",B386=Dashboard!$C$14),OR(Dashboard!$C$15="All",C386=Dashboard!$C$15),OR(Dashboard!$C$16="All",K386=Dashboard!$C$16),OR(Dashboard!$C$17="All",J386=Dashboard!$C$17)),1,0)</f>
        <v>1</v>
      </c>
      <c r="R386" s="24">
        <f>IF(AND(L386=1,OR(Dashboard!$C$13="All",A386=Dashboard!$C$13),OR(Dashboard!$C$14="All",B386=Dashboard!$C$14),OR(Dashboard!$C$15="All",C386=Dashboard!$C$15),OR(Dashboard!$C$16="All",K386=Dashboard!$C$16)),1,0)</f>
        <v>1</v>
      </c>
      <c r="S386" s="24">
        <f t="shared" si="3"/>
        <v>385</v>
      </c>
      <c r="V386" s="24" t="s">
        <v>616</v>
      </c>
    </row>
    <row r="387" ht="15.75" customHeight="1">
      <c r="A387" s="10" t="s">
        <v>387</v>
      </c>
      <c r="B387" s="13"/>
      <c r="C387" s="10" t="s">
        <v>343</v>
      </c>
      <c r="D387" s="13">
        <v>90000.0</v>
      </c>
      <c r="E387" s="14">
        <v>558.0</v>
      </c>
      <c r="F387" s="15">
        <f t="shared" si="4"/>
        <v>50220000</v>
      </c>
      <c r="G387" s="6">
        <v>46329.0</v>
      </c>
      <c r="H387" s="22">
        <v>12.0</v>
      </c>
      <c r="I387" s="16">
        <f t="shared" si="5"/>
        <v>46413</v>
      </c>
      <c r="J387" s="13" t="s">
        <v>25</v>
      </c>
      <c r="K387" s="13" t="s">
        <v>31</v>
      </c>
      <c r="L387" s="24">
        <f>IF(A387="","",IF(OR(G387="",AND(G387&gt;=Dashboard!$C$18,G387&lt;=Dashboard!$C$19)),1,0))</f>
        <v>1</v>
      </c>
      <c r="M387" s="24">
        <f>IF(AND(L387=1,OR(Dashboard!$C$13="All",A387=Dashboard!$C$13),OR(Dashboard!$C$14="All",B387=Dashboard!$C$14),OR(Dashboard!$C$15="All",C387=Dashboard!$C$15),OR(Dashboard!$C$16="All",K387=Dashboard!$C$16),OR(Dashboard!$C$17="All",J387=Dashboard!$C$17)),1,0)</f>
        <v>1</v>
      </c>
      <c r="N387" s="24">
        <f>IF(AND(L387=1,OR(Dashboard!$C$13="All",A387=Dashboard!$C$13),OR(Dashboard!$C$14="All",B387=Dashboard!$C$14),OR(Dashboard!$C$16="All",K387=Dashboard!$C$16),OR(Dashboard!$C$17="All",J387=Dashboard!$C$17)),1,0)</f>
        <v>1</v>
      </c>
      <c r="O387" s="24">
        <f>IF(AND(L387=1,OR(Dashboard!$C$13="All",A387=Dashboard!$C$13),OR(Dashboard!$C$15="All",C387=Dashboard!$C$15),OR(Dashboard!$C$16="All",K387=Dashboard!$C$16),OR(Dashboard!$C$17="All",J387=Dashboard!$C$17)),1,0)</f>
        <v>1</v>
      </c>
      <c r="P387" s="24">
        <f>IF(AND(L387=1,OR(Dashboard!$C$13="All",A387=Dashboard!$C$13),OR(Dashboard!$C$14="All",B387=Dashboard!$C$14),OR(Dashboard!$C$15="All",C387=Dashboard!$C$15),OR(Dashboard!$C$17="All",J387=Dashboard!$C$17)),1,0)</f>
        <v>1</v>
      </c>
      <c r="Q387" s="24">
        <f>IF(AND(L387=1,OR(Dashboard!$C$14="All",B387=Dashboard!$C$14),OR(Dashboard!$C$15="All",C387=Dashboard!$C$15),OR(Dashboard!$C$16="All",K387=Dashboard!$C$16),OR(Dashboard!$C$17="All",J387=Dashboard!$C$17)),1,0)</f>
        <v>1</v>
      </c>
      <c r="R387" s="24">
        <f>IF(AND(L387=1,OR(Dashboard!$C$13="All",A387=Dashboard!$C$13),OR(Dashboard!$C$14="All",B387=Dashboard!$C$14),OR(Dashboard!$C$15="All",C387=Dashboard!$C$15),OR(Dashboard!$C$16="All",K387=Dashboard!$C$16)),1,0)</f>
        <v>1</v>
      </c>
      <c r="S387" s="24">
        <f t="shared" si="3"/>
        <v>386</v>
      </c>
      <c r="V387" s="24" t="s">
        <v>664</v>
      </c>
    </row>
    <row r="388" ht="15.75" customHeight="1">
      <c r="A388" s="3" t="s">
        <v>387</v>
      </c>
      <c r="B388" s="4"/>
      <c r="C388" s="3" t="s">
        <v>615</v>
      </c>
      <c r="D388" s="4">
        <v>45200.0</v>
      </c>
      <c r="E388" s="17">
        <v>2265.0</v>
      </c>
      <c r="F388" s="5">
        <f t="shared" si="4"/>
        <v>102378000</v>
      </c>
      <c r="G388" s="6">
        <v>46330.0</v>
      </c>
      <c r="H388" s="22">
        <v>12.0</v>
      </c>
      <c r="I388" s="7">
        <f t="shared" si="5"/>
        <v>46414</v>
      </c>
      <c r="J388" s="4" t="s">
        <v>25</v>
      </c>
      <c r="K388" s="4" t="s">
        <v>31</v>
      </c>
      <c r="L388" s="24">
        <f>IF(A388="","",IF(OR(G388="",AND(G388&gt;=Dashboard!$C$18,G388&lt;=Dashboard!$C$19)),1,0))</f>
        <v>1</v>
      </c>
      <c r="M388" s="24">
        <f>IF(AND(L388=1,OR(Dashboard!$C$13="All",A388=Dashboard!$C$13),OR(Dashboard!$C$14="All",B388=Dashboard!$C$14),OR(Dashboard!$C$15="All",C388=Dashboard!$C$15),OR(Dashboard!$C$16="All",K388=Dashboard!$C$16),OR(Dashboard!$C$17="All",J388=Dashboard!$C$17)),1,0)</f>
        <v>1</v>
      </c>
      <c r="N388" s="24">
        <f>IF(AND(L388=1,OR(Dashboard!$C$13="All",A388=Dashboard!$C$13),OR(Dashboard!$C$14="All",B388=Dashboard!$C$14),OR(Dashboard!$C$16="All",K388=Dashboard!$C$16),OR(Dashboard!$C$17="All",J388=Dashboard!$C$17)),1,0)</f>
        <v>1</v>
      </c>
      <c r="O388" s="24">
        <f>IF(AND(L388=1,OR(Dashboard!$C$13="All",A388=Dashboard!$C$13),OR(Dashboard!$C$15="All",C388=Dashboard!$C$15),OR(Dashboard!$C$16="All",K388=Dashboard!$C$16),OR(Dashboard!$C$17="All",J388=Dashboard!$C$17)),1,0)</f>
        <v>1</v>
      </c>
      <c r="P388" s="24">
        <f>IF(AND(L388=1,OR(Dashboard!$C$13="All",A388=Dashboard!$C$13),OR(Dashboard!$C$14="All",B388=Dashboard!$C$14),OR(Dashboard!$C$15="All",C388=Dashboard!$C$15),OR(Dashboard!$C$17="All",J388=Dashboard!$C$17)),1,0)</f>
        <v>1</v>
      </c>
      <c r="Q388" s="24">
        <f>IF(AND(L388=1,OR(Dashboard!$C$14="All",B388=Dashboard!$C$14),OR(Dashboard!$C$15="All",C388=Dashboard!$C$15),OR(Dashboard!$C$16="All",K388=Dashboard!$C$16),OR(Dashboard!$C$17="All",J388=Dashboard!$C$17)),1,0)</f>
        <v>1</v>
      </c>
      <c r="R388" s="24">
        <f>IF(AND(L388=1,OR(Dashboard!$C$13="All",A388=Dashboard!$C$13),OR(Dashboard!$C$14="All",B388=Dashboard!$C$14),OR(Dashboard!$C$15="All",C388=Dashboard!$C$15),OR(Dashboard!$C$16="All",K388=Dashboard!$C$16)),1,0)</f>
        <v>1</v>
      </c>
      <c r="S388" s="24">
        <f t="shared" si="3"/>
        <v>387</v>
      </c>
      <c r="V388" s="24" t="s">
        <v>665</v>
      </c>
    </row>
    <row r="389" ht="15.75" customHeight="1">
      <c r="A389" s="10" t="s">
        <v>387</v>
      </c>
      <c r="B389" s="13"/>
      <c r="C389" s="10" t="s">
        <v>318</v>
      </c>
      <c r="D389" s="13">
        <v>340.0</v>
      </c>
      <c r="E389" s="14">
        <v>45.0</v>
      </c>
      <c r="F389" s="15">
        <f t="shared" si="4"/>
        <v>15300</v>
      </c>
      <c r="G389" s="6">
        <v>46331.0</v>
      </c>
      <c r="H389" s="22">
        <v>15.0</v>
      </c>
      <c r="I389" s="16">
        <f t="shared" si="5"/>
        <v>46436</v>
      </c>
      <c r="J389" s="13" t="s">
        <v>25</v>
      </c>
      <c r="K389" s="13" t="s">
        <v>31</v>
      </c>
      <c r="L389" s="24">
        <f>IF(A389="","",IF(OR(G389="",AND(G389&gt;=Dashboard!$C$18,G389&lt;=Dashboard!$C$19)),1,0))</f>
        <v>1</v>
      </c>
      <c r="M389" s="24">
        <f>IF(AND(L389=1,OR(Dashboard!$C$13="All",A389=Dashboard!$C$13),OR(Dashboard!$C$14="All",B389=Dashboard!$C$14),OR(Dashboard!$C$15="All",C389=Dashboard!$C$15),OR(Dashboard!$C$16="All",K389=Dashboard!$C$16),OR(Dashboard!$C$17="All",J389=Dashboard!$C$17)),1,0)</f>
        <v>1</v>
      </c>
      <c r="N389" s="24">
        <f>IF(AND(L389=1,OR(Dashboard!$C$13="All",A389=Dashboard!$C$13),OR(Dashboard!$C$14="All",B389=Dashboard!$C$14),OR(Dashboard!$C$16="All",K389=Dashboard!$C$16),OR(Dashboard!$C$17="All",J389=Dashboard!$C$17)),1,0)</f>
        <v>1</v>
      </c>
      <c r="O389" s="24">
        <f>IF(AND(L389=1,OR(Dashboard!$C$13="All",A389=Dashboard!$C$13),OR(Dashboard!$C$15="All",C389=Dashboard!$C$15),OR(Dashboard!$C$16="All",K389=Dashboard!$C$16),OR(Dashboard!$C$17="All",J389=Dashboard!$C$17)),1,0)</f>
        <v>1</v>
      </c>
      <c r="P389" s="24">
        <f>IF(AND(L389=1,OR(Dashboard!$C$13="All",A389=Dashboard!$C$13),OR(Dashboard!$C$14="All",B389=Dashboard!$C$14),OR(Dashboard!$C$15="All",C389=Dashboard!$C$15),OR(Dashboard!$C$17="All",J389=Dashboard!$C$17)),1,0)</f>
        <v>1</v>
      </c>
      <c r="Q389" s="24">
        <f>IF(AND(L389=1,OR(Dashboard!$C$14="All",B389=Dashboard!$C$14),OR(Dashboard!$C$15="All",C389=Dashboard!$C$15),OR(Dashboard!$C$16="All",K389=Dashboard!$C$16),OR(Dashboard!$C$17="All",J389=Dashboard!$C$17)),1,0)</f>
        <v>1</v>
      </c>
      <c r="R389" s="24">
        <f>IF(AND(L389=1,OR(Dashboard!$C$13="All",A389=Dashboard!$C$13),OR(Dashboard!$C$14="All",B389=Dashboard!$C$14),OR(Dashboard!$C$15="All",C389=Dashboard!$C$15),OR(Dashboard!$C$16="All",K389=Dashboard!$C$16)),1,0)</f>
        <v>1</v>
      </c>
      <c r="S389" s="24">
        <f t="shared" si="3"/>
        <v>388</v>
      </c>
      <c r="V389" s="24" t="s">
        <v>626</v>
      </c>
    </row>
    <row r="390" ht="15.75" customHeight="1">
      <c r="A390" s="3" t="s">
        <v>387</v>
      </c>
      <c r="B390" s="4"/>
      <c r="C390" s="3" t="s">
        <v>628</v>
      </c>
      <c r="D390" s="4">
        <v>2.0</v>
      </c>
      <c r="E390" s="17">
        <v>5554.0</v>
      </c>
      <c r="F390" s="5">
        <f t="shared" si="4"/>
        <v>11108</v>
      </c>
      <c r="G390" s="6">
        <v>46332.0</v>
      </c>
      <c r="H390" s="22">
        <v>15.0</v>
      </c>
      <c r="I390" s="7">
        <f t="shared" si="5"/>
        <v>46437</v>
      </c>
      <c r="J390" s="4" t="s">
        <v>25</v>
      </c>
      <c r="K390" s="4" t="s">
        <v>31</v>
      </c>
      <c r="L390" s="24">
        <f>IF(A390="","",IF(OR(G390="",AND(G390&gt;=Dashboard!$C$18,G390&lt;=Dashboard!$C$19)),1,0))</f>
        <v>1</v>
      </c>
      <c r="M390" s="24">
        <f>IF(AND(L390=1,OR(Dashboard!$C$13="All",A390=Dashboard!$C$13),OR(Dashboard!$C$14="All",B390=Dashboard!$C$14),OR(Dashboard!$C$15="All",C390=Dashboard!$C$15),OR(Dashboard!$C$16="All",K390=Dashboard!$C$16),OR(Dashboard!$C$17="All",J390=Dashboard!$C$17)),1,0)</f>
        <v>1</v>
      </c>
      <c r="N390" s="24">
        <f>IF(AND(L390=1,OR(Dashboard!$C$13="All",A390=Dashboard!$C$13),OR(Dashboard!$C$14="All",B390=Dashboard!$C$14),OR(Dashboard!$C$16="All",K390=Dashboard!$C$16),OR(Dashboard!$C$17="All",J390=Dashboard!$C$17)),1,0)</f>
        <v>1</v>
      </c>
      <c r="O390" s="24">
        <f>IF(AND(L390=1,OR(Dashboard!$C$13="All",A390=Dashboard!$C$13),OR(Dashboard!$C$15="All",C390=Dashboard!$C$15),OR(Dashboard!$C$16="All",K390=Dashboard!$C$16),OR(Dashboard!$C$17="All",J390=Dashboard!$C$17)),1,0)</f>
        <v>1</v>
      </c>
      <c r="P390" s="24">
        <f>IF(AND(L390=1,OR(Dashboard!$C$13="All",A390=Dashboard!$C$13),OR(Dashboard!$C$14="All",B390=Dashboard!$C$14),OR(Dashboard!$C$15="All",C390=Dashboard!$C$15),OR(Dashboard!$C$17="All",J390=Dashboard!$C$17)),1,0)</f>
        <v>1</v>
      </c>
      <c r="Q390" s="24">
        <f>IF(AND(L390=1,OR(Dashboard!$C$14="All",B390=Dashboard!$C$14),OR(Dashboard!$C$15="All",C390=Dashboard!$C$15),OR(Dashboard!$C$16="All",K390=Dashboard!$C$16),OR(Dashboard!$C$17="All",J390=Dashboard!$C$17)),1,0)</f>
        <v>1</v>
      </c>
      <c r="R390" s="24">
        <f>IF(AND(L390=1,OR(Dashboard!$C$13="All",A390=Dashboard!$C$13),OR(Dashboard!$C$14="All",B390=Dashboard!$C$14),OR(Dashboard!$C$15="All",C390=Dashboard!$C$15),OR(Dashboard!$C$16="All",K390=Dashboard!$C$16)),1,0)</f>
        <v>1</v>
      </c>
      <c r="S390" s="24">
        <f t="shared" si="3"/>
        <v>389</v>
      </c>
      <c r="V390" s="24" t="s">
        <v>627</v>
      </c>
    </row>
    <row r="391" ht="15.75" customHeight="1">
      <c r="A391" s="10" t="s">
        <v>387</v>
      </c>
      <c r="B391" s="13"/>
      <c r="C391" s="10" t="s">
        <v>636</v>
      </c>
      <c r="D391" s="13">
        <v>10.0</v>
      </c>
      <c r="E391" s="14">
        <v>41.0</v>
      </c>
      <c r="F391" s="15">
        <f t="shared" si="4"/>
        <v>410</v>
      </c>
      <c r="G391" s="6">
        <v>46333.0</v>
      </c>
      <c r="H391" s="22">
        <v>15.0</v>
      </c>
      <c r="I391" s="16">
        <f t="shared" si="5"/>
        <v>46438</v>
      </c>
      <c r="J391" s="13" t="s">
        <v>25</v>
      </c>
      <c r="K391" s="13" t="s">
        <v>31</v>
      </c>
      <c r="L391" s="24">
        <f>IF(A391="","",IF(OR(G391="",AND(G391&gt;=Dashboard!$C$18,G391&lt;=Dashboard!$C$19)),1,0))</f>
        <v>1</v>
      </c>
      <c r="M391" s="24">
        <f>IF(AND(L391=1,OR(Dashboard!$C$13="All",A391=Dashboard!$C$13),OR(Dashboard!$C$14="All",B391=Dashboard!$C$14),OR(Dashboard!$C$15="All",C391=Dashboard!$C$15),OR(Dashboard!$C$16="All",K391=Dashboard!$C$16),OR(Dashboard!$C$17="All",J391=Dashboard!$C$17)),1,0)</f>
        <v>1</v>
      </c>
      <c r="N391" s="24">
        <f>IF(AND(L391=1,OR(Dashboard!$C$13="All",A391=Dashboard!$C$13),OR(Dashboard!$C$14="All",B391=Dashboard!$C$14),OR(Dashboard!$C$16="All",K391=Dashboard!$C$16),OR(Dashboard!$C$17="All",J391=Dashboard!$C$17)),1,0)</f>
        <v>1</v>
      </c>
      <c r="O391" s="24">
        <f>IF(AND(L391=1,OR(Dashboard!$C$13="All",A391=Dashboard!$C$13),OR(Dashboard!$C$15="All",C391=Dashboard!$C$15),OR(Dashboard!$C$16="All",K391=Dashboard!$C$16),OR(Dashboard!$C$17="All",J391=Dashboard!$C$17)),1,0)</f>
        <v>1</v>
      </c>
      <c r="P391" s="24">
        <f>IF(AND(L391=1,OR(Dashboard!$C$13="All",A391=Dashboard!$C$13),OR(Dashboard!$C$14="All",B391=Dashboard!$C$14),OR(Dashboard!$C$15="All",C391=Dashboard!$C$15),OR(Dashboard!$C$17="All",J391=Dashboard!$C$17)),1,0)</f>
        <v>1</v>
      </c>
      <c r="Q391" s="24">
        <f>IF(AND(L391=1,OR(Dashboard!$C$14="All",B391=Dashboard!$C$14),OR(Dashboard!$C$15="All",C391=Dashboard!$C$15),OR(Dashboard!$C$16="All",K391=Dashboard!$C$16),OR(Dashboard!$C$17="All",J391=Dashboard!$C$17)),1,0)</f>
        <v>1</v>
      </c>
      <c r="R391" s="24">
        <f>IF(AND(L391=1,OR(Dashboard!$C$13="All",A391=Dashboard!$C$13),OR(Dashboard!$C$14="All",B391=Dashboard!$C$14),OR(Dashboard!$C$15="All",C391=Dashboard!$C$15),OR(Dashboard!$C$16="All",K391=Dashboard!$C$16)),1,0)</f>
        <v>1</v>
      </c>
      <c r="S391" s="24">
        <f t="shared" si="3"/>
        <v>390</v>
      </c>
      <c r="V391" s="24" t="s">
        <v>569</v>
      </c>
    </row>
    <row r="392" ht="15.75" customHeight="1">
      <c r="A392" s="3" t="s">
        <v>387</v>
      </c>
      <c r="B392" s="4"/>
      <c r="C392" s="3" t="s">
        <v>223</v>
      </c>
      <c r="D392" s="4">
        <v>10.0</v>
      </c>
      <c r="E392" s="17">
        <v>231.0</v>
      </c>
      <c r="F392" s="5">
        <f t="shared" si="4"/>
        <v>2310</v>
      </c>
      <c r="G392" s="6">
        <v>46334.0</v>
      </c>
      <c r="H392" s="22">
        <v>13.0</v>
      </c>
      <c r="I392" s="7">
        <f t="shared" si="5"/>
        <v>46425</v>
      </c>
      <c r="J392" s="4" t="s">
        <v>25</v>
      </c>
      <c r="K392" s="4" t="s">
        <v>31</v>
      </c>
      <c r="L392" s="24">
        <f>IF(A392="","",IF(OR(G392="",AND(G392&gt;=Dashboard!$C$18,G392&lt;=Dashboard!$C$19)),1,0))</f>
        <v>1</v>
      </c>
      <c r="M392" s="24">
        <f>IF(AND(L392=1,OR(Dashboard!$C$13="All",A392=Dashboard!$C$13),OR(Dashboard!$C$14="All",B392=Dashboard!$C$14),OR(Dashboard!$C$15="All",C392=Dashboard!$C$15),OR(Dashboard!$C$16="All",K392=Dashboard!$C$16),OR(Dashboard!$C$17="All",J392=Dashboard!$C$17)),1,0)</f>
        <v>1</v>
      </c>
      <c r="N392" s="24">
        <f>IF(AND(L392=1,OR(Dashboard!$C$13="All",A392=Dashboard!$C$13),OR(Dashboard!$C$14="All",B392=Dashboard!$C$14),OR(Dashboard!$C$16="All",K392=Dashboard!$C$16),OR(Dashboard!$C$17="All",J392=Dashboard!$C$17)),1,0)</f>
        <v>1</v>
      </c>
      <c r="O392" s="24">
        <f>IF(AND(L392=1,OR(Dashboard!$C$13="All",A392=Dashboard!$C$13),OR(Dashboard!$C$15="All",C392=Dashboard!$C$15),OR(Dashboard!$C$16="All",K392=Dashboard!$C$16),OR(Dashboard!$C$17="All",J392=Dashboard!$C$17)),1,0)</f>
        <v>1</v>
      </c>
      <c r="P392" s="24">
        <f>IF(AND(L392=1,OR(Dashboard!$C$13="All",A392=Dashboard!$C$13),OR(Dashboard!$C$14="All",B392=Dashboard!$C$14),OR(Dashboard!$C$15="All",C392=Dashboard!$C$15),OR(Dashboard!$C$17="All",J392=Dashboard!$C$17)),1,0)</f>
        <v>1</v>
      </c>
      <c r="Q392" s="24">
        <f>IF(AND(L392=1,OR(Dashboard!$C$14="All",B392=Dashboard!$C$14),OR(Dashboard!$C$15="All",C392=Dashboard!$C$15),OR(Dashboard!$C$16="All",K392=Dashboard!$C$16),OR(Dashboard!$C$17="All",J392=Dashboard!$C$17)),1,0)</f>
        <v>1</v>
      </c>
      <c r="R392" s="24">
        <f>IF(AND(L392=1,OR(Dashboard!$C$13="All",A392=Dashboard!$C$13),OR(Dashboard!$C$14="All",B392=Dashboard!$C$14),OR(Dashboard!$C$15="All",C392=Dashboard!$C$15),OR(Dashboard!$C$16="All",K392=Dashboard!$C$16)),1,0)</f>
        <v>1</v>
      </c>
      <c r="S392" s="24">
        <f t="shared" si="3"/>
        <v>391</v>
      </c>
      <c r="V392" s="24" t="s">
        <v>666</v>
      </c>
    </row>
    <row r="393" ht="15.75" customHeight="1">
      <c r="A393" s="10" t="s">
        <v>387</v>
      </c>
      <c r="B393" s="13"/>
      <c r="C393" s="10" t="s">
        <v>515</v>
      </c>
      <c r="D393" s="13">
        <v>52.0</v>
      </c>
      <c r="E393" s="14">
        <v>25.0</v>
      </c>
      <c r="F393" s="15">
        <f t="shared" si="4"/>
        <v>1300</v>
      </c>
      <c r="G393" s="6">
        <v>46335.0</v>
      </c>
      <c r="H393" s="22">
        <v>4.0</v>
      </c>
      <c r="I393" s="16">
        <f t="shared" si="5"/>
        <v>46363</v>
      </c>
      <c r="J393" s="13" t="s">
        <v>25</v>
      </c>
      <c r="K393" s="13" t="s">
        <v>31</v>
      </c>
      <c r="L393" s="24">
        <f>IF(A393="","",IF(OR(G393="",AND(G393&gt;=Dashboard!$C$18,G393&lt;=Dashboard!$C$19)),1,0))</f>
        <v>1</v>
      </c>
      <c r="M393" s="24">
        <f>IF(AND(L393=1,OR(Dashboard!$C$13="All",A393=Dashboard!$C$13),OR(Dashboard!$C$14="All",B393=Dashboard!$C$14),OR(Dashboard!$C$15="All",C393=Dashboard!$C$15),OR(Dashboard!$C$16="All",K393=Dashboard!$C$16),OR(Dashboard!$C$17="All",J393=Dashboard!$C$17)),1,0)</f>
        <v>1</v>
      </c>
      <c r="N393" s="24">
        <f>IF(AND(L393=1,OR(Dashboard!$C$13="All",A393=Dashboard!$C$13),OR(Dashboard!$C$14="All",B393=Dashboard!$C$14),OR(Dashboard!$C$16="All",K393=Dashboard!$C$16),OR(Dashboard!$C$17="All",J393=Dashboard!$C$17)),1,0)</f>
        <v>1</v>
      </c>
      <c r="O393" s="24">
        <f>IF(AND(L393=1,OR(Dashboard!$C$13="All",A393=Dashboard!$C$13),OR(Dashboard!$C$15="All",C393=Dashboard!$C$15),OR(Dashboard!$C$16="All",K393=Dashboard!$C$16),OR(Dashboard!$C$17="All",J393=Dashboard!$C$17)),1,0)</f>
        <v>1</v>
      </c>
      <c r="P393" s="24">
        <f>IF(AND(L393=1,OR(Dashboard!$C$13="All",A393=Dashboard!$C$13),OR(Dashboard!$C$14="All",B393=Dashboard!$C$14),OR(Dashboard!$C$15="All",C393=Dashboard!$C$15),OR(Dashboard!$C$17="All",J393=Dashboard!$C$17)),1,0)</f>
        <v>1</v>
      </c>
      <c r="Q393" s="24">
        <f>IF(AND(L393=1,OR(Dashboard!$C$14="All",B393=Dashboard!$C$14),OR(Dashboard!$C$15="All",C393=Dashboard!$C$15),OR(Dashboard!$C$16="All",K393=Dashboard!$C$16),OR(Dashboard!$C$17="All",J393=Dashboard!$C$17)),1,0)</f>
        <v>1</v>
      </c>
      <c r="R393" s="24">
        <f>IF(AND(L393=1,OR(Dashboard!$C$13="All",A393=Dashboard!$C$13),OR(Dashboard!$C$14="All",B393=Dashboard!$C$14),OR(Dashboard!$C$15="All",C393=Dashboard!$C$15),OR(Dashboard!$C$16="All",K393=Dashboard!$C$16)),1,0)</f>
        <v>1</v>
      </c>
      <c r="S393" s="24">
        <f t="shared" si="3"/>
        <v>392</v>
      </c>
      <c r="V393" s="24" t="s">
        <v>618</v>
      </c>
    </row>
    <row r="394" ht="15.75" customHeight="1">
      <c r="A394" s="3" t="s">
        <v>387</v>
      </c>
      <c r="B394" s="4"/>
      <c r="C394" s="3" t="s">
        <v>79</v>
      </c>
      <c r="D394" s="4">
        <v>102.0</v>
      </c>
      <c r="E394" s="17">
        <v>245.0</v>
      </c>
      <c r="F394" s="5">
        <f t="shared" si="4"/>
        <v>24990</v>
      </c>
      <c r="G394" s="6">
        <v>46336.0</v>
      </c>
      <c r="H394" s="22">
        <v>3.0</v>
      </c>
      <c r="I394" s="7">
        <f t="shared" si="5"/>
        <v>46357</v>
      </c>
      <c r="J394" s="4" t="s">
        <v>25</v>
      </c>
      <c r="K394" s="4" t="s">
        <v>31</v>
      </c>
      <c r="L394" s="24">
        <f>IF(A394="","",IF(OR(G394="",AND(G394&gt;=Dashboard!$C$18,G394&lt;=Dashboard!$C$19)),1,0))</f>
        <v>1</v>
      </c>
      <c r="M394" s="24">
        <f>IF(AND(L394=1,OR(Dashboard!$C$13="All",A394=Dashboard!$C$13),OR(Dashboard!$C$14="All",B394=Dashboard!$C$14),OR(Dashboard!$C$15="All",C394=Dashboard!$C$15),OR(Dashboard!$C$16="All",K394=Dashboard!$C$16),OR(Dashboard!$C$17="All",J394=Dashboard!$C$17)),1,0)</f>
        <v>1</v>
      </c>
      <c r="N394" s="24">
        <f>IF(AND(L394=1,OR(Dashboard!$C$13="All",A394=Dashboard!$C$13),OR(Dashboard!$C$14="All",B394=Dashboard!$C$14),OR(Dashboard!$C$16="All",K394=Dashboard!$C$16),OR(Dashboard!$C$17="All",J394=Dashboard!$C$17)),1,0)</f>
        <v>1</v>
      </c>
      <c r="O394" s="24">
        <f>IF(AND(L394=1,OR(Dashboard!$C$13="All",A394=Dashboard!$C$13),OR(Dashboard!$C$15="All",C394=Dashboard!$C$15),OR(Dashboard!$C$16="All",K394=Dashboard!$C$16),OR(Dashboard!$C$17="All",J394=Dashboard!$C$17)),1,0)</f>
        <v>1</v>
      </c>
      <c r="P394" s="24">
        <f>IF(AND(L394=1,OR(Dashboard!$C$13="All",A394=Dashboard!$C$13),OR(Dashboard!$C$14="All",B394=Dashboard!$C$14),OR(Dashboard!$C$15="All",C394=Dashboard!$C$15),OR(Dashboard!$C$17="All",J394=Dashboard!$C$17)),1,0)</f>
        <v>1</v>
      </c>
      <c r="Q394" s="24">
        <f>IF(AND(L394=1,OR(Dashboard!$C$14="All",B394=Dashboard!$C$14),OR(Dashboard!$C$15="All",C394=Dashboard!$C$15),OR(Dashboard!$C$16="All",K394=Dashboard!$C$16),OR(Dashboard!$C$17="All",J394=Dashboard!$C$17)),1,0)</f>
        <v>1</v>
      </c>
      <c r="R394" s="24">
        <f>IF(AND(L394=1,OR(Dashboard!$C$13="All",A394=Dashboard!$C$13),OR(Dashboard!$C$14="All",B394=Dashboard!$C$14),OR(Dashboard!$C$15="All",C394=Dashboard!$C$15),OR(Dashboard!$C$16="All",K394=Dashboard!$C$16)),1,0)</f>
        <v>1</v>
      </c>
      <c r="S394" s="24">
        <f t="shared" si="3"/>
        <v>393</v>
      </c>
      <c r="V394" s="24" t="s">
        <v>667</v>
      </c>
    </row>
    <row r="395" ht="15.75" customHeight="1">
      <c r="A395" s="10" t="s">
        <v>387</v>
      </c>
      <c r="B395" s="13"/>
      <c r="C395" s="10" t="s">
        <v>643</v>
      </c>
      <c r="D395" s="13">
        <v>1.0</v>
      </c>
      <c r="E395" s="14">
        <v>2555.0</v>
      </c>
      <c r="F395" s="15">
        <f t="shared" si="4"/>
        <v>2555</v>
      </c>
      <c r="G395" s="6">
        <v>46337.0</v>
      </c>
      <c r="H395" s="22">
        <v>2.0</v>
      </c>
      <c r="I395" s="16">
        <f t="shared" si="5"/>
        <v>46351</v>
      </c>
      <c r="J395" s="13" t="s">
        <v>25</v>
      </c>
      <c r="K395" s="13" t="s">
        <v>31</v>
      </c>
      <c r="L395" s="24">
        <f>IF(A395="","",IF(OR(G395="",AND(G395&gt;=Dashboard!$C$18,G395&lt;=Dashboard!$C$19)),1,0))</f>
        <v>1</v>
      </c>
      <c r="M395" s="24">
        <f>IF(AND(L395=1,OR(Dashboard!$C$13="All",A395=Dashboard!$C$13),OR(Dashboard!$C$14="All",B395=Dashboard!$C$14),OR(Dashboard!$C$15="All",C395=Dashboard!$C$15),OR(Dashboard!$C$16="All",K395=Dashboard!$C$16),OR(Dashboard!$C$17="All",J395=Dashboard!$C$17)),1,0)</f>
        <v>1</v>
      </c>
      <c r="N395" s="24">
        <f>IF(AND(L395=1,OR(Dashboard!$C$13="All",A395=Dashboard!$C$13),OR(Dashboard!$C$14="All",B395=Dashboard!$C$14),OR(Dashboard!$C$16="All",K395=Dashboard!$C$16),OR(Dashboard!$C$17="All",J395=Dashboard!$C$17)),1,0)</f>
        <v>1</v>
      </c>
      <c r="O395" s="24">
        <f>IF(AND(L395=1,OR(Dashboard!$C$13="All",A395=Dashboard!$C$13),OR(Dashboard!$C$15="All",C395=Dashboard!$C$15),OR(Dashboard!$C$16="All",K395=Dashboard!$C$16),OR(Dashboard!$C$17="All",J395=Dashboard!$C$17)),1,0)</f>
        <v>1</v>
      </c>
      <c r="P395" s="24">
        <f>IF(AND(L395=1,OR(Dashboard!$C$13="All",A395=Dashboard!$C$13),OR(Dashboard!$C$14="All",B395=Dashboard!$C$14),OR(Dashboard!$C$15="All",C395=Dashboard!$C$15),OR(Dashboard!$C$17="All",J395=Dashboard!$C$17)),1,0)</f>
        <v>1</v>
      </c>
      <c r="Q395" s="24">
        <f>IF(AND(L395=1,OR(Dashboard!$C$14="All",B395=Dashboard!$C$14),OR(Dashboard!$C$15="All",C395=Dashboard!$C$15),OR(Dashboard!$C$16="All",K395=Dashboard!$C$16),OR(Dashboard!$C$17="All",J395=Dashboard!$C$17)),1,0)</f>
        <v>1</v>
      </c>
      <c r="R395" s="24">
        <f>IF(AND(L395=1,OR(Dashboard!$C$13="All",A395=Dashboard!$C$13),OR(Dashboard!$C$14="All",B395=Dashboard!$C$14),OR(Dashboard!$C$15="All",C395=Dashboard!$C$15),OR(Dashboard!$C$16="All",K395=Dashboard!$C$16)),1,0)</f>
        <v>1</v>
      </c>
      <c r="S395" s="24">
        <f t="shared" si="3"/>
        <v>394</v>
      </c>
      <c r="V395" s="24" t="s">
        <v>577</v>
      </c>
    </row>
    <row r="396" ht="15.75" customHeight="1">
      <c r="A396" s="3" t="s">
        <v>390</v>
      </c>
      <c r="B396" s="4"/>
      <c r="C396" s="3" t="s">
        <v>663</v>
      </c>
      <c r="D396" s="4">
        <v>1000.0</v>
      </c>
      <c r="E396" s="17">
        <v>255.0</v>
      </c>
      <c r="F396" s="5">
        <f t="shared" si="4"/>
        <v>255000</v>
      </c>
      <c r="G396" s="6">
        <v>46338.0</v>
      </c>
      <c r="H396" s="22">
        <v>6.0</v>
      </c>
      <c r="I396" s="7">
        <f t="shared" si="5"/>
        <v>46380</v>
      </c>
      <c r="J396" s="4" t="s">
        <v>25</v>
      </c>
      <c r="K396" s="4" t="s">
        <v>31</v>
      </c>
      <c r="L396" s="24">
        <f>IF(A396="","",IF(OR(G396="",AND(G396&gt;=Dashboard!$C$18,G396&lt;=Dashboard!$C$19)),1,0))</f>
        <v>1</v>
      </c>
      <c r="M396" s="24">
        <f>IF(AND(L396=1,OR(Dashboard!$C$13="All",A396=Dashboard!$C$13),OR(Dashboard!$C$14="All",B396=Dashboard!$C$14),OR(Dashboard!$C$15="All",C396=Dashboard!$C$15),OR(Dashboard!$C$16="All",K396=Dashboard!$C$16),OR(Dashboard!$C$17="All",J396=Dashboard!$C$17)),1,0)</f>
        <v>1</v>
      </c>
      <c r="N396" s="24">
        <f>IF(AND(L396=1,OR(Dashboard!$C$13="All",A396=Dashboard!$C$13),OR(Dashboard!$C$14="All",B396=Dashboard!$C$14),OR(Dashboard!$C$16="All",K396=Dashboard!$C$16),OR(Dashboard!$C$17="All",J396=Dashboard!$C$17)),1,0)</f>
        <v>1</v>
      </c>
      <c r="O396" s="24">
        <f>IF(AND(L396=1,OR(Dashboard!$C$13="All",A396=Dashboard!$C$13),OR(Dashboard!$C$15="All",C396=Dashboard!$C$15),OR(Dashboard!$C$16="All",K396=Dashboard!$C$16),OR(Dashboard!$C$17="All",J396=Dashboard!$C$17)),1,0)</f>
        <v>1</v>
      </c>
      <c r="P396" s="24">
        <f>IF(AND(L396=1,OR(Dashboard!$C$13="All",A396=Dashboard!$C$13),OR(Dashboard!$C$14="All",B396=Dashboard!$C$14),OR(Dashboard!$C$15="All",C396=Dashboard!$C$15),OR(Dashboard!$C$17="All",J396=Dashboard!$C$17)),1,0)</f>
        <v>1</v>
      </c>
      <c r="Q396" s="24">
        <f>IF(AND(L396=1,OR(Dashboard!$C$14="All",B396=Dashboard!$C$14),OR(Dashboard!$C$15="All",C396=Dashboard!$C$15),OR(Dashboard!$C$16="All",K396=Dashboard!$C$16),OR(Dashboard!$C$17="All",J396=Dashboard!$C$17)),1,0)</f>
        <v>1</v>
      </c>
      <c r="R396" s="24">
        <f>IF(AND(L396=1,OR(Dashboard!$C$13="All",A396=Dashboard!$C$13),OR(Dashboard!$C$14="All",B396=Dashboard!$C$14),OR(Dashboard!$C$15="All",C396=Dashboard!$C$15),OR(Dashboard!$C$16="All",K396=Dashboard!$C$16)),1,0)</f>
        <v>1</v>
      </c>
      <c r="S396" s="24">
        <f t="shared" si="3"/>
        <v>395</v>
      </c>
      <c r="V396" s="24" t="s">
        <v>576</v>
      </c>
    </row>
    <row r="397" ht="15.75" customHeight="1">
      <c r="A397" s="10" t="s">
        <v>154</v>
      </c>
      <c r="B397" s="13"/>
      <c r="C397" s="10" t="s">
        <v>132</v>
      </c>
      <c r="D397" s="13">
        <v>2000.0</v>
      </c>
      <c r="E397" s="14">
        <v>45.0</v>
      </c>
      <c r="F397" s="15">
        <f t="shared" si="4"/>
        <v>90000</v>
      </c>
      <c r="G397" s="6">
        <v>46339.0</v>
      </c>
      <c r="H397" s="22">
        <v>2.0</v>
      </c>
      <c r="I397" s="16">
        <f t="shared" si="5"/>
        <v>46353</v>
      </c>
      <c r="J397" s="13" t="s">
        <v>25</v>
      </c>
      <c r="K397" s="13" t="s">
        <v>31</v>
      </c>
      <c r="L397" s="24">
        <f>IF(A397="","",IF(OR(G397="",AND(G397&gt;=Dashboard!$C$18,G397&lt;=Dashboard!$C$19)),1,0))</f>
        <v>1</v>
      </c>
      <c r="M397" s="24">
        <f>IF(AND(L397=1,OR(Dashboard!$C$13="All",A397=Dashboard!$C$13),OR(Dashboard!$C$14="All",B397=Dashboard!$C$14),OR(Dashboard!$C$15="All",C397=Dashboard!$C$15),OR(Dashboard!$C$16="All",K397=Dashboard!$C$16),OR(Dashboard!$C$17="All",J397=Dashboard!$C$17)),1,0)</f>
        <v>1</v>
      </c>
      <c r="N397" s="24">
        <f>IF(AND(L397=1,OR(Dashboard!$C$13="All",A397=Dashboard!$C$13),OR(Dashboard!$C$14="All",B397=Dashboard!$C$14),OR(Dashboard!$C$16="All",K397=Dashboard!$C$16),OR(Dashboard!$C$17="All",J397=Dashboard!$C$17)),1,0)</f>
        <v>1</v>
      </c>
      <c r="O397" s="24">
        <f>IF(AND(L397=1,OR(Dashboard!$C$13="All",A397=Dashboard!$C$13),OR(Dashboard!$C$15="All",C397=Dashboard!$C$15),OR(Dashboard!$C$16="All",K397=Dashboard!$C$16),OR(Dashboard!$C$17="All",J397=Dashboard!$C$17)),1,0)</f>
        <v>1</v>
      </c>
      <c r="P397" s="24">
        <f>IF(AND(L397=1,OR(Dashboard!$C$13="All",A397=Dashboard!$C$13),OR(Dashboard!$C$14="All",B397=Dashboard!$C$14),OR(Dashboard!$C$15="All",C397=Dashboard!$C$15),OR(Dashboard!$C$17="All",J397=Dashboard!$C$17)),1,0)</f>
        <v>1</v>
      </c>
      <c r="Q397" s="24">
        <f>IF(AND(L397=1,OR(Dashboard!$C$14="All",B397=Dashboard!$C$14),OR(Dashboard!$C$15="All",C397=Dashboard!$C$15),OR(Dashboard!$C$16="All",K397=Dashboard!$C$16),OR(Dashboard!$C$17="All",J397=Dashboard!$C$17)),1,0)</f>
        <v>1</v>
      </c>
      <c r="R397" s="24">
        <f>IF(AND(L397=1,OR(Dashboard!$C$13="All",A397=Dashboard!$C$13),OR(Dashboard!$C$14="All",B397=Dashboard!$C$14),OR(Dashboard!$C$15="All",C397=Dashboard!$C$15),OR(Dashboard!$C$16="All",K397=Dashboard!$C$16)),1,0)</f>
        <v>1</v>
      </c>
      <c r="S397" s="24">
        <f t="shared" si="3"/>
        <v>396</v>
      </c>
      <c r="V397" s="24" t="s">
        <v>647</v>
      </c>
    </row>
    <row r="398" ht="15.75" customHeight="1">
      <c r="A398" s="3" t="s">
        <v>393</v>
      </c>
      <c r="B398" s="4"/>
      <c r="C398" s="3" t="s">
        <v>511</v>
      </c>
      <c r="D398" s="4">
        <v>3.0</v>
      </c>
      <c r="E398" s="17">
        <v>36.0</v>
      </c>
      <c r="F398" s="5">
        <f t="shared" si="4"/>
        <v>108</v>
      </c>
      <c r="G398" s="6">
        <v>46340.0</v>
      </c>
      <c r="H398" s="22">
        <v>5.0</v>
      </c>
      <c r="I398" s="7">
        <f t="shared" si="5"/>
        <v>46375</v>
      </c>
      <c r="J398" s="4" t="s">
        <v>25</v>
      </c>
      <c r="K398" s="4" t="s">
        <v>31</v>
      </c>
      <c r="L398" s="24">
        <f>IF(A398="","",IF(OR(G398="",AND(G398&gt;=Dashboard!$C$18,G398&lt;=Dashboard!$C$19)),1,0))</f>
        <v>1</v>
      </c>
      <c r="M398" s="24">
        <f>IF(AND(L398=1,OR(Dashboard!$C$13="All",A398=Dashboard!$C$13),OR(Dashboard!$C$14="All",B398=Dashboard!$C$14),OR(Dashboard!$C$15="All",C398=Dashboard!$C$15),OR(Dashboard!$C$16="All",K398=Dashboard!$C$16),OR(Dashboard!$C$17="All",J398=Dashboard!$C$17)),1,0)</f>
        <v>1</v>
      </c>
      <c r="N398" s="24">
        <f>IF(AND(L398=1,OR(Dashboard!$C$13="All",A398=Dashboard!$C$13),OR(Dashboard!$C$14="All",B398=Dashboard!$C$14),OR(Dashboard!$C$16="All",K398=Dashboard!$C$16),OR(Dashboard!$C$17="All",J398=Dashboard!$C$17)),1,0)</f>
        <v>1</v>
      </c>
      <c r="O398" s="24">
        <f>IF(AND(L398=1,OR(Dashboard!$C$13="All",A398=Dashboard!$C$13),OR(Dashboard!$C$15="All",C398=Dashboard!$C$15),OR(Dashboard!$C$16="All",K398=Dashboard!$C$16),OR(Dashboard!$C$17="All",J398=Dashboard!$C$17)),1,0)</f>
        <v>1</v>
      </c>
      <c r="P398" s="24">
        <f>IF(AND(L398=1,OR(Dashboard!$C$13="All",A398=Dashboard!$C$13),OR(Dashboard!$C$14="All",B398=Dashboard!$C$14),OR(Dashboard!$C$15="All",C398=Dashboard!$C$15),OR(Dashboard!$C$17="All",J398=Dashboard!$C$17)),1,0)</f>
        <v>1</v>
      </c>
      <c r="Q398" s="24">
        <f>IF(AND(L398=1,OR(Dashboard!$C$14="All",B398=Dashboard!$C$14),OR(Dashboard!$C$15="All",C398=Dashboard!$C$15),OR(Dashboard!$C$16="All",K398=Dashboard!$C$16),OR(Dashboard!$C$17="All",J398=Dashboard!$C$17)),1,0)</f>
        <v>1</v>
      </c>
      <c r="R398" s="24">
        <f>IF(AND(L398=1,OR(Dashboard!$C$13="All",A398=Dashboard!$C$13),OR(Dashboard!$C$14="All",B398=Dashboard!$C$14),OR(Dashboard!$C$15="All",C398=Dashboard!$C$15),OR(Dashboard!$C$16="All",K398=Dashboard!$C$16)),1,0)</f>
        <v>1</v>
      </c>
      <c r="S398" s="24">
        <f t="shared" si="3"/>
        <v>397</v>
      </c>
      <c r="V398" s="24" t="s">
        <v>652</v>
      </c>
    </row>
    <row r="399" ht="15.75" customHeight="1">
      <c r="A399" s="10" t="s">
        <v>393</v>
      </c>
      <c r="B399" s="13"/>
      <c r="C399" s="10" t="s">
        <v>200</v>
      </c>
      <c r="D399" s="13">
        <v>12.0</v>
      </c>
      <c r="E399" s="14">
        <v>96.0</v>
      </c>
      <c r="F399" s="15">
        <f t="shared" si="4"/>
        <v>1152</v>
      </c>
      <c r="G399" s="6">
        <v>46341.0</v>
      </c>
      <c r="H399" s="22">
        <v>6.0</v>
      </c>
      <c r="I399" s="16">
        <f t="shared" si="5"/>
        <v>46383</v>
      </c>
      <c r="J399" s="13" t="s">
        <v>25</v>
      </c>
      <c r="K399" s="13" t="s">
        <v>31</v>
      </c>
      <c r="L399" s="24">
        <f>IF(A399="","",IF(OR(G399="",AND(G399&gt;=Dashboard!$C$18,G399&lt;=Dashboard!$C$19)),1,0))</f>
        <v>1</v>
      </c>
      <c r="M399" s="24">
        <f>IF(AND(L399=1,OR(Dashboard!$C$13="All",A399=Dashboard!$C$13),OR(Dashboard!$C$14="All",B399=Dashboard!$C$14),OR(Dashboard!$C$15="All",C399=Dashboard!$C$15),OR(Dashboard!$C$16="All",K399=Dashboard!$C$16),OR(Dashboard!$C$17="All",J399=Dashboard!$C$17)),1,0)</f>
        <v>1</v>
      </c>
      <c r="N399" s="24">
        <f>IF(AND(L399=1,OR(Dashboard!$C$13="All",A399=Dashboard!$C$13),OR(Dashboard!$C$14="All",B399=Dashboard!$C$14),OR(Dashboard!$C$16="All",K399=Dashboard!$C$16),OR(Dashboard!$C$17="All",J399=Dashboard!$C$17)),1,0)</f>
        <v>1</v>
      </c>
      <c r="O399" s="24">
        <f>IF(AND(L399=1,OR(Dashboard!$C$13="All",A399=Dashboard!$C$13),OR(Dashboard!$C$15="All",C399=Dashboard!$C$15),OR(Dashboard!$C$16="All",K399=Dashboard!$C$16),OR(Dashboard!$C$17="All",J399=Dashboard!$C$17)),1,0)</f>
        <v>1</v>
      </c>
      <c r="P399" s="24">
        <f>IF(AND(L399=1,OR(Dashboard!$C$13="All",A399=Dashboard!$C$13),OR(Dashboard!$C$14="All",B399=Dashboard!$C$14),OR(Dashboard!$C$15="All",C399=Dashboard!$C$15),OR(Dashboard!$C$17="All",J399=Dashboard!$C$17)),1,0)</f>
        <v>1</v>
      </c>
      <c r="Q399" s="24">
        <f>IF(AND(L399=1,OR(Dashboard!$C$14="All",B399=Dashboard!$C$14),OR(Dashboard!$C$15="All",C399=Dashboard!$C$15),OR(Dashboard!$C$16="All",K399=Dashboard!$C$16),OR(Dashboard!$C$17="All",J399=Dashboard!$C$17)),1,0)</f>
        <v>1</v>
      </c>
      <c r="R399" s="24">
        <f>IF(AND(L399=1,OR(Dashboard!$C$13="All",A399=Dashboard!$C$13),OR(Dashboard!$C$14="All",B399=Dashboard!$C$14),OR(Dashboard!$C$15="All",C399=Dashboard!$C$15),OR(Dashboard!$C$16="All",K399=Dashboard!$C$16)),1,0)</f>
        <v>1</v>
      </c>
      <c r="S399" s="24">
        <f t="shared" si="3"/>
        <v>398</v>
      </c>
      <c r="V399" s="24" t="s">
        <v>595</v>
      </c>
    </row>
    <row r="400" ht="15.75" customHeight="1">
      <c r="A400" s="3" t="s">
        <v>354</v>
      </c>
      <c r="B400" s="4"/>
      <c r="C400" s="3" t="s">
        <v>40</v>
      </c>
      <c r="D400" s="4">
        <v>1.0</v>
      </c>
      <c r="E400" s="17">
        <v>8.0</v>
      </c>
      <c r="F400" s="5">
        <f t="shared" si="4"/>
        <v>8</v>
      </c>
      <c r="G400" s="6">
        <v>46342.0</v>
      </c>
      <c r="H400" s="22">
        <v>2.0</v>
      </c>
      <c r="I400" s="7">
        <f t="shared" si="5"/>
        <v>46356</v>
      </c>
      <c r="J400" s="4" t="s">
        <v>25</v>
      </c>
      <c r="K400" s="4" t="s">
        <v>31</v>
      </c>
      <c r="L400" s="24">
        <f>IF(A400="","",IF(OR(G400="",AND(G400&gt;=Dashboard!$C$18,G400&lt;=Dashboard!$C$19)),1,0))</f>
        <v>1</v>
      </c>
      <c r="M400" s="24">
        <f>IF(AND(L400=1,OR(Dashboard!$C$13="All",A400=Dashboard!$C$13),OR(Dashboard!$C$14="All",B400=Dashboard!$C$14),OR(Dashboard!$C$15="All",C400=Dashboard!$C$15),OR(Dashboard!$C$16="All",K400=Dashboard!$C$16),OR(Dashboard!$C$17="All",J400=Dashboard!$C$17)),1,0)</f>
        <v>1</v>
      </c>
      <c r="N400" s="24">
        <f>IF(AND(L400=1,OR(Dashboard!$C$13="All",A400=Dashboard!$C$13),OR(Dashboard!$C$14="All",B400=Dashboard!$C$14),OR(Dashboard!$C$16="All",K400=Dashboard!$C$16),OR(Dashboard!$C$17="All",J400=Dashboard!$C$17)),1,0)</f>
        <v>1</v>
      </c>
      <c r="O400" s="24">
        <f>IF(AND(L400=1,OR(Dashboard!$C$13="All",A400=Dashboard!$C$13),OR(Dashboard!$C$15="All",C400=Dashboard!$C$15),OR(Dashboard!$C$16="All",K400=Dashboard!$C$16),OR(Dashboard!$C$17="All",J400=Dashboard!$C$17)),1,0)</f>
        <v>1</v>
      </c>
      <c r="P400" s="24">
        <f>IF(AND(L400=1,OR(Dashboard!$C$13="All",A400=Dashboard!$C$13),OR(Dashboard!$C$14="All",B400=Dashboard!$C$14),OR(Dashboard!$C$15="All",C400=Dashboard!$C$15),OR(Dashboard!$C$17="All",J400=Dashboard!$C$17)),1,0)</f>
        <v>1</v>
      </c>
      <c r="Q400" s="24">
        <f>IF(AND(L400=1,OR(Dashboard!$C$14="All",B400=Dashboard!$C$14),OR(Dashboard!$C$15="All",C400=Dashboard!$C$15),OR(Dashboard!$C$16="All",K400=Dashboard!$C$16),OR(Dashboard!$C$17="All",J400=Dashboard!$C$17)),1,0)</f>
        <v>1</v>
      </c>
      <c r="R400" s="24">
        <f>IF(AND(L400=1,OR(Dashboard!$C$13="All",A400=Dashboard!$C$13),OR(Dashboard!$C$14="All",B400=Dashboard!$C$14),OR(Dashboard!$C$15="All",C400=Dashboard!$C$15),OR(Dashboard!$C$16="All",K400=Dashboard!$C$16)),1,0)</f>
        <v>1</v>
      </c>
      <c r="S400" s="24">
        <f t="shared" si="3"/>
        <v>399</v>
      </c>
      <c r="V400" s="24" t="s">
        <v>668</v>
      </c>
    </row>
    <row r="401" ht="15.75" customHeight="1">
      <c r="A401" s="10" t="s">
        <v>396</v>
      </c>
      <c r="B401" s="13"/>
      <c r="C401" s="10" t="s">
        <v>169</v>
      </c>
      <c r="D401" s="13">
        <v>1.0</v>
      </c>
      <c r="E401" s="14">
        <v>5.0</v>
      </c>
      <c r="F401" s="15">
        <f t="shared" si="4"/>
        <v>5</v>
      </c>
      <c r="G401" s="6">
        <v>46343.0</v>
      </c>
      <c r="H401" s="22">
        <v>2.0</v>
      </c>
      <c r="I401" s="16">
        <f t="shared" si="5"/>
        <v>46357</v>
      </c>
      <c r="J401" s="13" t="s">
        <v>25</v>
      </c>
      <c r="K401" s="13" t="s">
        <v>31</v>
      </c>
      <c r="L401" s="24">
        <f>IF(A401="","",IF(OR(G401="",AND(G401&gt;=Dashboard!$C$18,G401&lt;=Dashboard!$C$19)),1,0))</f>
        <v>1</v>
      </c>
      <c r="M401" s="24">
        <f>IF(AND(L401=1,OR(Dashboard!$C$13="All",A401=Dashboard!$C$13),OR(Dashboard!$C$14="All",B401=Dashboard!$C$14),OR(Dashboard!$C$15="All",C401=Dashboard!$C$15),OR(Dashboard!$C$16="All",K401=Dashboard!$C$16),OR(Dashboard!$C$17="All",J401=Dashboard!$C$17)),1,0)</f>
        <v>1</v>
      </c>
      <c r="N401" s="24">
        <f>IF(AND(L401=1,OR(Dashboard!$C$13="All",A401=Dashboard!$C$13),OR(Dashboard!$C$14="All",B401=Dashboard!$C$14),OR(Dashboard!$C$16="All",K401=Dashboard!$C$16),OR(Dashboard!$C$17="All",J401=Dashboard!$C$17)),1,0)</f>
        <v>1</v>
      </c>
      <c r="O401" s="24">
        <f>IF(AND(L401=1,OR(Dashboard!$C$13="All",A401=Dashboard!$C$13),OR(Dashboard!$C$15="All",C401=Dashboard!$C$15),OR(Dashboard!$C$16="All",K401=Dashboard!$C$16),OR(Dashboard!$C$17="All",J401=Dashboard!$C$17)),1,0)</f>
        <v>1</v>
      </c>
      <c r="P401" s="24">
        <f>IF(AND(L401=1,OR(Dashboard!$C$13="All",A401=Dashboard!$C$13),OR(Dashboard!$C$14="All",B401=Dashboard!$C$14),OR(Dashboard!$C$15="All",C401=Dashboard!$C$15),OR(Dashboard!$C$17="All",J401=Dashboard!$C$17)),1,0)</f>
        <v>1</v>
      </c>
      <c r="Q401" s="24">
        <f>IF(AND(L401=1,OR(Dashboard!$C$14="All",B401=Dashboard!$C$14),OR(Dashboard!$C$15="All",C401=Dashboard!$C$15),OR(Dashboard!$C$16="All",K401=Dashboard!$C$16),OR(Dashboard!$C$17="All",J401=Dashboard!$C$17)),1,0)</f>
        <v>1</v>
      </c>
      <c r="R401" s="24">
        <f>IF(AND(L401=1,OR(Dashboard!$C$13="All",A401=Dashboard!$C$13),OR(Dashboard!$C$14="All",B401=Dashboard!$C$14),OR(Dashboard!$C$15="All",C401=Dashboard!$C$15),OR(Dashboard!$C$16="All",K401=Dashboard!$C$16)),1,0)</f>
        <v>1</v>
      </c>
      <c r="S401" s="24">
        <f t="shared" si="3"/>
        <v>400</v>
      </c>
      <c r="V401" s="24" t="s">
        <v>316</v>
      </c>
    </row>
    <row r="402" ht="15.75" customHeight="1">
      <c r="A402" s="3" t="s">
        <v>396</v>
      </c>
      <c r="B402" s="4"/>
      <c r="C402" s="3" t="s">
        <v>667</v>
      </c>
      <c r="D402" s="4">
        <v>1.0</v>
      </c>
      <c r="E402" s="17">
        <v>4.0</v>
      </c>
      <c r="F402" s="5">
        <f t="shared" si="4"/>
        <v>4</v>
      </c>
      <c r="G402" s="6">
        <v>46144.0</v>
      </c>
      <c r="H402" s="22">
        <v>6.0</v>
      </c>
      <c r="I402" s="7">
        <f t="shared" si="5"/>
        <v>46186</v>
      </c>
      <c r="J402" s="4" t="s">
        <v>25</v>
      </c>
      <c r="K402" s="4" t="s">
        <v>31</v>
      </c>
      <c r="L402" s="24">
        <f>IF(A402="","",IF(OR(G402="",AND(G402&gt;=Dashboard!$C$18,G402&lt;=Dashboard!$C$19)),1,0))</f>
        <v>1</v>
      </c>
      <c r="M402" s="24">
        <f>IF(AND(L402=1,OR(Dashboard!$C$13="All",A402=Dashboard!$C$13),OR(Dashboard!$C$14="All",B402=Dashboard!$C$14),OR(Dashboard!$C$15="All",C402=Dashboard!$C$15),OR(Dashboard!$C$16="All",K402=Dashboard!$C$16),OR(Dashboard!$C$17="All",J402=Dashboard!$C$17)),1,0)</f>
        <v>1</v>
      </c>
      <c r="N402" s="24">
        <f>IF(AND(L402=1,OR(Dashboard!$C$13="All",A402=Dashboard!$C$13),OR(Dashboard!$C$14="All",B402=Dashboard!$C$14),OR(Dashboard!$C$16="All",K402=Dashboard!$C$16),OR(Dashboard!$C$17="All",J402=Dashboard!$C$17)),1,0)</f>
        <v>1</v>
      </c>
      <c r="O402" s="24">
        <f>IF(AND(L402=1,OR(Dashboard!$C$13="All",A402=Dashboard!$C$13),OR(Dashboard!$C$15="All",C402=Dashboard!$C$15),OR(Dashboard!$C$16="All",K402=Dashboard!$C$16),OR(Dashboard!$C$17="All",J402=Dashboard!$C$17)),1,0)</f>
        <v>1</v>
      </c>
      <c r="P402" s="24">
        <f>IF(AND(L402=1,OR(Dashboard!$C$13="All",A402=Dashboard!$C$13),OR(Dashboard!$C$14="All",B402=Dashboard!$C$14),OR(Dashboard!$C$15="All",C402=Dashboard!$C$15),OR(Dashboard!$C$17="All",J402=Dashboard!$C$17)),1,0)</f>
        <v>1</v>
      </c>
      <c r="Q402" s="24">
        <f>IF(AND(L402=1,OR(Dashboard!$C$14="All",B402=Dashboard!$C$14),OR(Dashboard!$C$15="All",C402=Dashboard!$C$15),OR(Dashboard!$C$16="All",K402=Dashboard!$C$16),OR(Dashboard!$C$17="All",J402=Dashboard!$C$17)),1,0)</f>
        <v>1</v>
      </c>
      <c r="R402" s="24">
        <f>IF(AND(L402=1,OR(Dashboard!$C$13="All",A402=Dashboard!$C$13),OR(Dashboard!$C$14="All",B402=Dashboard!$C$14),OR(Dashboard!$C$15="All",C402=Dashboard!$C$15),OR(Dashboard!$C$16="All",K402=Dashboard!$C$16)),1,0)</f>
        <v>1</v>
      </c>
      <c r="S402" s="24">
        <f t="shared" si="3"/>
        <v>401</v>
      </c>
      <c r="V402" s="24" t="s">
        <v>651</v>
      </c>
    </row>
    <row r="403" ht="15.75" customHeight="1">
      <c r="A403" s="10" t="s">
        <v>396</v>
      </c>
      <c r="B403" s="13"/>
      <c r="C403" s="10" t="s">
        <v>634</v>
      </c>
      <c r="D403" s="13">
        <v>3.0</v>
      </c>
      <c r="E403" s="14">
        <v>2.0</v>
      </c>
      <c r="F403" s="15">
        <f t="shared" si="4"/>
        <v>6</v>
      </c>
      <c r="G403" s="6">
        <v>46145.0</v>
      </c>
      <c r="H403" s="22">
        <v>4.0</v>
      </c>
      <c r="I403" s="16">
        <f t="shared" si="5"/>
        <v>46173</v>
      </c>
      <c r="J403" s="13" t="s">
        <v>25</v>
      </c>
      <c r="K403" s="13" t="s">
        <v>31</v>
      </c>
      <c r="L403" s="24">
        <f>IF(A403="","",IF(OR(G403="",AND(G403&gt;=Dashboard!$C$18,G403&lt;=Dashboard!$C$19)),1,0))</f>
        <v>1</v>
      </c>
      <c r="M403" s="24">
        <f>IF(AND(L403=1,OR(Dashboard!$C$13="All",A403=Dashboard!$C$13),OR(Dashboard!$C$14="All",B403=Dashboard!$C$14),OR(Dashboard!$C$15="All",C403=Dashboard!$C$15),OR(Dashboard!$C$16="All",K403=Dashboard!$C$16),OR(Dashboard!$C$17="All",J403=Dashboard!$C$17)),1,0)</f>
        <v>1</v>
      </c>
      <c r="N403" s="24">
        <f>IF(AND(L403=1,OR(Dashboard!$C$13="All",A403=Dashboard!$C$13),OR(Dashboard!$C$14="All",B403=Dashboard!$C$14),OR(Dashboard!$C$16="All",K403=Dashboard!$C$16),OR(Dashboard!$C$17="All",J403=Dashboard!$C$17)),1,0)</f>
        <v>1</v>
      </c>
      <c r="O403" s="24">
        <f>IF(AND(L403=1,OR(Dashboard!$C$13="All",A403=Dashboard!$C$13),OR(Dashboard!$C$15="All",C403=Dashboard!$C$15),OR(Dashboard!$C$16="All",K403=Dashboard!$C$16),OR(Dashboard!$C$17="All",J403=Dashboard!$C$17)),1,0)</f>
        <v>1</v>
      </c>
      <c r="P403" s="24">
        <f>IF(AND(L403=1,OR(Dashboard!$C$13="All",A403=Dashboard!$C$13),OR(Dashboard!$C$14="All",B403=Dashboard!$C$14),OR(Dashboard!$C$15="All",C403=Dashboard!$C$15),OR(Dashboard!$C$17="All",J403=Dashboard!$C$17)),1,0)</f>
        <v>1</v>
      </c>
      <c r="Q403" s="24">
        <f>IF(AND(L403=1,OR(Dashboard!$C$14="All",B403=Dashboard!$C$14),OR(Dashboard!$C$15="All",C403=Dashboard!$C$15),OR(Dashboard!$C$16="All",K403=Dashboard!$C$16),OR(Dashboard!$C$17="All",J403=Dashboard!$C$17)),1,0)</f>
        <v>1</v>
      </c>
      <c r="R403" s="24">
        <f>IF(AND(L403=1,OR(Dashboard!$C$13="All",A403=Dashboard!$C$13),OR(Dashboard!$C$14="All",B403=Dashboard!$C$14),OR(Dashboard!$C$15="All",C403=Dashboard!$C$15),OR(Dashboard!$C$16="All",K403=Dashboard!$C$16)),1,0)</f>
        <v>1</v>
      </c>
      <c r="S403" s="24">
        <f t="shared" si="3"/>
        <v>402</v>
      </c>
    </row>
    <row r="404" ht="15.75" customHeight="1">
      <c r="A404" s="3" t="s">
        <v>396</v>
      </c>
      <c r="B404" s="4"/>
      <c r="C404" s="3" t="s">
        <v>135</v>
      </c>
      <c r="D404" s="4">
        <v>2.0</v>
      </c>
      <c r="E404" s="17">
        <v>36.0</v>
      </c>
      <c r="F404" s="5">
        <f t="shared" si="4"/>
        <v>72</v>
      </c>
      <c r="G404" s="6">
        <v>46146.0</v>
      </c>
      <c r="H404" s="22">
        <v>4.0</v>
      </c>
      <c r="I404" s="7">
        <f t="shared" si="5"/>
        <v>46174</v>
      </c>
      <c r="J404" s="4" t="s">
        <v>25</v>
      </c>
      <c r="K404" s="4" t="s">
        <v>31</v>
      </c>
      <c r="L404" s="24">
        <f>IF(A404="","",IF(OR(G404="",AND(G404&gt;=Dashboard!$C$18,G404&lt;=Dashboard!$C$19)),1,0))</f>
        <v>1</v>
      </c>
      <c r="M404" s="24">
        <f>IF(AND(L404=1,OR(Dashboard!$C$13="All",A404=Dashboard!$C$13),OR(Dashboard!$C$14="All",B404=Dashboard!$C$14),OR(Dashboard!$C$15="All",C404=Dashboard!$C$15),OR(Dashboard!$C$16="All",K404=Dashboard!$C$16),OR(Dashboard!$C$17="All",J404=Dashboard!$C$17)),1,0)</f>
        <v>1</v>
      </c>
      <c r="N404" s="24">
        <f>IF(AND(L404=1,OR(Dashboard!$C$13="All",A404=Dashboard!$C$13),OR(Dashboard!$C$14="All",B404=Dashboard!$C$14),OR(Dashboard!$C$16="All",K404=Dashboard!$C$16),OR(Dashboard!$C$17="All",J404=Dashboard!$C$17)),1,0)</f>
        <v>1</v>
      </c>
      <c r="O404" s="24">
        <f>IF(AND(L404=1,OR(Dashboard!$C$13="All",A404=Dashboard!$C$13),OR(Dashboard!$C$15="All",C404=Dashboard!$C$15),OR(Dashboard!$C$16="All",K404=Dashboard!$C$16),OR(Dashboard!$C$17="All",J404=Dashboard!$C$17)),1,0)</f>
        <v>1</v>
      </c>
      <c r="P404" s="24">
        <f>IF(AND(L404=1,OR(Dashboard!$C$13="All",A404=Dashboard!$C$13),OR(Dashboard!$C$14="All",B404=Dashboard!$C$14),OR(Dashboard!$C$15="All",C404=Dashboard!$C$15),OR(Dashboard!$C$17="All",J404=Dashboard!$C$17)),1,0)</f>
        <v>1</v>
      </c>
      <c r="Q404" s="24">
        <f>IF(AND(L404=1,OR(Dashboard!$C$14="All",B404=Dashboard!$C$14),OR(Dashboard!$C$15="All",C404=Dashboard!$C$15),OR(Dashboard!$C$16="All",K404=Dashboard!$C$16),OR(Dashboard!$C$17="All",J404=Dashboard!$C$17)),1,0)</f>
        <v>1</v>
      </c>
      <c r="R404" s="24">
        <f>IF(AND(L404=1,OR(Dashboard!$C$13="All",A404=Dashboard!$C$13),OR(Dashboard!$C$14="All",B404=Dashboard!$C$14),OR(Dashboard!$C$15="All",C404=Dashboard!$C$15),OR(Dashboard!$C$16="All",K404=Dashboard!$C$16)),1,0)</f>
        <v>1</v>
      </c>
      <c r="S404" s="24">
        <f t="shared" si="3"/>
        <v>403</v>
      </c>
    </row>
    <row r="405" ht="15.75" customHeight="1">
      <c r="A405" s="10" t="s">
        <v>259</v>
      </c>
      <c r="B405" s="13"/>
      <c r="C405" s="10" t="s">
        <v>630</v>
      </c>
      <c r="D405" s="13">
        <v>1.0</v>
      </c>
      <c r="E405" s="5">
        <v>2.0</v>
      </c>
      <c r="F405" s="15">
        <f t="shared" si="4"/>
        <v>2</v>
      </c>
      <c r="G405" s="6">
        <v>46147.0</v>
      </c>
      <c r="H405" s="22">
        <v>4.0</v>
      </c>
      <c r="I405" s="16">
        <f t="shared" si="5"/>
        <v>46175</v>
      </c>
      <c r="J405" s="13" t="s">
        <v>25</v>
      </c>
      <c r="K405" s="13" t="s">
        <v>31</v>
      </c>
      <c r="L405" s="24">
        <f>IF(A405="","",IF(OR(G405="",AND(G405&gt;=Dashboard!$C$18,G405&lt;=Dashboard!$C$19)),1,0))</f>
        <v>1</v>
      </c>
      <c r="M405" s="24">
        <f>IF(AND(L405=1,OR(Dashboard!$C$13="All",A405=Dashboard!$C$13),OR(Dashboard!$C$14="All",B405=Dashboard!$C$14),OR(Dashboard!$C$15="All",C405=Dashboard!$C$15),OR(Dashboard!$C$16="All",K405=Dashboard!$C$16),OR(Dashboard!$C$17="All",J405=Dashboard!$C$17)),1,0)</f>
        <v>1</v>
      </c>
      <c r="N405" s="24">
        <f>IF(AND(L405=1,OR(Dashboard!$C$13="All",A405=Dashboard!$C$13),OR(Dashboard!$C$14="All",B405=Dashboard!$C$14),OR(Dashboard!$C$16="All",K405=Dashboard!$C$16),OR(Dashboard!$C$17="All",J405=Dashboard!$C$17)),1,0)</f>
        <v>1</v>
      </c>
      <c r="O405" s="24">
        <f>IF(AND(L405=1,OR(Dashboard!$C$13="All",A405=Dashboard!$C$13),OR(Dashboard!$C$15="All",C405=Dashboard!$C$15),OR(Dashboard!$C$16="All",K405=Dashboard!$C$16),OR(Dashboard!$C$17="All",J405=Dashboard!$C$17)),1,0)</f>
        <v>1</v>
      </c>
      <c r="P405" s="24">
        <f>IF(AND(L405=1,OR(Dashboard!$C$13="All",A405=Dashboard!$C$13),OR(Dashboard!$C$14="All",B405=Dashboard!$C$14),OR(Dashboard!$C$15="All",C405=Dashboard!$C$15),OR(Dashboard!$C$17="All",J405=Dashboard!$C$17)),1,0)</f>
        <v>1</v>
      </c>
      <c r="Q405" s="24">
        <f>IF(AND(L405=1,OR(Dashboard!$C$14="All",B405=Dashboard!$C$14),OR(Dashboard!$C$15="All",C405=Dashboard!$C$15),OR(Dashboard!$C$16="All",K405=Dashboard!$C$16),OR(Dashboard!$C$17="All",J405=Dashboard!$C$17)),1,0)</f>
        <v>1</v>
      </c>
      <c r="R405" s="24">
        <f>IF(AND(L405=1,OR(Dashboard!$C$13="All",A405=Dashboard!$C$13),OR(Dashboard!$C$14="All",B405=Dashboard!$C$14),OR(Dashboard!$C$15="All",C405=Dashboard!$C$15),OR(Dashboard!$C$16="All",K405=Dashboard!$C$16)),1,0)</f>
        <v>1</v>
      </c>
      <c r="S405" s="24">
        <f t="shared" si="3"/>
        <v>404</v>
      </c>
    </row>
    <row r="406" ht="15.75" customHeight="1">
      <c r="A406" s="3">
        <v>57357.0</v>
      </c>
      <c r="B406" s="4"/>
      <c r="C406" s="3" t="s">
        <v>55</v>
      </c>
      <c r="D406" s="4">
        <v>10000.0</v>
      </c>
      <c r="E406" s="14">
        <v>5.0</v>
      </c>
      <c r="F406" s="5">
        <f t="shared" si="4"/>
        <v>50000</v>
      </c>
      <c r="G406" s="6">
        <v>46148.0</v>
      </c>
      <c r="H406" s="22">
        <v>4.0</v>
      </c>
      <c r="I406" s="7">
        <f t="shared" si="5"/>
        <v>46176</v>
      </c>
      <c r="J406" s="4" t="s">
        <v>25</v>
      </c>
      <c r="K406" s="4" t="s">
        <v>31</v>
      </c>
      <c r="L406" s="24">
        <f>IF(A406="","",IF(OR(G406="",AND(G406&gt;=Dashboard!$C$18,G406&lt;=Dashboard!$C$19)),1,0))</f>
        <v>1</v>
      </c>
      <c r="M406" s="24">
        <f>IF(AND(L406=1,OR(Dashboard!$C$13="All",A406=Dashboard!$C$13),OR(Dashboard!$C$14="All",B406=Dashboard!$C$14),OR(Dashboard!$C$15="All",C406=Dashboard!$C$15),OR(Dashboard!$C$16="All",K406=Dashboard!$C$16),OR(Dashboard!$C$17="All",J406=Dashboard!$C$17)),1,0)</f>
        <v>1</v>
      </c>
      <c r="N406" s="24">
        <f>IF(AND(L406=1,OR(Dashboard!$C$13="All",A406=Dashboard!$C$13),OR(Dashboard!$C$14="All",B406=Dashboard!$C$14),OR(Dashboard!$C$16="All",K406=Dashboard!$C$16),OR(Dashboard!$C$17="All",J406=Dashboard!$C$17)),1,0)</f>
        <v>1</v>
      </c>
      <c r="O406" s="24">
        <f>IF(AND(L406=1,OR(Dashboard!$C$13="All",A406=Dashboard!$C$13),OR(Dashboard!$C$15="All",C406=Dashboard!$C$15),OR(Dashboard!$C$16="All",K406=Dashboard!$C$16),OR(Dashboard!$C$17="All",J406=Dashboard!$C$17)),1,0)</f>
        <v>1</v>
      </c>
      <c r="P406" s="24">
        <f>IF(AND(L406=1,OR(Dashboard!$C$13="All",A406=Dashboard!$C$13),OR(Dashboard!$C$14="All",B406=Dashboard!$C$14),OR(Dashboard!$C$15="All",C406=Dashboard!$C$15),OR(Dashboard!$C$17="All",J406=Dashboard!$C$17)),1,0)</f>
        <v>1</v>
      </c>
      <c r="Q406" s="24">
        <f>IF(AND(L406=1,OR(Dashboard!$C$14="All",B406=Dashboard!$C$14),OR(Dashboard!$C$15="All",C406=Dashboard!$C$15),OR(Dashboard!$C$16="All",K406=Dashboard!$C$16),OR(Dashboard!$C$17="All",J406=Dashboard!$C$17)),1,0)</f>
        <v>1</v>
      </c>
      <c r="R406" s="24">
        <f>IF(AND(L406=1,OR(Dashboard!$C$13="All",A406=Dashboard!$C$13),OR(Dashboard!$C$14="All",B406=Dashboard!$C$14),OR(Dashboard!$C$15="All",C406=Dashboard!$C$15),OR(Dashboard!$C$16="All",K406=Dashboard!$C$16)),1,0)</f>
        <v>1</v>
      </c>
      <c r="S406" s="24">
        <f t="shared" si="3"/>
        <v>405</v>
      </c>
    </row>
    <row r="407" ht="15.75" customHeight="1">
      <c r="A407" s="10">
        <v>57357.0</v>
      </c>
      <c r="B407" s="13"/>
      <c r="C407" s="10" t="s">
        <v>619</v>
      </c>
      <c r="D407" s="13">
        <v>2000.0</v>
      </c>
      <c r="E407" s="17">
        <v>6.0</v>
      </c>
      <c r="F407" s="15">
        <f t="shared" si="4"/>
        <v>12000</v>
      </c>
      <c r="G407" s="6">
        <v>46149.0</v>
      </c>
      <c r="H407" s="22">
        <v>4.0</v>
      </c>
      <c r="I407" s="16">
        <f t="shared" si="5"/>
        <v>46177</v>
      </c>
      <c r="J407" s="13" t="s">
        <v>25</v>
      </c>
      <c r="K407" s="13" t="s">
        <v>31</v>
      </c>
      <c r="L407" s="24">
        <f>IF(A407="","",IF(OR(G407="",AND(G407&gt;=Dashboard!$C$18,G407&lt;=Dashboard!$C$19)),1,0))</f>
        <v>1</v>
      </c>
      <c r="M407" s="24">
        <f>IF(AND(L407=1,OR(Dashboard!$C$13="All",A407=Dashboard!$C$13),OR(Dashboard!$C$14="All",B407=Dashboard!$C$14),OR(Dashboard!$C$15="All",C407=Dashboard!$C$15),OR(Dashboard!$C$16="All",K407=Dashboard!$C$16),OR(Dashboard!$C$17="All",J407=Dashboard!$C$17)),1,0)</f>
        <v>1</v>
      </c>
      <c r="N407" s="24">
        <f>IF(AND(L407=1,OR(Dashboard!$C$13="All",A407=Dashboard!$C$13),OR(Dashboard!$C$14="All",B407=Dashboard!$C$14),OR(Dashboard!$C$16="All",K407=Dashboard!$C$16),OR(Dashboard!$C$17="All",J407=Dashboard!$C$17)),1,0)</f>
        <v>1</v>
      </c>
      <c r="O407" s="24">
        <f>IF(AND(L407=1,OR(Dashboard!$C$13="All",A407=Dashboard!$C$13),OR(Dashboard!$C$15="All",C407=Dashboard!$C$15),OR(Dashboard!$C$16="All",K407=Dashboard!$C$16),OR(Dashboard!$C$17="All",J407=Dashboard!$C$17)),1,0)</f>
        <v>1</v>
      </c>
      <c r="P407" s="24">
        <f>IF(AND(L407=1,OR(Dashboard!$C$13="All",A407=Dashboard!$C$13),OR(Dashboard!$C$14="All",B407=Dashboard!$C$14),OR(Dashboard!$C$15="All",C407=Dashboard!$C$15),OR(Dashboard!$C$17="All",J407=Dashboard!$C$17)),1,0)</f>
        <v>1</v>
      </c>
      <c r="Q407" s="24">
        <f>IF(AND(L407=1,OR(Dashboard!$C$14="All",B407=Dashboard!$C$14),OR(Dashboard!$C$15="All",C407=Dashboard!$C$15),OR(Dashboard!$C$16="All",K407=Dashboard!$C$16),OR(Dashboard!$C$17="All",J407=Dashboard!$C$17)),1,0)</f>
        <v>1</v>
      </c>
      <c r="R407" s="24">
        <f>IF(AND(L407=1,OR(Dashboard!$C$13="All",A407=Dashboard!$C$13),OR(Dashboard!$C$14="All",B407=Dashboard!$C$14),OR(Dashboard!$C$15="All",C407=Dashboard!$C$15),OR(Dashboard!$C$16="All",K407=Dashboard!$C$16)),1,0)</f>
        <v>1</v>
      </c>
      <c r="S407" s="24">
        <f t="shared" si="3"/>
        <v>406</v>
      </c>
    </row>
    <row r="408" ht="15.75" customHeight="1">
      <c r="A408" s="3">
        <v>57357.0</v>
      </c>
      <c r="B408" s="4"/>
      <c r="C408" s="3" t="s">
        <v>138</v>
      </c>
      <c r="D408" s="4">
        <v>500.0</v>
      </c>
      <c r="E408" s="14">
        <v>7.0</v>
      </c>
      <c r="F408" s="5">
        <f t="shared" si="4"/>
        <v>3500</v>
      </c>
      <c r="G408" s="6">
        <v>46150.0</v>
      </c>
      <c r="H408" s="22">
        <v>4.0</v>
      </c>
      <c r="I408" s="7">
        <f t="shared" si="5"/>
        <v>46178</v>
      </c>
      <c r="J408" s="4" t="s">
        <v>25</v>
      </c>
      <c r="K408" s="4" t="s">
        <v>31</v>
      </c>
      <c r="L408" s="24">
        <f>IF(A408="","",IF(OR(G408="",AND(G408&gt;=Dashboard!$C$18,G408&lt;=Dashboard!$C$19)),1,0))</f>
        <v>1</v>
      </c>
      <c r="M408" s="24">
        <f>IF(AND(L408=1,OR(Dashboard!$C$13="All",A408=Dashboard!$C$13),OR(Dashboard!$C$14="All",B408=Dashboard!$C$14),OR(Dashboard!$C$15="All",C408=Dashboard!$C$15),OR(Dashboard!$C$16="All",K408=Dashboard!$C$16),OR(Dashboard!$C$17="All",J408=Dashboard!$C$17)),1,0)</f>
        <v>1</v>
      </c>
      <c r="N408" s="24">
        <f>IF(AND(L408=1,OR(Dashboard!$C$13="All",A408=Dashboard!$C$13),OR(Dashboard!$C$14="All",B408=Dashboard!$C$14),OR(Dashboard!$C$16="All",K408=Dashboard!$C$16),OR(Dashboard!$C$17="All",J408=Dashboard!$C$17)),1,0)</f>
        <v>1</v>
      </c>
      <c r="O408" s="24">
        <f>IF(AND(L408=1,OR(Dashboard!$C$13="All",A408=Dashboard!$C$13),OR(Dashboard!$C$15="All",C408=Dashboard!$C$15),OR(Dashboard!$C$16="All",K408=Dashboard!$C$16),OR(Dashboard!$C$17="All",J408=Dashboard!$C$17)),1,0)</f>
        <v>1</v>
      </c>
      <c r="P408" s="24">
        <f>IF(AND(L408=1,OR(Dashboard!$C$13="All",A408=Dashboard!$C$13),OR(Dashboard!$C$14="All",B408=Dashboard!$C$14),OR(Dashboard!$C$15="All",C408=Dashboard!$C$15),OR(Dashboard!$C$17="All",J408=Dashboard!$C$17)),1,0)</f>
        <v>1</v>
      </c>
      <c r="Q408" s="24">
        <f>IF(AND(L408=1,OR(Dashboard!$C$14="All",B408=Dashboard!$C$14),OR(Dashboard!$C$15="All",C408=Dashboard!$C$15),OR(Dashboard!$C$16="All",K408=Dashboard!$C$16),OR(Dashboard!$C$17="All",J408=Dashboard!$C$17)),1,0)</f>
        <v>1</v>
      </c>
      <c r="R408" s="24">
        <f>IF(AND(L408=1,OR(Dashboard!$C$13="All",A408=Dashboard!$C$13),OR(Dashboard!$C$14="All",B408=Dashboard!$C$14),OR(Dashboard!$C$15="All",C408=Dashboard!$C$15),OR(Dashboard!$C$16="All",K408=Dashboard!$C$16)),1,0)</f>
        <v>1</v>
      </c>
      <c r="S408" s="24">
        <f t="shared" si="3"/>
        <v>407</v>
      </c>
    </row>
    <row r="409" ht="15.75" customHeight="1">
      <c r="A409" s="10">
        <v>57357.0</v>
      </c>
      <c r="B409" s="13"/>
      <c r="C409" s="10" t="s">
        <v>609</v>
      </c>
      <c r="D409" s="13">
        <v>1.0</v>
      </c>
      <c r="E409" s="17">
        <v>8.0</v>
      </c>
      <c r="F409" s="15">
        <f t="shared" si="4"/>
        <v>8</v>
      </c>
      <c r="G409" s="6">
        <v>46151.0</v>
      </c>
      <c r="H409" s="22">
        <v>4.0</v>
      </c>
      <c r="I409" s="16">
        <f t="shared" si="5"/>
        <v>46179</v>
      </c>
      <c r="J409" s="13" t="s">
        <v>25</v>
      </c>
      <c r="K409" s="13" t="s">
        <v>31</v>
      </c>
      <c r="L409" s="24">
        <f>IF(A409="","",IF(OR(G409="",AND(G409&gt;=Dashboard!$C$18,G409&lt;=Dashboard!$C$19)),1,0))</f>
        <v>1</v>
      </c>
      <c r="M409" s="24">
        <f>IF(AND(L409=1,OR(Dashboard!$C$13="All",A409=Dashboard!$C$13),OR(Dashboard!$C$14="All",B409=Dashboard!$C$14),OR(Dashboard!$C$15="All",C409=Dashboard!$C$15),OR(Dashboard!$C$16="All",K409=Dashboard!$C$16),OR(Dashboard!$C$17="All",J409=Dashboard!$C$17)),1,0)</f>
        <v>1</v>
      </c>
      <c r="N409" s="24">
        <f>IF(AND(L409=1,OR(Dashboard!$C$13="All",A409=Dashboard!$C$13),OR(Dashboard!$C$14="All",B409=Dashboard!$C$14),OR(Dashboard!$C$16="All",K409=Dashboard!$C$16),OR(Dashboard!$C$17="All",J409=Dashboard!$C$17)),1,0)</f>
        <v>1</v>
      </c>
      <c r="O409" s="24">
        <f>IF(AND(L409=1,OR(Dashboard!$C$13="All",A409=Dashboard!$C$13),OR(Dashboard!$C$15="All",C409=Dashboard!$C$15),OR(Dashboard!$C$16="All",K409=Dashboard!$C$16),OR(Dashboard!$C$17="All",J409=Dashboard!$C$17)),1,0)</f>
        <v>1</v>
      </c>
      <c r="P409" s="24">
        <f>IF(AND(L409=1,OR(Dashboard!$C$13="All",A409=Dashboard!$C$13),OR(Dashboard!$C$14="All",B409=Dashboard!$C$14),OR(Dashboard!$C$15="All",C409=Dashboard!$C$15),OR(Dashboard!$C$17="All",J409=Dashboard!$C$17)),1,0)</f>
        <v>1</v>
      </c>
      <c r="Q409" s="24">
        <f>IF(AND(L409=1,OR(Dashboard!$C$14="All",B409=Dashboard!$C$14),OR(Dashboard!$C$15="All",C409=Dashboard!$C$15),OR(Dashboard!$C$16="All",K409=Dashboard!$C$16),OR(Dashboard!$C$17="All",J409=Dashboard!$C$17)),1,0)</f>
        <v>1</v>
      </c>
      <c r="R409" s="24">
        <f>IF(AND(L409=1,OR(Dashboard!$C$13="All",A409=Dashboard!$C$13),OR(Dashboard!$C$14="All",B409=Dashboard!$C$14),OR(Dashboard!$C$15="All",C409=Dashboard!$C$15),OR(Dashboard!$C$16="All",K409=Dashboard!$C$16)),1,0)</f>
        <v>1</v>
      </c>
      <c r="S409" s="24">
        <f t="shared" si="3"/>
        <v>408</v>
      </c>
    </row>
    <row r="410" ht="15.75" customHeight="1">
      <c r="A410" s="3">
        <v>57357.0</v>
      </c>
      <c r="B410" s="4"/>
      <c r="C410" s="3" t="s">
        <v>635</v>
      </c>
      <c r="D410" s="4">
        <v>1.0</v>
      </c>
      <c r="E410" s="14">
        <v>2.0</v>
      </c>
      <c r="F410" s="5">
        <f t="shared" si="4"/>
        <v>2</v>
      </c>
      <c r="G410" s="6">
        <v>46152.0</v>
      </c>
      <c r="H410" s="22">
        <v>4.0</v>
      </c>
      <c r="I410" s="7">
        <f t="shared" si="5"/>
        <v>46180</v>
      </c>
      <c r="J410" s="4" t="s">
        <v>25</v>
      </c>
      <c r="K410" s="4" t="s">
        <v>31</v>
      </c>
      <c r="L410" s="24">
        <f>IF(A410="","",IF(OR(G410="",AND(G410&gt;=Dashboard!$C$18,G410&lt;=Dashboard!$C$19)),1,0))</f>
        <v>1</v>
      </c>
      <c r="M410" s="24">
        <f>IF(AND(L410=1,OR(Dashboard!$C$13="All",A410=Dashboard!$C$13),OR(Dashboard!$C$14="All",B410=Dashboard!$C$14),OR(Dashboard!$C$15="All",C410=Dashboard!$C$15),OR(Dashboard!$C$16="All",K410=Dashboard!$C$16),OR(Dashboard!$C$17="All",J410=Dashboard!$C$17)),1,0)</f>
        <v>1</v>
      </c>
      <c r="N410" s="24">
        <f>IF(AND(L410=1,OR(Dashboard!$C$13="All",A410=Dashboard!$C$13),OR(Dashboard!$C$14="All",B410=Dashboard!$C$14),OR(Dashboard!$C$16="All",K410=Dashboard!$C$16),OR(Dashboard!$C$17="All",J410=Dashboard!$C$17)),1,0)</f>
        <v>1</v>
      </c>
      <c r="O410" s="24">
        <f>IF(AND(L410=1,OR(Dashboard!$C$13="All",A410=Dashboard!$C$13),OR(Dashboard!$C$15="All",C410=Dashboard!$C$15),OR(Dashboard!$C$16="All",K410=Dashboard!$C$16),OR(Dashboard!$C$17="All",J410=Dashboard!$C$17)),1,0)</f>
        <v>1</v>
      </c>
      <c r="P410" s="24">
        <f>IF(AND(L410=1,OR(Dashboard!$C$13="All",A410=Dashboard!$C$13),OR(Dashboard!$C$14="All",B410=Dashboard!$C$14),OR(Dashboard!$C$15="All",C410=Dashboard!$C$15),OR(Dashboard!$C$17="All",J410=Dashboard!$C$17)),1,0)</f>
        <v>1</v>
      </c>
      <c r="Q410" s="24">
        <f>IF(AND(L410=1,OR(Dashboard!$C$14="All",B410=Dashboard!$C$14),OR(Dashboard!$C$15="All",C410=Dashboard!$C$15),OR(Dashboard!$C$16="All",K410=Dashboard!$C$16),OR(Dashboard!$C$17="All",J410=Dashboard!$C$17)),1,0)</f>
        <v>1</v>
      </c>
      <c r="R410" s="24">
        <f>IF(AND(L410=1,OR(Dashboard!$C$13="All",A410=Dashboard!$C$13),OR(Dashboard!$C$14="All",B410=Dashboard!$C$14),OR(Dashboard!$C$15="All",C410=Dashboard!$C$15),OR(Dashboard!$C$16="All",K410=Dashboard!$C$16)),1,0)</f>
        <v>1</v>
      </c>
      <c r="S410" s="24">
        <f t="shared" si="3"/>
        <v>409</v>
      </c>
    </row>
    <row r="411" ht="15.75" customHeight="1">
      <c r="A411" s="10">
        <v>57357.0</v>
      </c>
      <c r="B411" s="13"/>
      <c r="C411" s="10" t="s">
        <v>223</v>
      </c>
      <c r="D411" s="13">
        <v>2.0</v>
      </c>
      <c r="E411" s="17">
        <v>15.0</v>
      </c>
      <c r="F411" s="15">
        <f t="shared" si="4"/>
        <v>30</v>
      </c>
      <c r="G411" s="6">
        <v>46153.0</v>
      </c>
      <c r="H411" s="22">
        <v>4.0</v>
      </c>
      <c r="I411" s="16">
        <f t="shared" si="5"/>
        <v>46181</v>
      </c>
      <c r="J411" s="13" t="s">
        <v>25</v>
      </c>
      <c r="K411" s="13" t="s">
        <v>31</v>
      </c>
      <c r="L411" s="24">
        <f>IF(A411="","",IF(OR(G411="",AND(G411&gt;=Dashboard!$C$18,G411&lt;=Dashboard!$C$19)),1,0))</f>
        <v>1</v>
      </c>
      <c r="M411" s="24">
        <f>IF(AND(L411=1,OR(Dashboard!$C$13="All",A411=Dashboard!$C$13),OR(Dashboard!$C$14="All",B411=Dashboard!$C$14),OR(Dashboard!$C$15="All",C411=Dashboard!$C$15),OR(Dashboard!$C$16="All",K411=Dashboard!$C$16),OR(Dashboard!$C$17="All",J411=Dashboard!$C$17)),1,0)</f>
        <v>1</v>
      </c>
      <c r="N411" s="24">
        <f>IF(AND(L411=1,OR(Dashboard!$C$13="All",A411=Dashboard!$C$13),OR(Dashboard!$C$14="All",B411=Dashboard!$C$14),OR(Dashboard!$C$16="All",K411=Dashboard!$C$16),OR(Dashboard!$C$17="All",J411=Dashboard!$C$17)),1,0)</f>
        <v>1</v>
      </c>
      <c r="O411" s="24">
        <f>IF(AND(L411=1,OR(Dashboard!$C$13="All",A411=Dashboard!$C$13),OR(Dashboard!$C$15="All",C411=Dashboard!$C$15),OR(Dashboard!$C$16="All",K411=Dashboard!$C$16),OR(Dashboard!$C$17="All",J411=Dashboard!$C$17)),1,0)</f>
        <v>1</v>
      </c>
      <c r="P411" s="24">
        <f>IF(AND(L411=1,OR(Dashboard!$C$13="All",A411=Dashboard!$C$13),OR(Dashboard!$C$14="All",B411=Dashboard!$C$14),OR(Dashboard!$C$15="All",C411=Dashboard!$C$15),OR(Dashboard!$C$17="All",J411=Dashboard!$C$17)),1,0)</f>
        <v>1</v>
      </c>
      <c r="Q411" s="24">
        <f>IF(AND(L411=1,OR(Dashboard!$C$14="All",B411=Dashboard!$C$14),OR(Dashboard!$C$15="All",C411=Dashboard!$C$15),OR(Dashboard!$C$16="All",K411=Dashboard!$C$16),OR(Dashboard!$C$17="All",J411=Dashboard!$C$17)),1,0)</f>
        <v>1</v>
      </c>
      <c r="R411" s="24">
        <f>IF(AND(L411=1,OR(Dashboard!$C$13="All",A411=Dashboard!$C$13),OR(Dashboard!$C$14="All",B411=Dashboard!$C$14),OR(Dashboard!$C$15="All",C411=Dashboard!$C$15),OR(Dashboard!$C$16="All",K411=Dashboard!$C$16)),1,0)</f>
        <v>1</v>
      </c>
      <c r="S411" s="24">
        <f t="shared" si="3"/>
        <v>410</v>
      </c>
    </row>
    <row r="412" ht="15.75" customHeight="1">
      <c r="A412" s="3">
        <v>57357.0</v>
      </c>
      <c r="B412" s="4"/>
      <c r="C412" s="3" t="s">
        <v>525</v>
      </c>
      <c r="D412" s="4">
        <v>10.0</v>
      </c>
      <c r="E412" s="14">
        <v>45.0</v>
      </c>
      <c r="F412" s="5">
        <f t="shared" si="4"/>
        <v>450</v>
      </c>
      <c r="G412" s="6">
        <v>46154.0</v>
      </c>
      <c r="H412" s="22">
        <v>4.0</v>
      </c>
      <c r="I412" s="7">
        <f t="shared" si="5"/>
        <v>46182</v>
      </c>
      <c r="J412" s="4" t="s">
        <v>25</v>
      </c>
      <c r="K412" s="4" t="s">
        <v>31</v>
      </c>
      <c r="L412" s="24">
        <f>IF(A412="","",IF(OR(G412="",AND(G412&gt;=Dashboard!$C$18,G412&lt;=Dashboard!$C$19)),1,0))</f>
        <v>1</v>
      </c>
      <c r="M412" s="24">
        <f>IF(AND(L412=1,OR(Dashboard!$C$13="All",A412=Dashboard!$C$13),OR(Dashboard!$C$14="All",B412=Dashboard!$C$14),OR(Dashboard!$C$15="All",C412=Dashboard!$C$15),OR(Dashboard!$C$16="All",K412=Dashboard!$C$16),OR(Dashboard!$C$17="All",J412=Dashboard!$C$17)),1,0)</f>
        <v>1</v>
      </c>
      <c r="N412" s="24">
        <f>IF(AND(L412=1,OR(Dashboard!$C$13="All",A412=Dashboard!$C$13),OR(Dashboard!$C$14="All",B412=Dashboard!$C$14),OR(Dashboard!$C$16="All",K412=Dashboard!$C$16),OR(Dashboard!$C$17="All",J412=Dashboard!$C$17)),1,0)</f>
        <v>1</v>
      </c>
      <c r="O412" s="24">
        <f>IF(AND(L412=1,OR(Dashboard!$C$13="All",A412=Dashboard!$C$13),OR(Dashboard!$C$15="All",C412=Dashboard!$C$15),OR(Dashboard!$C$16="All",K412=Dashboard!$C$16),OR(Dashboard!$C$17="All",J412=Dashboard!$C$17)),1,0)</f>
        <v>1</v>
      </c>
      <c r="P412" s="24">
        <f>IF(AND(L412=1,OR(Dashboard!$C$13="All",A412=Dashboard!$C$13),OR(Dashboard!$C$14="All",B412=Dashboard!$C$14),OR(Dashboard!$C$15="All",C412=Dashboard!$C$15),OR(Dashboard!$C$17="All",J412=Dashboard!$C$17)),1,0)</f>
        <v>1</v>
      </c>
      <c r="Q412" s="24">
        <f>IF(AND(L412=1,OR(Dashboard!$C$14="All",B412=Dashboard!$C$14),OR(Dashboard!$C$15="All",C412=Dashboard!$C$15),OR(Dashboard!$C$16="All",K412=Dashboard!$C$16),OR(Dashboard!$C$17="All",J412=Dashboard!$C$17)),1,0)</f>
        <v>1</v>
      </c>
      <c r="R412" s="24">
        <f>IF(AND(L412=1,OR(Dashboard!$C$13="All",A412=Dashboard!$C$13),OR(Dashboard!$C$14="All",B412=Dashboard!$C$14),OR(Dashboard!$C$15="All",C412=Dashboard!$C$15),OR(Dashboard!$C$16="All",K412=Dashboard!$C$16)),1,0)</f>
        <v>1</v>
      </c>
      <c r="S412" s="24">
        <f t="shared" si="3"/>
        <v>411</v>
      </c>
    </row>
    <row r="413" ht="15.75" customHeight="1">
      <c r="A413" s="10">
        <v>57357.0</v>
      </c>
      <c r="B413" s="13"/>
      <c r="C413" s="10" t="s">
        <v>63</v>
      </c>
      <c r="D413" s="13">
        <v>20.0</v>
      </c>
      <c r="E413" s="17">
        <v>24.0</v>
      </c>
      <c r="F413" s="15">
        <f t="shared" si="4"/>
        <v>480</v>
      </c>
      <c r="G413" s="6">
        <v>46155.0</v>
      </c>
      <c r="H413" s="22">
        <v>4.0</v>
      </c>
      <c r="I413" s="16">
        <f t="shared" si="5"/>
        <v>46183</v>
      </c>
      <c r="J413" s="13" t="s">
        <v>25</v>
      </c>
      <c r="K413" s="13" t="s">
        <v>31</v>
      </c>
      <c r="L413" s="24">
        <f>IF(A413="","",IF(OR(G413="",AND(G413&gt;=Dashboard!$C$18,G413&lt;=Dashboard!$C$19)),1,0))</f>
        <v>1</v>
      </c>
      <c r="M413" s="24">
        <f>IF(AND(L413=1,OR(Dashboard!$C$13="All",A413=Dashboard!$C$13),OR(Dashboard!$C$14="All",B413=Dashboard!$C$14),OR(Dashboard!$C$15="All",C413=Dashboard!$C$15),OR(Dashboard!$C$16="All",K413=Dashboard!$C$16),OR(Dashboard!$C$17="All",J413=Dashboard!$C$17)),1,0)</f>
        <v>1</v>
      </c>
      <c r="N413" s="24">
        <f>IF(AND(L413=1,OR(Dashboard!$C$13="All",A413=Dashboard!$C$13),OR(Dashboard!$C$14="All",B413=Dashboard!$C$14),OR(Dashboard!$C$16="All",K413=Dashboard!$C$16),OR(Dashboard!$C$17="All",J413=Dashboard!$C$17)),1,0)</f>
        <v>1</v>
      </c>
      <c r="O413" s="24">
        <f>IF(AND(L413=1,OR(Dashboard!$C$13="All",A413=Dashboard!$C$13),OR(Dashboard!$C$15="All",C413=Dashboard!$C$15),OR(Dashboard!$C$16="All",K413=Dashboard!$C$16),OR(Dashboard!$C$17="All",J413=Dashboard!$C$17)),1,0)</f>
        <v>1</v>
      </c>
      <c r="P413" s="24">
        <f>IF(AND(L413=1,OR(Dashboard!$C$13="All",A413=Dashboard!$C$13),OR(Dashboard!$C$14="All",B413=Dashboard!$C$14),OR(Dashboard!$C$15="All",C413=Dashboard!$C$15),OR(Dashboard!$C$17="All",J413=Dashboard!$C$17)),1,0)</f>
        <v>1</v>
      </c>
      <c r="Q413" s="24">
        <f>IF(AND(L413=1,OR(Dashboard!$C$14="All",B413=Dashboard!$C$14),OR(Dashboard!$C$15="All",C413=Dashboard!$C$15),OR(Dashboard!$C$16="All",K413=Dashboard!$C$16),OR(Dashboard!$C$17="All",J413=Dashboard!$C$17)),1,0)</f>
        <v>1</v>
      </c>
      <c r="R413" s="24">
        <f>IF(AND(L413=1,OR(Dashboard!$C$13="All",A413=Dashboard!$C$13),OR(Dashboard!$C$14="All",B413=Dashboard!$C$14),OR(Dashboard!$C$15="All",C413=Dashboard!$C$15),OR(Dashboard!$C$16="All",K413=Dashboard!$C$16)),1,0)</f>
        <v>1</v>
      </c>
      <c r="S413" s="24">
        <f t="shared" si="3"/>
        <v>412</v>
      </c>
    </row>
    <row r="414" ht="15.75" customHeight="1">
      <c r="A414" s="3" t="s">
        <v>400</v>
      </c>
      <c r="B414" s="4"/>
      <c r="C414" s="3" t="s">
        <v>320</v>
      </c>
      <c r="D414" s="4">
        <v>2000.0</v>
      </c>
      <c r="E414" s="14">
        <v>25.0</v>
      </c>
      <c r="F414" s="5">
        <f t="shared" si="4"/>
        <v>50000</v>
      </c>
      <c r="G414" s="6">
        <v>46156.0</v>
      </c>
      <c r="H414" s="22">
        <v>4.0</v>
      </c>
      <c r="I414" s="7">
        <f t="shared" si="5"/>
        <v>46184</v>
      </c>
      <c r="J414" s="4" t="s">
        <v>25</v>
      </c>
      <c r="K414" s="4" t="s">
        <v>31</v>
      </c>
      <c r="L414" s="24">
        <f>IF(A414="","",IF(OR(G414="",AND(G414&gt;=Dashboard!$C$18,G414&lt;=Dashboard!$C$19)),1,0))</f>
        <v>1</v>
      </c>
      <c r="M414" s="24">
        <f>IF(AND(L414=1,OR(Dashboard!$C$13="All",A414=Dashboard!$C$13),OR(Dashboard!$C$14="All",B414=Dashboard!$C$14),OR(Dashboard!$C$15="All",C414=Dashboard!$C$15),OR(Dashboard!$C$16="All",K414=Dashboard!$C$16),OR(Dashboard!$C$17="All",J414=Dashboard!$C$17)),1,0)</f>
        <v>1</v>
      </c>
      <c r="N414" s="24">
        <f>IF(AND(L414=1,OR(Dashboard!$C$13="All",A414=Dashboard!$C$13),OR(Dashboard!$C$14="All",B414=Dashboard!$C$14),OR(Dashboard!$C$16="All",K414=Dashboard!$C$16),OR(Dashboard!$C$17="All",J414=Dashboard!$C$17)),1,0)</f>
        <v>1</v>
      </c>
      <c r="O414" s="24">
        <f>IF(AND(L414=1,OR(Dashboard!$C$13="All",A414=Dashboard!$C$13),OR(Dashboard!$C$15="All",C414=Dashboard!$C$15),OR(Dashboard!$C$16="All",K414=Dashboard!$C$16),OR(Dashboard!$C$17="All",J414=Dashboard!$C$17)),1,0)</f>
        <v>1</v>
      </c>
      <c r="P414" s="24">
        <f>IF(AND(L414=1,OR(Dashboard!$C$13="All",A414=Dashboard!$C$13),OR(Dashboard!$C$14="All",B414=Dashboard!$C$14),OR(Dashboard!$C$15="All",C414=Dashboard!$C$15),OR(Dashboard!$C$17="All",J414=Dashboard!$C$17)),1,0)</f>
        <v>1</v>
      </c>
      <c r="Q414" s="24">
        <f>IF(AND(L414=1,OR(Dashboard!$C$14="All",B414=Dashboard!$C$14),OR(Dashboard!$C$15="All",C414=Dashboard!$C$15),OR(Dashboard!$C$16="All",K414=Dashboard!$C$16),OR(Dashboard!$C$17="All",J414=Dashboard!$C$17)),1,0)</f>
        <v>1</v>
      </c>
      <c r="R414" s="24">
        <f>IF(AND(L414=1,OR(Dashboard!$C$13="All",A414=Dashboard!$C$13),OR(Dashboard!$C$14="All",B414=Dashboard!$C$14),OR(Dashboard!$C$15="All",C414=Dashboard!$C$15),OR(Dashboard!$C$16="All",K414=Dashboard!$C$16)),1,0)</f>
        <v>1</v>
      </c>
      <c r="S414" s="24">
        <f t="shared" si="3"/>
        <v>413</v>
      </c>
    </row>
    <row r="415" ht="15.75" customHeight="1">
      <c r="A415" s="10" t="s">
        <v>133</v>
      </c>
      <c r="B415" s="13"/>
      <c r="C415" s="10" t="s">
        <v>659</v>
      </c>
      <c r="D415" s="13">
        <v>1.0</v>
      </c>
      <c r="E415" s="17">
        <v>36.0</v>
      </c>
      <c r="F415" s="15">
        <f t="shared" si="4"/>
        <v>36</v>
      </c>
      <c r="G415" s="6">
        <v>46157.0</v>
      </c>
      <c r="H415" s="22">
        <v>20.0</v>
      </c>
      <c r="I415" s="16">
        <f t="shared" si="5"/>
        <v>46297</v>
      </c>
      <c r="J415" s="13" t="s">
        <v>25</v>
      </c>
      <c r="K415" s="13" t="s">
        <v>31</v>
      </c>
      <c r="L415" s="24">
        <f>IF(A415="","",IF(OR(G415="",AND(G415&gt;=Dashboard!$C$18,G415&lt;=Dashboard!$C$19)),1,0))</f>
        <v>1</v>
      </c>
      <c r="M415" s="24">
        <f>IF(AND(L415=1,OR(Dashboard!$C$13="All",A415=Dashboard!$C$13),OR(Dashboard!$C$14="All",B415=Dashboard!$C$14),OR(Dashboard!$C$15="All",C415=Dashboard!$C$15),OR(Dashboard!$C$16="All",K415=Dashboard!$C$16),OR(Dashboard!$C$17="All",J415=Dashboard!$C$17)),1,0)</f>
        <v>1</v>
      </c>
      <c r="N415" s="24">
        <f>IF(AND(L415=1,OR(Dashboard!$C$13="All",A415=Dashboard!$C$13),OR(Dashboard!$C$14="All",B415=Dashboard!$C$14),OR(Dashboard!$C$16="All",K415=Dashboard!$C$16),OR(Dashboard!$C$17="All",J415=Dashboard!$C$17)),1,0)</f>
        <v>1</v>
      </c>
      <c r="O415" s="24">
        <f>IF(AND(L415=1,OR(Dashboard!$C$13="All",A415=Dashboard!$C$13),OR(Dashboard!$C$15="All",C415=Dashboard!$C$15),OR(Dashboard!$C$16="All",K415=Dashboard!$C$16),OR(Dashboard!$C$17="All",J415=Dashboard!$C$17)),1,0)</f>
        <v>1</v>
      </c>
      <c r="P415" s="24">
        <f>IF(AND(L415=1,OR(Dashboard!$C$13="All",A415=Dashboard!$C$13),OR(Dashboard!$C$14="All",B415=Dashboard!$C$14),OR(Dashboard!$C$15="All",C415=Dashboard!$C$15),OR(Dashboard!$C$17="All",J415=Dashboard!$C$17)),1,0)</f>
        <v>1</v>
      </c>
      <c r="Q415" s="24">
        <f>IF(AND(L415=1,OR(Dashboard!$C$14="All",B415=Dashboard!$C$14),OR(Dashboard!$C$15="All",C415=Dashboard!$C$15),OR(Dashboard!$C$16="All",K415=Dashboard!$C$16),OR(Dashboard!$C$17="All",J415=Dashboard!$C$17)),1,0)</f>
        <v>1</v>
      </c>
      <c r="R415" s="24">
        <f>IF(AND(L415=1,OR(Dashboard!$C$13="All",A415=Dashboard!$C$13),OR(Dashboard!$C$14="All",B415=Dashboard!$C$14),OR(Dashboard!$C$15="All",C415=Dashboard!$C$15),OR(Dashboard!$C$16="All",K415=Dashboard!$C$16)),1,0)</f>
        <v>1</v>
      </c>
      <c r="S415" s="24">
        <f t="shared" si="3"/>
        <v>414</v>
      </c>
    </row>
    <row r="416" ht="15.75" customHeight="1">
      <c r="A416" s="3" t="s">
        <v>133</v>
      </c>
      <c r="B416" s="4"/>
      <c r="C416" s="3" t="s">
        <v>582</v>
      </c>
      <c r="D416" s="4">
        <v>1.0</v>
      </c>
      <c r="E416" s="14">
        <v>95.0</v>
      </c>
      <c r="F416" s="5">
        <f t="shared" si="4"/>
        <v>95</v>
      </c>
      <c r="G416" s="6">
        <v>46158.0</v>
      </c>
      <c r="H416" s="22">
        <v>21.0</v>
      </c>
      <c r="I416" s="7">
        <f t="shared" si="5"/>
        <v>46305</v>
      </c>
      <c r="J416" s="4" t="s">
        <v>25</v>
      </c>
      <c r="K416" s="4" t="s">
        <v>31</v>
      </c>
      <c r="L416" s="24">
        <f>IF(A416="","",IF(OR(G416="",AND(G416&gt;=Dashboard!$C$18,G416&lt;=Dashboard!$C$19)),1,0))</f>
        <v>1</v>
      </c>
      <c r="M416" s="24">
        <f>IF(AND(L416=1,OR(Dashboard!$C$13="All",A416=Dashboard!$C$13),OR(Dashboard!$C$14="All",B416=Dashboard!$C$14),OR(Dashboard!$C$15="All",C416=Dashboard!$C$15),OR(Dashboard!$C$16="All",K416=Dashboard!$C$16),OR(Dashboard!$C$17="All",J416=Dashboard!$C$17)),1,0)</f>
        <v>1</v>
      </c>
      <c r="N416" s="24">
        <f>IF(AND(L416=1,OR(Dashboard!$C$13="All",A416=Dashboard!$C$13),OR(Dashboard!$C$14="All",B416=Dashboard!$C$14),OR(Dashboard!$C$16="All",K416=Dashboard!$C$16),OR(Dashboard!$C$17="All",J416=Dashboard!$C$17)),1,0)</f>
        <v>1</v>
      </c>
      <c r="O416" s="24">
        <f>IF(AND(L416=1,OR(Dashboard!$C$13="All",A416=Dashboard!$C$13),OR(Dashboard!$C$15="All",C416=Dashboard!$C$15),OR(Dashboard!$C$16="All",K416=Dashboard!$C$16),OR(Dashboard!$C$17="All",J416=Dashboard!$C$17)),1,0)</f>
        <v>1</v>
      </c>
      <c r="P416" s="24">
        <f>IF(AND(L416=1,OR(Dashboard!$C$13="All",A416=Dashboard!$C$13),OR(Dashboard!$C$14="All",B416=Dashboard!$C$14),OR(Dashboard!$C$15="All",C416=Dashboard!$C$15),OR(Dashboard!$C$17="All",J416=Dashboard!$C$17)),1,0)</f>
        <v>1</v>
      </c>
      <c r="Q416" s="24">
        <f>IF(AND(L416=1,OR(Dashboard!$C$14="All",B416=Dashboard!$C$14),OR(Dashboard!$C$15="All",C416=Dashboard!$C$15),OR(Dashboard!$C$16="All",K416=Dashboard!$C$16),OR(Dashboard!$C$17="All",J416=Dashboard!$C$17)),1,0)</f>
        <v>1</v>
      </c>
      <c r="R416" s="24">
        <f>IF(AND(L416=1,OR(Dashboard!$C$13="All",A416=Dashboard!$C$13),OR(Dashboard!$C$14="All",B416=Dashboard!$C$14),OR(Dashboard!$C$15="All",C416=Dashboard!$C$15),OR(Dashboard!$C$16="All",K416=Dashboard!$C$16)),1,0)</f>
        <v>1</v>
      </c>
      <c r="S416" s="24">
        <f t="shared" si="3"/>
        <v>415</v>
      </c>
    </row>
    <row r="417" ht="15.75" customHeight="1">
      <c r="A417" s="10" t="s">
        <v>133</v>
      </c>
      <c r="B417" s="13"/>
      <c r="C417" s="10" t="s">
        <v>656</v>
      </c>
      <c r="D417" s="13">
        <v>1.0</v>
      </c>
      <c r="E417" s="17">
        <v>574.0</v>
      </c>
      <c r="F417" s="15">
        <f t="shared" si="4"/>
        <v>574</v>
      </c>
      <c r="G417" s="6">
        <v>46159.0</v>
      </c>
      <c r="H417" s="22">
        <v>18.0</v>
      </c>
      <c r="I417" s="16">
        <f t="shared" si="5"/>
        <v>46285</v>
      </c>
      <c r="J417" s="13" t="s">
        <v>25</v>
      </c>
      <c r="K417" s="13" t="s">
        <v>31</v>
      </c>
      <c r="L417" s="24">
        <f>IF(A417="","",IF(OR(G417="",AND(G417&gt;=Dashboard!$C$18,G417&lt;=Dashboard!$C$19)),1,0))</f>
        <v>1</v>
      </c>
      <c r="M417" s="24">
        <f>IF(AND(L417=1,OR(Dashboard!$C$13="All",A417=Dashboard!$C$13),OR(Dashboard!$C$14="All",B417=Dashboard!$C$14),OR(Dashboard!$C$15="All",C417=Dashboard!$C$15),OR(Dashboard!$C$16="All",K417=Dashboard!$C$16),OR(Dashboard!$C$17="All",J417=Dashboard!$C$17)),1,0)</f>
        <v>1</v>
      </c>
      <c r="N417" s="24">
        <f>IF(AND(L417=1,OR(Dashboard!$C$13="All",A417=Dashboard!$C$13),OR(Dashboard!$C$14="All",B417=Dashboard!$C$14),OR(Dashboard!$C$16="All",K417=Dashboard!$C$16),OR(Dashboard!$C$17="All",J417=Dashboard!$C$17)),1,0)</f>
        <v>1</v>
      </c>
      <c r="O417" s="24">
        <f>IF(AND(L417=1,OR(Dashboard!$C$13="All",A417=Dashboard!$C$13),OR(Dashboard!$C$15="All",C417=Dashboard!$C$15),OR(Dashboard!$C$16="All",K417=Dashboard!$C$16),OR(Dashboard!$C$17="All",J417=Dashboard!$C$17)),1,0)</f>
        <v>1</v>
      </c>
      <c r="P417" s="24">
        <f>IF(AND(L417=1,OR(Dashboard!$C$13="All",A417=Dashboard!$C$13),OR(Dashboard!$C$14="All",B417=Dashboard!$C$14),OR(Dashboard!$C$15="All",C417=Dashboard!$C$15),OR(Dashboard!$C$17="All",J417=Dashboard!$C$17)),1,0)</f>
        <v>1</v>
      </c>
      <c r="Q417" s="24">
        <f>IF(AND(L417=1,OR(Dashboard!$C$14="All",B417=Dashboard!$C$14),OR(Dashboard!$C$15="All",C417=Dashboard!$C$15),OR(Dashboard!$C$16="All",K417=Dashboard!$C$16),OR(Dashboard!$C$17="All",J417=Dashboard!$C$17)),1,0)</f>
        <v>1</v>
      </c>
      <c r="R417" s="24">
        <f>IF(AND(L417=1,OR(Dashboard!$C$13="All",A417=Dashboard!$C$13),OR(Dashboard!$C$14="All",B417=Dashboard!$C$14),OR(Dashboard!$C$15="All",C417=Dashboard!$C$15),OR(Dashboard!$C$16="All",K417=Dashboard!$C$16)),1,0)</f>
        <v>1</v>
      </c>
      <c r="S417" s="24">
        <f t="shared" si="3"/>
        <v>416</v>
      </c>
    </row>
    <row r="418" ht="15.75" customHeight="1">
      <c r="A418" s="3" t="s">
        <v>83</v>
      </c>
      <c r="B418" s="4"/>
      <c r="C418" s="3" t="s">
        <v>340</v>
      </c>
      <c r="D418" s="4">
        <v>9000.0</v>
      </c>
      <c r="E418" s="14">
        <v>558.0</v>
      </c>
      <c r="F418" s="5">
        <f t="shared" si="4"/>
        <v>5022000</v>
      </c>
      <c r="G418" s="6">
        <v>46160.0</v>
      </c>
      <c r="H418" s="22">
        <v>19.0</v>
      </c>
      <c r="I418" s="7">
        <f t="shared" si="5"/>
        <v>46293</v>
      </c>
      <c r="J418" s="4" t="s">
        <v>25</v>
      </c>
      <c r="K418" s="4" t="s">
        <v>31</v>
      </c>
      <c r="L418" s="24">
        <f>IF(A418="","",IF(OR(G418="",AND(G418&gt;=Dashboard!$C$18,G418&lt;=Dashboard!$C$19)),1,0))</f>
        <v>1</v>
      </c>
      <c r="M418" s="24">
        <f>IF(AND(L418=1,OR(Dashboard!$C$13="All",A418=Dashboard!$C$13),OR(Dashboard!$C$14="All",B418=Dashboard!$C$14),OR(Dashboard!$C$15="All",C418=Dashboard!$C$15),OR(Dashboard!$C$16="All",K418=Dashboard!$C$16),OR(Dashboard!$C$17="All",J418=Dashboard!$C$17)),1,0)</f>
        <v>1</v>
      </c>
      <c r="N418" s="24">
        <f>IF(AND(L418=1,OR(Dashboard!$C$13="All",A418=Dashboard!$C$13),OR(Dashboard!$C$14="All",B418=Dashboard!$C$14),OR(Dashboard!$C$16="All",K418=Dashboard!$C$16),OR(Dashboard!$C$17="All",J418=Dashboard!$C$17)),1,0)</f>
        <v>1</v>
      </c>
      <c r="O418" s="24">
        <f>IF(AND(L418=1,OR(Dashboard!$C$13="All",A418=Dashboard!$C$13),OR(Dashboard!$C$15="All",C418=Dashboard!$C$15),OR(Dashboard!$C$16="All",K418=Dashboard!$C$16),OR(Dashboard!$C$17="All",J418=Dashboard!$C$17)),1,0)</f>
        <v>1</v>
      </c>
      <c r="P418" s="24">
        <f>IF(AND(L418=1,OR(Dashboard!$C$13="All",A418=Dashboard!$C$13),OR(Dashboard!$C$14="All",B418=Dashboard!$C$14),OR(Dashboard!$C$15="All",C418=Dashboard!$C$15),OR(Dashboard!$C$17="All",J418=Dashboard!$C$17)),1,0)</f>
        <v>1</v>
      </c>
      <c r="Q418" s="24">
        <f>IF(AND(L418=1,OR(Dashboard!$C$14="All",B418=Dashboard!$C$14),OR(Dashboard!$C$15="All",C418=Dashboard!$C$15),OR(Dashboard!$C$16="All",K418=Dashboard!$C$16),OR(Dashboard!$C$17="All",J418=Dashboard!$C$17)),1,0)</f>
        <v>1</v>
      </c>
      <c r="R418" s="24">
        <f>IF(AND(L418=1,OR(Dashboard!$C$13="All",A418=Dashboard!$C$13),OR(Dashboard!$C$14="All",B418=Dashboard!$C$14),OR(Dashboard!$C$15="All",C418=Dashboard!$C$15),OR(Dashboard!$C$16="All",K418=Dashboard!$C$16)),1,0)</f>
        <v>1</v>
      </c>
      <c r="S418" s="24">
        <f t="shared" si="3"/>
        <v>417</v>
      </c>
    </row>
    <row r="419" ht="15.75" customHeight="1">
      <c r="A419" s="10" t="s">
        <v>83</v>
      </c>
      <c r="B419" s="13"/>
      <c r="C419" s="10" t="s">
        <v>614</v>
      </c>
      <c r="D419" s="13">
        <v>1500.0</v>
      </c>
      <c r="E419" s="17">
        <v>2265.0</v>
      </c>
      <c r="F419" s="15">
        <f t="shared" si="4"/>
        <v>3397500</v>
      </c>
      <c r="G419" s="6">
        <v>46161.0</v>
      </c>
      <c r="H419" s="22">
        <v>20.0</v>
      </c>
      <c r="I419" s="16">
        <f t="shared" si="5"/>
        <v>46301</v>
      </c>
      <c r="J419" s="13" t="s">
        <v>25</v>
      </c>
      <c r="K419" s="13" t="s">
        <v>31</v>
      </c>
      <c r="L419" s="24">
        <f>IF(A419="","",IF(OR(G419="",AND(G419&gt;=Dashboard!$C$18,G419&lt;=Dashboard!$C$19)),1,0))</f>
        <v>1</v>
      </c>
      <c r="M419" s="24">
        <f>IF(AND(L419=1,OR(Dashboard!$C$13="All",A419=Dashboard!$C$13),OR(Dashboard!$C$14="All",B419=Dashboard!$C$14),OR(Dashboard!$C$15="All",C419=Dashboard!$C$15),OR(Dashboard!$C$16="All",K419=Dashboard!$C$16),OR(Dashboard!$C$17="All",J419=Dashboard!$C$17)),1,0)</f>
        <v>1</v>
      </c>
      <c r="N419" s="24">
        <f>IF(AND(L419=1,OR(Dashboard!$C$13="All",A419=Dashboard!$C$13),OR(Dashboard!$C$14="All",B419=Dashboard!$C$14),OR(Dashboard!$C$16="All",K419=Dashboard!$C$16),OR(Dashboard!$C$17="All",J419=Dashboard!$C$17)),1,0)</f>
        <v>1</v>
      </c>
      <c r="O419" s="24">
        <f>IF(AND(L419=1,OR(Dashboard!$C$13="All",A419=Dashboard!$C$13),OR(Dashboard!$C$15="All",C419=Dashboard!$C$15),OR(Dashboard!$C$16="All",K419=Dashboard!$C$16),OR(Dashboard!$C$17="All",J419=Dashboard!$C$17)),1,0)</f>
        <v>1</v>
      </c>
      <c r="P419" s="24">
        <f>IF(AND(L419=1,OR(Dashboard!$C$13="All",A419=Dashboard!$C$13),OR(Dashboard!$C$14="All",B419=Dashboard!$C$14),OR(Dashboard!$C$15="All",C419=Dashboard!$C$15),OR(Dashboard!$C$17="All",J419=Dashboard!$C$17)),1,0)</f>
        <v>1</v>
      </c>
      <c r="Q419" s="24">
        <f>IF(AND(L419=1,OR(Dashboard!$C$14="All",B419=Dashboard!$C$14),OR(Dashboard!$C$15="All",C419=Dashboard!$C$15),OR(Dashboard!$C$16="All",K419=Dashboard!$C$16),OR(Dashboard!$C$17="All",J419=Dashboard!$C$17)),1,0)</f>
        <v>1</v>
      </c>
      <c r="R419" s="24">
        <f>IF(AND(L419=1,OR(Dashboard!$C$13="All",A419=Dashboard!$C$13),OR(Dashboard!$C$14="All",B419=Dashboard!$C$14),OR(Dashboard!$C$15="All",C419=Dashboard!$C$15),OR(Dashboard!$C$16="All",K419=Dashboard!$C$16)),1,0)</f>
        <v>1</v>
      </c>
      <c r="S419" s="24">
        <f t="shared" si="3"/>
        <v>418</v>
      </c>
    </row>
    <row r="420" ht="15.75" customHeight="1">
      <c r="A420" s="3" t="s">
        <v>403</v>
      </c>
      <c r="B420" s="4"/>
      <c r="C420" s="3" t="s">
        <v>661</v>
      </c>
      <c r="D420" s="4">
        <v>15000.0</v>
      </c>
      <c r="E420" s="14">
        <v>45.0</v>
      </c>
      <c r="F420" s="5">
        <f t="shared" si="4"/>
        <v>675000</v>
      </c>
      <c r="G420" s="6">
        <v>46162.0</v>
      </c>
      <c r="H420" s="22">
        <v>18.0</v>
      </c>
      <c r="I420" s="7">
        <f t="shared" si="5"/>
        <v>46288</v>
      </c>
      <c r="J420" s="4" t="s">
        <v>25</v>
      </c>
      <c r="K420" s="4" t="s">
        <v>31</v>
      </c>
      <c r="L420" s="24">
        <f>IF(A420="","",IF(OR(G420="",AND(G420&gt;=Dashboard!$C$18,G420&lt;=Dashboard!$C$19)),1,0))</f>
        <v>1</v>
      </c>
      <c r="M420" s="24">
        <f>IF(AND(L420=1,OR(Dashboard!$C$13="All",A420=Dashboard!$C$13),OR(Dashboard!$C$14="All",B420=Dashboard!$C$14),OR(Dashboard!$C$15="All",C420=Dashboard!$C$15),OR(Dashboard!$C$16="All",K420=Dashboard!$C$16),OR(Dashboard!$C$17="All",J420=Dashboard!$C$17)),1,0)</f>
        <v>1</v>
      </c>
      <c r="N420" s="24">
        <f>IF(AND(L420=1,OR(Dashboard!$C$13="All",A420=Dashboard!$C$13),OR(Dashboard!$C$14="All",B420=Dashboard!$C$14),OR(Dashboard!$C$16="All",K420=Dashboard!$C$16),OR(Dashboard!$C$17="All",J420=Dashboard!$C$17)),1,0)</f>
        <v>1</v>
      </c>
      <c r="O420" s="24">
        <f>IF(AND(L420=1,OR(Dashboard!$C$13="All",A420=Dashboard!$C$13),OR(Dashboard!$C$15="All",C420=Dashboard!$C$15),OR(Dashboard!$C$16="All",K420=Dashboard!$C$16),OR(Dashboard!$C$17="All",J420=Dashboard!$C$17)),1,0)</f>
        <v>1</v>
      </c>
      <c r="P420" s="24">
        <f>IF(AND(L420=1,OR(Dashboard!$C$13="All",A420=Dashboard!$C$13),OR(Dashboard!$C$14="All",B420=Dashboard!$C$14),OR(Dashboard!$C$15="All",C420=Dashboard!$C$15),OR(Dashboard!$C$17="All",J420=Dashboard!$C$17)),1,0)</f>
        <v>1</v>
      </c>
      <c r="Q420" s="24">
        <f>IF(AND(L420=1,OR(Dashboard!$C$14="All",B420=Dashboard!$C$14),OR(Dashboard!$C$15="All",C420=Dashboard!$C$15),OR(Dashboard!$C$16="All",K420=Dashboard!$C$16),OR(Dashboard!$C$17="All",J420=Dashboard!$C$17)),1,0)</f>
        <v>1</v>
      </c>
      <c r="R420" s="24">
        <f>IF(AND(L420=1,OR(Dashboard!$C$13="All",A420=Dashboard!$C$13),OR(Dashboard!$C$14="All",B420=Dashboard!$C$14),OR(Dashboard!$C$15="All",C420=Dashboard!$C$15),OR(Dashboard!$C$16="All",K420=Dashboard!$C$16)),1,0)</f>
        <v>1</v>
      </c>
      <c r="S420" s="24">
        <f t="shared" si="3"/>
        <v>419</v>
      </c>
    </row>
    <row r="421" ht="15.75" customHeight="1">
      <c r="A421" s="10" t="s">
        <v>403</v>
      </c>
      <c r="B421" s="13"/>
      <c r="C421" s="10" t="s">
        <v>225</v>
      </c>
      <c r="D421" s="13">
        <v>5.0</v>
      </c>
      <c r="E421" s="17">
        <v>5554.0</v>
      </c>
      <c r="F421" s="15">
        <f t="shared" si="4"/>
        <v>27770</v>
      </c>
      <c r="G421" s="6">
        <v>46163.0</v>
      </c>
      <c r="H421" s="22">
        <v>20.0</v>
      </c>
      <c r="I421" s="16">
        <f t="shared" si="5"/>
        <v>46303</v>
      </c>
      <c r="J421" s="13" t="s">
        <v>25</v>
      </c>
      <c r="K421" s="13" t="s">
        <v>31</v>
      </c>
      <c r="L421" s="24">
        <f>IF(A421="","",IF(OR(G421="",AND(G421&gt;=Dashboard!$C$18,G421&lt;=Dashboard!$C$19)),1,0))</f>
        <v>1</v>
      </c>
      <c r="M421" s="24">
        <f>IF(AND(L421=1,OR(Dashboard!$C$13="All",A421=Dashboard!$C$13),OR(Dashboard!$C$14="All",B421=Dashboard!$C$14),OR(Dashboard!$C$15="All",C421=Dashboard!$C$15),OR(Dashboard!$C$16="All",K421=Dashboard!$C$16),OR(Dashboard!$C$17="All",J421=Dashboard!$C$17)),1,0)</f>
        <v>1</v>
      </c>
      <c r="N421" s="24">
        <f>IF(AND(L421=1,OR(Dashboard!$C$13="All",A421=Dashboard!$C$13),OR(Dashboard!$C$14="All",B421=Dashboard!$C$14),OR(Dashboard!$C$16="All",K421=Dashboard!$C$16),OR(Dashboard!$C$17="All",J421=Dashboard!$C$17)),1,0)</f>
        <v>1</v>
      </c>
      <c r="O421" s="24">
        <f>IF(AND(L421=1,OR(Dashboard!$C$13="All",A421=Dashboard!$C$13),OR(Dashboard!$C$15="All",C421=Dashboard!$C$15),OR(Dashboard!$C$16="All",K421=Dashboard!$C$16),OR(Dashboard!$C$17="All",J421=Dashboard!$C$17)),1,0)</f>
        <v>1</v>
      </c>
      <c r="P421" s="24">
        <f>IF(AND(L421=1,OR(Dashboard!$C$13="All",A421=Dashboard!$C$13),OR(Dashboard!$C$14="All",B421=Dashboard!$C$14),OR(Dashboard!$C$15="All",C421=Dashboard!$C$15),OR(Dashboard!$C$17="All",J421=Dashboard!$C$17)),1,0)</f>
        <v>1</v>
      </c>
      <c r="Q421" s="24">
        <f>IF(AND(L421=1,OR(Dashboard!$C$14="All",B421=Dashboard!$C$14),OR(Dashboard!$C$15="All",C421=Dashboard!$C$15),OR(Dashboard!$C$16="All",K421=Dashboard!$C$16),OR(Dashboard!$C$17="All",J421=Dashboard!$C$17)),1,0)</f>
        <v>1</v>
      </c>
      <c r="R421" s="24">
        <f>IF(AND(L421=1,OR(Dashboard!$C$13="All",A421=Dashboard!$C$13),OR(Dashboard!$C$14="All",B421=Dashboard!$C$14),OR(Dashboard!$C$15="All",C421=Dashboard!$C$15),OR(Dashboard!$C$16="All",K421=Dashboard!$C$16)),1,0)</f>
        <v>1</v>
      </c>
      <c r="S421" s="24">
        <f t="shared" si="3"/>
        <v>420</v>
      </c>
    </row>
    <row r="422" ht="15.75" customHeight="1">
      <c r="A422" s="3" t="s">
        <v>390</v>
      </c>
      <c r="B422" s="4"/>
      <c r="C422" s="3" t="s">
        <v>163</v>
      </c>
      <c r="D422" s="4">
        <v>1500.0</v>
      </c>
      <c r="E422" s="14">
        <v>41.0</v>
      </c>
      <c r="F422" s="5">
        <f t="shared" si="4"/>
        <v>61500</v>
      </c>
      <c r="G422" s="6">
        <v>46164.0</v>
      </c>
      <c r="H422" s="22">
        <v>20.0</v>
      </c>
      <c r="I422" s="7">
        <f t="shared" si="5"/>
        <v>46304</v>
      </c>
      <c r="J422" s="4" t="s">
        <v>25</v>
      </c>
      <c r="K422" s="4" t="s">
        <v>31</v>
      </c>
      <c r="L422" s="24">
        <f>IF(A422="","",IF(OR(G422="",AND(G422&gt;=Dashboard!$C$18,G422&lt;=Dashboard!$C$19)),1,0))</f>
        <v>1</v>
      </c>
      <c r="M422" s="24">
        <f>IF(AND(L422=1,OR(Dashboard!$C$13="All",A422=Dashboard!$C$13),OR(Dashboard!$C$14="All",B422=Dashboard!$C$14),OR(Dashboard!$C$15="All",C422=Dashboard!$C$15),OR(Dashboard!$C$16="All",K422=Dashboard!$C$16),OR(Dashboard!$C$17="All",J422=Dashboard!$C$17)),1,0)</f>
        <v>1</v>
      </c>
      <c r="N422" s="24">
        <f>IF(AND(L422=1,OR(Dashboard!$C$13="All",A422=Dashboard!$C$13),OR(Dashboard!$C$14="All",B422=Dashboard!$C$14),OR(Dashboard!$C$16="All",K422=Dashboard!$C$16),OR(Dashboard!$C$17="All",J422=Dashboard!$C$17)),1,0)</f>
        <v>1</v>
      </c>
      <c r="O422" s="24">
        <f>IF(AND(L422=1,OR(Dashboard!$C$13="All",A422=Dashboard!$C$13),OR(Dashboard!$C$15="All",C422=Dashboard!$C$15),OR(Dashboard!$C$16="All",K422=Dashboard!$C$16),OR(Dashboard!$C$17="All",J422=Dashboard!$C$17)),1,0)</f>
        <v>1</v>
      </c>
      <c r="P422" s="24">
        <f>IF(AND(L422=1,OR(Dashboard!$C$13="All",A422=Dashboard!$C$13),OR(Dashboard!$C$14="All",B422=Dashboard!$C$14),OR(Dashboard!$C$15="All",C422=Dashboard!$C$15),OR(Dashboard!$C$17="All",J422=Dashboard!$C$17)),1,0)</f>
        <v>1</v>
      </c>
      <c r="Q422" s="24">
        <f>IF(AND(L422=1,OR(Dashboard!$C$14="All",B422=Dashboard!$C$14),OR(Dashboard!$C$15="All",C422=Dashboard!$C$15),OR(Dashboard!$C$16="All",K422=Dashboard!$C$16),OR(Dashboard!$C$17="All",J422=Dashboard!$C$17)),1,0)</f>
        <v>1</v>
      </c>
      <c r="R422" s="24">
        <f>IF(AND(L422=1,OR(Dashboard!$C$13="All",A422=Dashboard!$C$13),OR(Dashboard!$C$14="All",B422=Dashboard!$C$14),OR(Dashboard!$C$15="All",C422=Dashboard!$C$15),OR(Dashboard!$C$16="All",K422=Dashboard!$C$16)),1,0)</f>
        <v>1</v>
      </c>
      <c r="S422" s="24">
        <f t="shared" si="3"/>
        <v>421</v>
      </c>
    </row>
    <row r="423" ht="15.75" customHeight="1">
      <c r="A423" s="10" t="s">
        <v>207</v>
      </c>
      <c r="B423" s="13"/>
      <c r="C423" s="10" t="s">
        <v>622</v>
      </c>
      <c r="D423" s="13">
        <v>100.0</v>
      </c>
      <c r="E423" s="17">
        <v>231.0</v>
      </c>
      <c r="F423" s="15">
        <f t="shared" si="4"/>
        <v>23100</v>
      </c>
      <c r="G423" s="6">
        <v>46165.0</v>
      </c>
      <c r="H423" s="22">
        <v>15.0</v>
      </c>
      <c r="I423" s="16">
        <f t="shared" si="5"/>
        <v>46270</v>
      </c>
      <c r="J423" s="13" t="s">
        <v>25</v>
      </c>
      <c r="K423" s="13" t="s">
        <v>31</v>
      </c>
      <c r="L423" s="24">
        <f>IF(A423="","",IF(OR(G423="",AND(G423&gt;=Dashboard!$C$18,G423&lt;=Dashboard!$C$19)),1,0))</f>
        <v>1</v>
      </c>
      <c r="M423" s="24">
        <f>IF(AND(L423=1,OR(Dashboard!$C$13="All",A423=Dashboard!$C$13),OR(Dashboard!$C$14="All",B423=Dashboard!$C$14),OR(Dashboard!$C$15="All",C423=Dashboard!$C$15),OR(Dashboard!$C$16="All",K423=Dashboard!$C$16),OR(Dashboard!$C$17="All",J423=Dashboard!$C$17)),1,0)</f>
        <v>1</v>
      </c>
      <c r="N423" s="24">
        <f>IF(AND(L423=1,OR(Dashboard!$C$13="All",A423=Dashboard!$C$13),OR(Dashboard!$C$14="All",B423=Dashboard!$C$14),OR(Dashboard!$C$16="All",K423=Dashboard!$C$16),OR(Dashboard!$C$17="All",J423=Dashboard!$C$17)),1,0)</f>
        <v>1</v>
      </c>
      <c r="O423" s="24">
        <f>IF(AND(L423=1,OR(Dashboard!$C$13="All",A423=Dashboard!$C$13),OR(Dashboard!$C$15="All",C423=Dashboard!$C$15),OR(Dashboard!$C$16="All",K423=Dashboard!$C$16),OR(Dashboard!$C$17="All",J423=Dashboard!$C$17)),1,0)</f>
        <v>1</v>
      </c>
      <c r="P423" s="24">
        <f>IF(AND(L423=1,OR(Dashboard!$C$13="All",A423=Dashboard!$C$13),OR(Dashboard!$C$14="All",B423=Dashboard!$C$14),OR(Dashboard!$C$15="All",C423=Dashboard!$C$15),OR(Dashboard!$C$17="All",J423=Dashboard!$C$17)),1,0)</f>
        <v>1</v>
      </c>
      <c r="Q423" s="24">
        <f>IF(AND(L423=1,OR(Dashboard!$C$14="All",B423=Dashboard!$C$14),OR(Dashboard!$C$15="All",C423=Dashboard!$C$15),OR(Dashboard!$C$16="All",K423=Dashboard!$C$16),OR(Dashboard!$C$17="All",J423=Dashboard!$C$17)),1,0)</f>
        <v>1</v>
      </c>
      <c r="R423" s="24">
        <f>IF(AND(L423=1,OR(Dashboard!$C$13="All",A423=Dashboard!$C$13),OR(Dashboard!$C$14="All",B423=Dashboard!$C$14),OR(Dashboard!$C$15="All",C423=Dashboard!$C$15),OR(Dashboard!$C$16="All",K423=Dashboard!$C$16)),1,0)</f>
        <v>1</v>
      </c>
      <c r="S423" s="24">
        <f t="shared" si="3"/>
        <v>422</v>
      </c>
    </row>
    <row r="424" ht="15.75" customHeight="1">
      <c r="A424" s="3" t="s">
        <v>188</v>
      </c>
      <c r="B424" s="4"/>
      <c r="C424" s="3" t="s">
        <v>160</v>
      </c>
      <c r="D424" s="4">
        <v>5000.0</v>
      </c>
      <c r="E424" s="14">
        <v>25.0</v>
      </c>
      <c r="F424" s="5">
        <f t="shared" si="4"/>
        <v>125000</v>
      </c>
      <c r="G424" s="6">
        <v>46166.0</v>
      </c>
      <c r="H424" s="22">
        <v>17.0</v>
      </c>
      <c r="I424" s="7">
        <f t="shared" si="5"/>
        <v>46285</v>
      </c>
      <c r="J424" s="4" t="s">
        <v>25</v>
      </c>
      <c r="K424" s="4" t="s">
        <v>31</v>
      </c>
      <c r="L424" s="24">
        <f>IF(A424="","",IF(OR(G424="",AND(G424&gt;=Dashboard!$C$18,G424&lt;=Dashboard!$C$19)),1,0))</f>
        <v>1</v>
      </c>
      <c r="M424" s="24">
        <f>IF(AND(L424=1,OR(Dashboard!$C$13="All",A424=Dashboard!$C$13),OR(Dashboard!$C$14="All",B424=Dashboard!$C$14),OR(Dashboard!$C$15="All",C424=Dashboard!$C$15),OR(Dashboard!$C$16="All",K424=Dashboard!$C$16),OR(Dashboard!$C$17="All",J424=Dashboard!$C$17)),1,0)</f>
        <v>1</v>
      </c>
      <c r="N424" s="24">
        <f>IF(AND(L424=1,OR(Dashboard!$C$13="All",A424=Dashboard!$C$13),OR(Dashboard!$C$14="All",B424=Dashboard!$C$14),OR(Dashboard!$C$16="All",K424=Dashboard!$C$16),OR(Dashboard!$C$17="All",J424=Dashboard!$C$17)),1,0)</f>
        <v>1</v>
      </c>
      <c r="O424" s="24">
        <f>IF(AND(L424=1,OR(Dashboard!$C$13="All",A424=Dashboard!$C$13),OR(Dashboard!$C$15="All",C424=Dashboard!$C$15),OR(Dashboard!$C$16="All",K424=Dashboard!$C$16),OR(Dashboard!$C$17="All",J424=Dashboard!$C$17)),1,0)</f>
        <v>1</v>
      </c>
      <c r="P424" s="24">
        <f>IF(AND(L424=1,OR(Dashboard!$C$13="All",A424=Dashboard!$C$13),OR(Dashboard!$C$14="All",B424=Dashboard!$C$14),OR(Dashboard!$C$15="All",C424=Dashboard!$C$15),OR(Dashboard!$C$17="All",J424=Dashboard!$C$17)),1,0)</f>
        <v>1</v>
      </c>
      <c r="Q424" s="24">
        <f>IF(AND(L424=1,OR(Dashboard!$C$14="All",B424=Dashboard!$C$14),OR(Dashboard!$C$15="All",C424=Dashboard!$C$15),OR(Dashboard!$C$16="All",K424=Dashboard!$C$16),OR(Dashboard!$C$17="All",J424=Dashboard!$C$17)),1,0)</f>
        <v>1</v>
      </c>
      <c r="R424" s="24">
        <f>IF(AND(L424=1,OR(Dashboard!$C$13="All",A424=Dashboard!$C$13),OR(Dashboard!$C$14="All",B424=Dashboard!$C$14),OR(Dashboard!$C$15="All",C424=Dashboard!$C$15),OR(Dashboard!$C$16="All",K424=Dashboard!$C$16)),1,0)</f>
        <v>1</v>
      </c>
      <c r="S424" s="24">
        <f t="shared" si="3"/>
        <v>423</v>
      </c>
    </row>
    <row r="425" ht="15.75" customHeight="1">
      <c r="A425" s="10" t="s">
        <v>405</v>
      </c>
      <c r="B425" s="13"/>
      <c r="C425" s="10" t="s">
        <v>175</v>
      </c>
      <c r="D425" s="13">
        <v>10.0</v>
      </c>
      <c r="E425" s="17">
        <v>245.0</v>
      </c>
      <c r="F425" s="15">
        <f t="shared" si="4"/>
        <v>2450</v>
      </c>
      <c r="G425" s="6">
        <v>46167.0</v>
      </c>
      <c r="H425" s="22">
        <v>15.0</v>
      </c>
      <c r="I425" s="16">
        <f t="shared" si="5"/>
        <v>46272</v>
      </c>
      <c r="J425" s="13" t="s">
        <v>25</v>
      </c>
      <c r="K425" s="13" t="s">
        <v>31</v>
      </c>
      <c r="L425" s="24">
        <f>IF(A425="","",IF(OR(G425="",AND(G425&gt;=Dashboard!$C$18,G425&lt;=Dashboard!$C$19)),1,0))</f>
        <v>1</v>
      </c>
      <c r="M425" s="24">
        <f>IF(AND(L425=1,OR(Dashboard!$C$13="All",A425=Dashboard!$C$13),OR(Dashboard!$C$14="All",B425=Dashboard!$C$14),OR(Dashboard!$C$15="All",C425=Dashboard!$C$15),OR(Dashboard!$C$16="All",K425=Dashboard!$C$16),OR(Dashboard!$C$17="All",J425=Dashboard!$C$17)),1,0)</f>
        <v>1</v>
      </c>
      <c r="N425" s="24">
        <f>IF(AND(L425=1,OR(Dashboard!$C$13="All",A425=Dashboard!$C$13),OR(Dashboard!$C$14="All",B425=Dashboard!$C$14),OR(Dashboard!$C$16="All",K425=Dashboard!$C$16),OR(Dashboard!$C$17="All",J425=Dashboard!$C$17)),1,0)</f>
        <v>1</v>
      </c>
      <c r="O425" s="24">
        <f>IF(AND(L425=1,OR(Dashboard!$C$13="All",A425=Dashboard!$C$13),OR(Dashboard!$C$15="All",C425=Dashboard!$C$15),OR(Dashboard!$C$16="All",K425=Dashboard!$C$16),OR(Dashboard!$C$17="All",J425=Dashboard!$C$17)),1,0)</f>
        <v>1</v>
      </c>
      <c r="P425" s="24">
        <f>IF(AND(L425=1,OR(Dashboard!$C$13="All",A425=Dashboard!$C$13),OR(Dashboard!$C$14="All",B425=Dashboard!$C$14),OR(Dashboard!$C$15="All",C425=Dashboard!$C$15),OR(Dashboard!$C$17="All",J425=Dashboard!$C$17)),1,0)</f>
        <v>1</v>
      </c>
      <c r="Q425" s="24">
        <f>IF(AND(L425=1,OR(Dashboard!$C$14="All",B425=Dashboard!$C$14),OR(Dashboard!$C$15="All",C425=Dashboard!$C$15),OR(Dashboard!$C$16="All",K425=Dashboard!$C$16),OR(Dashboard!$C$17="All",J425=Dashboard!$C$17)),1,0)</f>
        <v>1</v>
      </c>
      <c r="R425" s="24">
        <f>IF(AND(L425=1,OR(Dashboard!$C$13="All",A425=Dashboard!$C$13),OR(Dashboard!$C$14="All",B425=Dashboard!$C$14),OR(Dashboard!$C$15="All",C425=Dashboard!$C$15),OR(Dashboard!$C$16="All",K425=Dashboard!$C$16)),1,0)</f>
        <v>1</v>
      </c>
      <c r="S425" s="24">
        <f t="shared" si="3"/>
        <v>424</v>
      </c>
    </row>
    <row r="426" ht="15.75" customHeight="1">
      <c r="A426" s="3" t="s">
        <v>407</v>
      </c>
      <c r="B426" s="4"/>
      <c r="C426" s="3" t="s">
        <v>122</v>
      </c>
      <c r="D426" s="4">
        <v>2.0</v>
      </c>
      <c r="E426" s="14">
        <v>2555.0</v>
      </c>
      <c r="F426" s="5">
        <f t="shared" si="4"/>
        <v>5110</v>
      </c>
      <c r="G426" s="6">
        <v>46168.0</v>
      </c>
      <c r="H426" s="22">
        <v>15.0</v>
      </c>
      <c r="I426" s="7">
        <f t="shared" si="5"/>
        <v>46273</v>
      </c>
      <c r="J426" s="4" t="s">
        <v>25</v>
      </c>
      <c r="K426" s="4" t="s">
        <v>31</v>
      </c>
      <c r="L426" s="24">
        <f>IF(A426="","",IF(OR(G426="",AND(G426&gt;=Dashboard!$C$18,G426&lt;=Dashboard!$C$19)),1,0))</f>
        <v>1</v>
      </c>
      <c r="M426" s="24">
        <f>IF(AND(L426=1,OR(Dashboard!$C$13="All",A426=Dashboard!$C$13),OR(Dashboard!$C$14="All",B426=Dashboard!$C$14),OR(Dashboard!$C$15="All",C426=Dashboard!$C$15),OR(Dashboard!$C$16="All",K426=Dashboard!$C$16),OR(Dashboard!$C$17="All",J426=Dashboard!$C$17)),1,0)</f>
        <v>1</v>
      </c>
      <c r="N426" s="24">
        <f>IF(AND(L426=1,OR(Dashboard!$C$13="All",A426=Dashboard!$C$13),OR(Dashboard!$C$14="All",B426=Dashboard!$C$14),OR(Dashboard!$C$16="All",K426=Dashboard!$C$16),OR(Dashboard!$C$17="All",J426=Dashboard!$C$17)),1,0)</f>
        <v>1</v>
      </c>
      <c r="O426" s="24">
        <f>IF(AND(L426=1,OR(Dashboard!$C$13="All",A426=Dashboard!$C$13),OR(Dashboard!$C$15="All",C426=Dashboard!$C$15),OR(Dashboard!$C$16="All",K426=Dashboard!$C$16),OR(Dashboard!$C$17="All",J426=Dashboard!$C$17)),1,0)</f>
        <v>1</v>
      </c>
      <c r="P426" s="24">
        <f>IF(AND(L426=1,OR(Dashboard!$C$13="All",A426=Dashboard!$C$13),OR(Dashboard!$C$14="All",B426=Dashboard!$C$14),OR(Dashboard!$C$15="All",C426=Dashboard!$C$15),OR(Dashboard!$C$17="All",J426=Dashboard!$C$17)),1,0)</f>
        <v>1</v>
      </c>
      <c r="Q426" s="24">
        <f>IF(AND(L426=1,OR(Dashboard!$C$14="All",B426=Dashboard!$C$14),OR(Dashboard!$C$15="All",C426=Dashboard!$C$15),OR(Dashboard!$C$16="All",K426=Dashboard!$C$16),OR(Dashboard!$C$17="All",J426=Dashboard!$C$17)),1,0)</f>
        <v>1</v>
      </c>
      <c r="R426" s="24">
        <f>IF(AND(L426=1,OR(Dashboard!$C$13="All",A426=Dashboard!$C$13),OR(Dashboard!$C$14="All",B426=Dashboard!$C$14),OR(Dashboard!$C$15="All",C426=Dashboard!$C$15),OR(Dashboard!$C$16="All",K426=Dashboard!$C$16)),1,0)</f>
        <v>1</v>
      </c>
      <c r="S426" s="24">
        <f t="shared" si="3"/>
        <v>425</v>
      </c>
    </row>
    <row r="427" ht="15.75" customHeight="1">
      <c r="A427" s="10" t="s">
        <v>407</v>
      </c>
      <c r="B427" s="13"/>
      <c r="C427" s="10" t="s">
        <v>631</v>
      </c>
      <c r="D427" s="13">
        <v>1.0</v>
      </c>
      <c r="E427" s="17">
        <v>255.0</v>
      </c>
      <c r="F427" s="15">
        <f t="shared" si="4"/>
        <v>255</v>
      </c>
      <c r="G427" s="6">
        <v>46169.0</v>
      </c>
      <c r="H427" s="22">
        <v>14.0</v>
      </c>
      <c r="I427" s="16">
        <f t="shared" si="5"/>
        <v>46267</v>
      </c>
      <c r="J427" s="13" t="s">
        <v>25</v>
      </c>
      <c r="K427" s="13" t="s">
        <v>31</v>
      </c>
      <c r="L427" s="24">
        <f>IF(A427="","",IF(OR(G427="",AND(G427&gt;=Dashboard!$C$18,G427&lt;=Dashboard!$C$19)),1,0))</f>
        <v>1</v>
      </c>
      <c r="M427" s="24">
        <f>IF(AND(L427=1,OR(Dashboard!$C$13="All",A427=Dashboard!$C$13),OR(Dashboard!$C$14="All",B427=Dashboard!$C$14),OR(Dashboard!$C$15="All",C427=Dashboard!$C$15),OR(Dashboard!$C$16="All",K427=Dashboard!$C$16),OR(Dashboard!$C$17="All",J427=Dashboard!$C$17)),1,0)</f>
        <v>1</v>
      </c>
      <c r="N427" s="24">
        <f>IF(AND(L427=1,OR(Dashboard!$C$13="All",A427=Dashboard!$C$13),OR(Dashboard!$C$14="All",B427=Dashboard!$C$14),OR(Dashboard!$C$16="All",K427=Dashboard!$C$16),OR(Dashboard!$C$17="All",J427=Dashboard!$C$17)),1,0)</f>
        <v>1</v>
      </c>
      <c r="O427" s="24">
        <f>IF(AND(L427=1,OR(Dashboard!$C$13="All",A427=Dashboard!$C$13),OR(Dashboard!$C$15="All",C427=Dashboard!$C$15),OR(Dashboard!$C$16="All",K427=Dashboard!$C$16),OR(Dashboard!$C$17="All",J427=Dashboard!$C$17)),1,0)</f>
        <v>1</v>
      </c>
      <c r="P427" s="24">
        <f>IF(AND(L427=1,OR(Dashboard!$C$13="All",A427=Dashboard!$C$13),OR(Dashboard!$C$14="All",B427=Dashboard!$C$14),OR(Dashboard!$C$15="All",C427=Dashboard!$C$15),OR(Dashboard!$C$17="All",J427=Dashboard!$C$17)),1,0)</f>
        <v>1</v>
      </c>
      <c r="Q427" s="24">
        <f>IF(AND(L427=1,OR(Dashboard!$C$14="All",B427=Dashboard!$C$14),OR(Dashboard!$C$15="All",C427=Dashboard!$C$15),OR(Dashboard!$C$16="All",K427=Dashboard!$C$16),OR(Dashboard!$C$17="All",J427=Dashboard!$C$17)),1,0)</f>
        <v>1</v>
      </c>
      <c r="R427" s="24">
        <f>IF(AND(L427=1,OR(Dashboard!$C$13="All",A427=Dashboard!$C$13),OR(Dashboard!$C$14="All",B427=Dashboard!$C$14),OR(Dashboard!$C$15="All",C427=Dashboard!$C$15),OR(Dashboard!$C$16="All",K427=Dashboard!$C$16)),1,0)</f>
        <v>1</v>
      </c>
      <c r="S427" s="24">
        <f t="shared" si="3"/>
        <v>426</v>
      </c>
    </row>
    <row r="428" ht="15.75" customHeight="1">
      <c r="A428" s="3" t="s">
        <v>409</v>
      </c>
      <c r="B428" s="4"/>
      <c r="C428" s="3" t="s">
        <v>662</v>
      </c>
      <c r="D428" s="4">
        <v>2000.0</v>
      </c>
      <c r="E428" s="14">
        <v>45.0</v>
      </c>
      <c r="F428" s="5">
        <f t="shared" si="4"/>
        <v>90000</v>
      </c>
      <c r="G428" s="6">
        <v>46170.0</v>
      </c>
      <c r="H428" s="22">
        <v>17.0</v>
      </c>
      <c r="I428" s="7">
        <f t="shared" si="5"/>
        <v>46289</v>
      </c>
      <c r="J428" s="4" t="s">
        <v>25</v>
      </c>
      <c r="K428" s="4" t="s">
        <v>31</v>
      </c>
      <c r="L428" s="24">
        <f>IF(A428="","",IF(OR(G428="",AND(G428&gt;=Dashboard!$C$18,G428&lt;=Dashboard!$C$19)),1,0))</f>
        <v>1</v>
      </c>
      <c r="M428" s="24">
        <f>IF(AND(L428=1,OR(Dashboard!$C$13="All",A428=Dashboard!$C$13),OR(Dashboard!$C$14="All",B428=Dashboard!$C$14),OR(Dashboard!$C$15="All",C428=Dashboard!$C$15),OR(Dashboard!$C$16="All",K428=Dashboard!$C$16),OR(Dashboard!$C$17="All",J428=Dashboard!$C$17)),1,0)</f>
        <v>1</v>
      </c>
      <c r="N428" s="24">
        <f>IF(AND(L428=1,OR(Dashboard!$C$13="All",A428=Dashboard!$C$13),OR(Dashboard!$C$14="All",B428=Dashboard!$C$14),OR(Dashboard!$C$16="All",K428=Dashboard!$C$16),OR(Dashboard!$C$17="All",J428=Dashboard!$C$17)),1,0)</f>
        <v>1</v>
      </c>
      <c r="O428" s="24">
        <f>IF(AND(L428=1,OR(Dashboard!$C$13="All",A428=Dashboard!$C$13),OR(Dashboard!$C$15="All",C428=Dashboard!$C$15),OR(Dashboard!$C$16="All",K428=Dashboard!$C$16),OR(Dashboard!$C$17="All",J428=Dashboard!$C$17)),1,0)</f>
        <v>1</v>
      </c>
      <c r="P428" s="24">
        <f>IF(AND(L428=1,OR(Dashboard!$C$13="All",A428=Dashboard!$C$13),OR(Dashboard!$C$14="All",B428=Dashboard!$C$14),OR(Dashboard!$C$15="All",C428=Dashboard!$C$15),OR(Dashboard!$C$17="All",J428=Dashboard!$C$17)),1,0)</f>
        <v>1</v>
      </c>
      <c r="Q428" s="24">
        <f>IF(AND(L428=1,OR(Dashboard!$C$14="All",B428=Dashboard!$C$14),OR(Dashboard!$C$15="All",C428=Dashboard!$C$15),OR(Dashboard!$C$16="All",K428=Dashboard!$C$16),OR(Dashboard!$C$17="All",J428=Dashboard!$C$17)),1,0)</f>
        <v>1</v>
      </c>
      <c r="R428" s="24">
        <f>IF(AND(L428=1,OR(Dashboard!$C$13="All",A428=Dashboard!$C$13),OR(Dashboard!$C$14="All",B428=Dashboard!$C$14),OR(Dashboard!$C$15="All",C428=Dashboard!$C$15),OR(Dashboard!$C$16="All",K428=Dashboard!$C$16)),1,0)</f>
        <v>1</v>
      </c>
      <c r="S428" s="24">
        <f t="shared" si="3"/>
        <v>427</v>
      </c>
    </row>
    <row r="429" ht="15.75" customHeight="1">
      <c r="A429" s="10" t="s">
        <v>409</v>
      </c>
      <c r="B429" s="13"/>
      <c r="C429" s="10" t="s">
        <v>237</v>
      </c>
      <c r="D429" s="13">
        <v>1.0</v>
      </c>
      <c r="E429" s="17">
        <v>36.0</v>
      </c>
      <c r="F429" s="15">
        <f t="shared" si="4"/>
        <v>36</v>
      </c>
      <c r="G429" s="6">
        <v>46171.0</v>
      </c>
      <c r="H429" s="22">
        <v>15.0</v>
      </c>
      <c r="I429" s="16">
        <f t="shared" si="5"/>
        <v>46276</v>
      </c>
      <c r="J429" s="13" t="s">
        <v>25</v>
      </c>
      <c r="K429" s="13" t="s">
        <v>31</v>
      </c>
      <c r="L429" s="24">
        <f>IF(A429="","",IF(OR(G429="",AND(G429&gt;=Dashboard!$C$18,G429&lt;=Dashboard!$C$19)),1,0))</f>
        <v>1</v>
      </c>
      <c r="M429" s="24">
        <f>IF(AND(L429=1,OR(Dashboard!$C$13="All",A429=Dashboard!$C$13),OR(Dashboard!$C$14="All",B429=Dashboard!$C$14),OR(Dashboard!$C$15="All",C429=Dashboard!$C$15),OR(Dashboard!$C$16="All",K429=Dashboard!$C$16),OR(Dashboard!$C$17="All",J429=Dashboard!$C$17)),1,0)</f>
        <v>1</v>
      </c>
      <c r="N429" s="24">
        <f>IF(AND(L429=1,OR(Dashboard!$C$13="All",A429=Dashboard!$C$13),OR(Dashboard!$C$14="All",B429=Dashboard!$C$14),OR(Dashboard!$C$16="All",K429=Dashboard!$C$16),OR(Dashboard!$C$17="All",J429=Dashboard!$C$17)),1,0)</f>
        <v>1</v>
      </c>
      <c r="O429" s="24">
        <f>IF(AND(L429=1,OR(Dashboard!$C$13="All",A429=Dashboard!$C$13),OR(Dashboard!$C$15="All",C429=Dashboard!$C$15),OR(Dashboard!$C$16="All",K429=Dashboard!$C$16),OR(Dashboard!$C$17="All",J429=Dashboard!$C$17)),1,0)</f>
        <v>1</v>
      </c>
      <c r="P429" s="24">
        <f>IF(AND(L429=1,OR(Dashboard!$C$13="All",A429=Dashboard!$C$13),OR(Dashboard!$C$14="All",B429=Dashboard!$C$14),OR(Dashboard!$C$15="All",C429=Dashboard!$C$15),OR(Dashboard!$C$17="All",J429=Dashboard!$C$17)),1,0)</f>
        <v>1</v>
      </c>
      <c r="Q429" s="24">
        <f>IF(AND(L429=1,OR(Dashboard!$C$14="All",B429=Dashboard!$C$14),OR(Dashboard!$C$15="All",C429=Dashboard!$C$15),OR(Dashboard!$C$16="All",K429=Dashboard!$C$16),OR(Dashboard!$C$17="All",J429=Dashboard!$C$17)),1,0)</f>
        <v>1</v>
      </c>
      <c r="R429" s="24">
        <f>IF(AND(L429=1,OR(Dashboard!$C$13="All",A429=Dashboard!$C$13),OR(Dashboard!$C$14="All",B429=Dashboard!$C$14),OR(Dashboard!$C$15="All",C429=Dashboard!$C$15),OR(Dashboard!$C$16="All",K429=Dashboard!$C$16)),1,0)</f>
        <v>1</v>
      </c>
      <c r="S429" s="24">
        <f t="shared" si="3"/>
        <v>428</v>
      </c>
    </row>
    <row r="430" ht="15.75" customHeight="1">
      <c r="A430" s="3" t="s">
        <v>412</v>
      </c>
      <c r="B430" s="4"/>
      <c r="C430" s="3" t="s">
        <v>118</v>
      </c>
      <c r="D430" s="4">
        <v>2.0</v>
      </c>
      <c r="E430" s="14">
        <v>96.0</v>
      </c>
      <c r="F430" s="5">
        <f t="shared" si="4"/>
        <v>192</v>
      </c>
      <c r="G430" s="6">
        <v>46172.0</v>
      </c>
      <c r="H430" s="22">
        <v>17.0</v>
      </c>
      <c r="I430" s="7">
        <f t="shared" si="5"/>
        <v>46291</v>
      </c>
      <c r="J430" s="4" t="s">
        <v>25</v>
      </c>
      <c r="K430" s="4" t="s">
        <v>31</v>
      </c>
      <c r="L430" s="24">
        <f>IF(A430="","",IF(OR(G430="",AND(G430&gt;=Dashboard!$C$18,G430&lt;=Dashboard!$C$19)),1,0))</f>
        <v>1</v>
      </c>
      <c r="M430" s="24">
        <f>IF(AND(L430=1,OR(Dashboard!$C$13="All",A430=Dashboard!$C$13),OR(Dashboard!$C$14="All",B430=Dashboard!$C$14),OR(Dashboard!$C$15="All",C430=Dashboard!$C$15),OR(Dashboard!$C$16="All",K430=Dashboard!$C$16),OR(Dashboard!$C$17="All",J430=Dashboard!$C$17)),1,0)</f>
        <v>1</v>
      </c>
      <c r="N430" s="24">
        <f>IF(AND(L430=1,OR(Dashboard!$C$13="All",A430=Dashboard!$C$13),OR(Dashboard!$C$14="All",B430=Dashboard!$C$14),OR(Dashboard!$C$16="All",K430=Dashboard!$C$16),OR(Dashboard!$C$17="All",J430=Dashboard!$C$17)),1,0)</f>
        <v>1</v>
      </c>
      <c r="O430" s="24">
        <f>IF(AND(L430=1,OR(Dashboard!$C$13="All",A430=Dashboard!$C$13),OR(Dashboard!$C$15="All",C430=Dashboard!$C$15),OR(Dashboard!$C$16="All",K430=Dashboard!$C$16),OR(Dashboard!$C$17="All",J430=Dashboard!$C$17)),1,0)</f>
        <v>1</v>
      </c>
      <c r="P430" s="24">
        <f>IF(AND(L430=1,OR(Dashboard!$C$13="All",A430=Dashboard!$C$13),OR(Dashboard!$C$14="All",B430=Dashboard!$C$14),OR(Dashboard!$C$15="All",C430=Dashboard!$C$15),OR(Dashboard!$C$17="All",J430=Dashboard!$C$17)),1,0)</f>
        <v>1</v>
      </c>
      <c r="Q430" s="24">
        <f>IF(AND(L430=1,OR(Dashboard!$C$14="All",B430=Dashboard!$C$14),OR(Dashboard!$C$15="All",C430=Dashboard!$C$15),OR(Dashboard!$C$16="All",K430=Dashboard!$C$16),OR(Dashboard!$C$17="All",J430=Dashboard!$C$17)),1,0)</f>
        <v>1</v>
      </c>
      <c r="R430" s="24">
        <f>IF(AND(L430=1,OR(Dashboard!$C$13="All",A430=Dashboard!$C$13),OR(Dashboard!$C$14="All",B430=Dashboard!$C$14),OR(Dashboard!$C$15="All",C430=Dashboard!$C$15),OR(Dashboard!$C$16="All",K430=Dashboard!$C$16)),1,0)</f>
        <v>1</v>
      </c>
      <c r="S430" s="24">
        <f t="shared" si="3"/>
        <v>429</v>
      </c>
    </row>
    <row r="431" ht="15.75" customHeight="1">
      <c r="A431" s="10" t="s">
        <v>415</v>
      </c>
      <c r="B431" s="13"/>
      <c r="C431" s="10" t="s">
        <v>285</v>
      </c>
      <c r="D431" s="13" t="s">
        <v>669</v>
      </c>
      <c r="E431" s="17">
        <v>8.0</v>
      </c>
      <c r="F431" s="15" t="str">
        <f t="shared" si="4"/>
        <v>#VALUE!</v>
      </c>
      <c r="G431" s="6">
        <v>46173.0</v>
      </c>
      <c r="H431" s="22">
        <v>14.0</v>
      </c>
      <c r="I431" s="16">
        <f t="shared" si="5"/>
        <v>46271</v>
      </c>
      <c r="J431" s="13" t="s">
        <v>25</v>
      </c>
      <c r="K431" s="13" t="s">
        <v>31</v>
      </c>
      <c r="L431" s="24">
        <f>IF(A431="","",IF(OR(G431="",AND(G431&gt;=Dashboard!$C$18,G431&lt;=Dashboard!$C$19)),1,0))</f>
        <v>1</v>
      </c>
      <c r="M431" s="24">
        <f>IF(AND(L431=1,OR(Dashboard!$C$13="All",A431=Dashboard!$C$13),OR(Dashboard!$C$14="All",B431=Dashboard!$C$14),OR(Dashboard!$C$15="All",C431=Dashboard!$C$15),OR(Dashboard!$C$16="All",K431=Dashboard!$C$16),OR(Dashboard!$C$17="All",J431=Dashboard!$C$17)),1,0)</f>
        <v>1</v>
      </c>
      <c r="N431" s="24">
        <f>IF(AND(L431=1,OR(Dashboard!$C$13="All",A431=Dashboard!$C$13),OR(Dashboard!$C$14="All",B431=Dashboard!$C$14),OR(Dashboard!$C$16="All",K431=Dashboard!$C$16),OR(Dashboard!$C$17="All",J431=Dashboard!$C$17)),1,0)</f>
        <v>1</v>
      </c>
      <c r="O431" s="24">
        <f>IF(AND(L431=1,OR(Dashboard!$C$13="All",A431=Dashboard!$C$13),OR(Dashboard!$C$15="All",C431=Dashboard!$C$15),OR(Dashboard!$C$16="All",K431=Dashboard!$C$16),OR(Dashboard!$C$17="All",J431=Dashboard!$C$17)),1,0)</f>
        <v>1</v>
      </c>
      <c r="P431" s="24">
        <f>IF(AND(L431=1,OR(Dashboard!$C$13="All",A431=Dashboard!$C$13),OR(Dashboard!$C$14="All",B431=Dashboard!$C$14),OR(Dashboard!$C$15="All",C431=Dashboard!$C$15),OR(Dashboard!$C$17="All",J431=Dashboard!$C$17)),1,0)</f>
        <v>1</v>
      </c>
      <c r="Q431" s="24">
        <f>IF(AND(L431=1,OR(Dashboard!$C$14="All",B431=Dashboard!$C$14),OR(Dashboard!$C$15="All",C431=Dashboard!$C$15),OR(Dashboard!$C$16="All",K431=Dashboard!$C$16),OR(Dashboard!$C$17="All",J431=Dashboard!$C$17)),1,0)</f>
        <v>1</v>
      </c>
      <c r="R431" s="24">
        <f>IF(AND(L431=1,OR(Dashboard!$C$13="All",A431=Dashboard!$C$13),OR(Dashboard!$C$14="All",B431=Dashboard!$C$14),OR(Dashboard!$C$15="All",C431=Dashboard!$C$15),OR(Dashboard!$C$16="All",K431=Dashboard!$C$16)),1,0)</f>
        <v>1</v>
      </c>
      <c r="S431" s="24">
        <f t="shared" si="3"/>
        <v>430</v>
      </c>
    </row>
    <row r="432" ht="15.75" customHeight="1">
      <c r="A432" s="3" t="s">
        <v>418</v>
      </c>
      <c r="B432" s="4"/>
      <c r="C432" s="3" t="s">
        <v>550</v>
      </c>
      <c r="D432" s="4">
        <v>2.0</v>
      </c>
      <c r="E432" s="14">
        <v>5.0</v>
      </c>
      <c r="F432" s="5">
        <f t="shared" si="4"/>
        <v>10</v>
      </c>
      <c r="G432" s="6">
        <v>46174.0</v>
      </c>
      <c r="H432" s="22">
        <v>15.0</v>
      </c>
      <c r="I432" s="7">
        <f t="shared" si="5"/>
        <v>46279</v>
      </c>
      <c r="J432" s="4" t="s">
        <v>25</v>
      </c>
      <c r="K432" s="4" t="s">
        <v>31</v>
      </c>
      <c r="L432" s="24">
        <f>IF(A432="","",IF(OR(G432="",AND(G432&gt;=Dashboard!$C$18,G432&lt;=Dashboard!$C$19)),1,0))</f>
        <v>1</v>
      </c>
      <c r="M432" s="24">
        <f>IF(AND(L432=1,OR(Dashboard!$C$13="All",A432=Dashboard!$C$13),OR(Dashboard!$C$14="All",B432=Dashboard!$C$14),OR(Dashboard!$C$15="All",C432=Dashboard!$C$15),OR(Dashboard!$C$16="All",K432=Dashboard!$C$16),OR(Dashboard!$C$17="All",J432=Dashboard!$C$17)),1,0)</f>
        <v>1</v>
      </c>
      <c r="N432" s="24">
        <f>IF(AND(L432=1,OR(Dashboard!$C$13="All",A432=Dashboard!$C$13),OR(Dashboard!$C$14="All",B432=Dashboard!$C$14),OR(Dashboard!$C$16="All",K432=Dashboard!$C$16),OR(Dashboard!$C$17="All",J432=Dashboard!$C$17)),1,0)</f>
        <v>1</v>
      </c>
      <c r="O432" s="24">
        <f>IF(AND(L432=1,OR(Dashboard!$C$13="All",A432=Dashboard!$C$13),OR(Dashboard!$C$15="All",C432=Dashboard!$C$15),OR(Dashboard!$C$16="All",K432=Dashboard!$C$16),OR(Dashboard!$C$17="All",J432=Dashboard!$C$17)),1,0)</f>
        <v>1</v>
      </c>
      <c r="P432" s="24">
        <f>IF(AND(L432=1,OR(Dashboard!$C$13="All",A432=Dashboard!$C$13),OR(Dashboard!$C$14="All",B432=Dashboard!$C$14),OR(Dashboard!$C$15="All",C432=Dashboard!$C$15),OR(Dashboard!$C$17="All",J432=Dashboard!$C$17)),1,0)</f>
        <v>1</v>
      </c>
      <c r="Q432" s="24">
        <f>IF(AND(L432=1,OR(Dashboard!$C$14="All",B432=Dashboard!$C$14),OR(Dashboard!$C$15="All",C432=Dashboard!$C$15),OR(Dashboard!$C$16="All",K432=Dashboard!$C$16),OR(Dashboard!$C$17="All",J432=Dashboard!$C$17)),1,0)</f>
        <v>1</v>
      </c>
      <c r="R432" s="24">
        <f>IF(AND(L432=1,OR(Dashboard!$C$13="All",A432=Dashboard!$C$13),OR(Dashboard!$C$14="All",B432=Dashboard!$C$14),OR(Dashboard!$C$15="All",C432=Dashboard!$C$15),OR(Dashboard!$C$16="All",K432=Dashboard!$C$16)),1,0)</f>
        <v>1</v>
      </c>
      <c r="S432" s="24">
        <f t="shared" si="3"/>
        <v>431</v>
      </c>
    </row>
    <row r="433" ht="15.75" customHeight="1">
      <c r="A433" s="10" t="s">
        <v>418</v>
      </c>
      <c r="B433" s="13"/>
      <c r="C433" s="10" t="s">
        <v>604</v>
      </c>
      <c r="D433" s="13">
        <v>1.0</v>
      </c>
      <c r="E433" s="17">
        <v>4.0</v>
      </c>
      <c r="F433" s="15">
        <f t="shared" si="4"/>
        <v>4</v>
      </c>
      <c r="G433" s="6">
        <v>46175.0</v>
      </c>
      <c r="H433" s="22">
        <v>8.0</v>
      </c>
      <c r="I433" s="16">
        <f t="shared" si="5"/>
        <v>46231</v>
      </c>
      <c r="J433" s="13" t="s">
        <v>25</v>
      </c>
      <c r="K433" s="13" t="s">
        <v>31</v>
      </c>
      <c r="L433" s="24">
        <f>IF(A433="","",IF(OR(G433="",AND(G433&gt;=Dashboard!$C$18,G433&lt;=Dashboard!$C$19)),1,0))</f>
        <v>1</v>
      </c>
      <c r="M433" s="24">
        <f>IF(AND(L433=1,OR(Dashboard!$C$13="All",A433=Dashboard!$C$13),OR(Dashboard!$C$14="All",B433=Dashboard!$C$14),OR(Dashboard!$C$15="All",C433=Dashboard!$C$15),OR(Dashboard!$C$16="All",K433=Dashboard!$C$16),OR(Dashboard!$C$17="All",J433=Dashboard!$C$17)),1,0)</f>
        <v>1</v>
      </c>
      <c r="N433" s="24">
        <f>IF(AND(L433=1,OR(Dashboard!$C$13="All",A433=Dashboard!$C$13),OR(Dashboard!$C$14="All",B433=Dashboard!$C$14),OR(Dashboard!$C$16="All",K433=Dashboard!$C$16),OR(Dashboard!$C$17="All",J433=Dashboard!$C$17)),1,0)</f>
        <v>1</v>
      </c>
      <c r="O433" s="24">
        <f>IF(AND(L433=1,OR(Dashboard!$C$13="All",A433=Dashboard!$C$13),OR(Dashboard!$C$15="All",C433=Dashboard!$C$15),OR(Dashboard!$C$16="All",K433=Dashboard!$C$16),OR(Dashboard!$C$17="All",J433=Dashboard!$C$17)),1,0)</f>
        <v>1</v>
      </c>
      <c r="P433" s="24">
        <f>IF(AND(L433=1,OR(Dashboard!$C$13="All",A433=Dashboard!$C$13),OR(Dashboard!$C$14="All",B433=Dashboard!$C$14),OR(Dashboard!$C$15="All",C433=Dashboard!$C$15),OR(Dashboard!$C$17="All",J433=Dashboard!$C$17)),1,0)</f>
        <v>1</v>
      </c>
      <c r="Q433" s="24">
        <f>IF(AND(L433=1,OR(Dashboard!$C$14="All",B433=Dashboard!$C$14),OR(Dashboard!$C$15="All",C433=Dashboard!$C$15),OR(Dashboard!$C$16="All",K433=Dashboard!$C$16),OR(Dashboard!$C$17="All",J433=Dashboard!$C$17)),1,0)</f>
        <v>1</v>
      </c>
      <c r="R433" s="24">
        <f>IF(AND(L433=1,OR(Dashboard!$C$13="All",A433=Dashboard!$C$13),OR(Dashboard!$C$14="All",B433=Dashboard!$C$14),OR(Dashboard!$C$15="All",C433=Dashboard!$C$15),OR(Dashboard!$C$16="All",K433=Dashboard!$C$16)),1,0)</f>
        <v>1</v>
      </c>
      <c r="S433" s="24">
        <f t="shared" si="3"/>
        <v>432</v>
      </c>
    </row>
    <row r="434" ht="15.75" customHeight="1">
      <c r="A434" s="3" t="s">
        <v>418</v>
      </c>
      <c r="B434" s="4"/>
      <c r="C434" s="3" t="s">
        <v>518</v>
      </c>
      <c r="D434" s="4">
        <v>1.0</v>
      </c>
      <c r="E434" s="14">
        <v>2.0</v>
      </c>
      <c r="F434" s="5">
        <f t="shared" si="4"/>
        <v>2</v>
      </c>
      <c r="G434" s="6">
        <v>46176.0</v>
      </c>
      <c r="H434" s="22">
        <v>6.0</v>
      </c>
      <c r="I434" s="7">
        <f t="shared" si="5"/>
        <v>46218</v>
      </c>
      <c r="J434" s="4" t="s">
        <v>25</v>
      </c>
      <c r="K434" s="4" t="s">
        <v>31</v>
      </c>
      <c r="L434" s="24">
        <f>IF(A434="","",IF(OR(G434="",AND(G434&gt;=Dashboard!$C$18,G434&lt;=Dashboard!$C$19)),1,0))</f>
        <v>1</v>
      </c>
      <c r="M434" s="24">
        <f>IF(AND(L434=1,OR(Dashboard!$C$13="All",A434=Dashboard!$C$13),OR(Dashboard!$C$14="All",B434=Dashboard!$C$14),OR(Dashboard!$C$15="All",C434=Dashboard!$C$15),OR(Dashboard!$C$16="All",K434=Dashboard!$C$16),OR(Dashboard!$C$17="All",J434=Dashboard!$C$17)),1,0)</f>
        <v>1</v>
      </c>
      <c r="N434" s="24">
        <f>IF(AND(L434=1,OR(Dashboard!$C$13="All",A434=Dashboard!$C$13),OR(Dashboard!$C$14="All",B434=Dashboard!$C$14),OR(Dashboard!$C$16="All",K434=Dashboard!$C$16),OR(Dashboard!$C$17="All",J434=Dashboard!$C$17)),1,0)</f>
        <v>1</v>
      </c>
      <c r="O434" s="24">
        <f>IF(AND(L434=1,OR(Dashboard!$C$13="All",A434=Dashboard!$C$13),OR(Dashboard!$C$15="All",C434=Dashboard!$C$15),OR(Dashboard!$C$16="All",K434=Dashboard!$C$16),OR(Dashboard!$C$17="All",J434=Dashboard!$C$17)),1,0)</f>
        <v>1</v>
      </c>
      <c r="P434" s="24">
        <f>IF(AND(L434=1,OR(Dashboard!$C$13="All",A434=Dashboard!$C$13),OR(Dashboard!$C$14="All",B434=Dashboard!$C$14),OR(Dashboard!$C$15="All",C434=Dashboard!$C$15),OR(Dashboard!$C$17="All",J434=Dashboard!$C$17)),1,0)</f>
        <v>1</v>
      </c>
      <c r="Q434" s="24">
        <f>IF(AND(L434=1,OR(Dashboard!$C$14="All",B434=Dashboard!$C$14),OR(Dashboard!$C$15="All",C434=Dashboard!$C$15),OR(Dashboard!$C$16="All",K434=Dashboard!$C$16),OR(Dashboard!$C$17="All",J434=Dashboard!$C$17)),1,0)</f>
        <v>1</v>
      </c>
      <c r="R434" s="24">
        <f>IF(AND(L434=1,OR(Dashboard!$C$13="All",A434=Dashboard!$C$13),OR(Dashboard!$C$14="All",B434=Dashboard!$C$14),OR(Dashboard!$C$15="All",C434=Dashboard!$C$15),OR(Dashboard!$C$16="All",K434=Dashboard!$C$16)),1,0)</f>
        <v>1</v>
      </c>
      <c r="S434" s="24">
        <f t="shared" si="3"/>
        <v>433</v>
      </c>
    </row>
    <row r="435" ht="15.75" customHeight="1">
      <c r="A435" s="10" t="s">
        <v>421</v>
      </c>
      <c r="B435" s="13" t="s">
        <v>112</v>
      </c>
      <c r="C435" s="10" t="s">
        <v>160</v>
      </c>
      <c r="D435" s="13">
        <v>5000.0</v>
      </c>
      <c r="E435" s="17">
        <v>36.0</v>
      </c>
      <c r="F435" s="15">
        <f t="shared" si="4"/>
        <v>180000</v>
      </c>
      <c r="G435" s="6">
        <v>46177.0</v>
      </c>
      <c r="H435" s="22">
        <v>7.0</v>
      </c>
      <c r="I435" s="16">
        <f t="shared" si="5"/>
        <v>46226</v>
      </c>
      <c r="J435" s="13" t="s">
        <v>25</v>
      </c>
      <c r="K435" s="13" t="s">
        <v>31</v>
      </c>
      <c r="L435" s="24">
        <f>IF(A435="","",IF(OR(G435="",AND(G435&gt;=Dashboard!$C$18,G435&lt;=Dashboard!$C$19)),1,0))</f>
        <v>1</v>
      </c>
      <c r="M435" s="24">
        <f>IF(AND(L435=1,OR(Dashboard!$C$13="All",A435=Dashboard!$C$13),OR(Dashboard!$C$14="All",B435=Dashboard!$C$14),OR(Dashboard!$C$15="All",C435=Dashboard!$C$15),OR(Dashboard!$C$16="All",K435=Dashboard!$C$16),OR(Dashboard!$C$17="All",J435=Dashboard!$C$17)),1,0)</f>
        <v>1</v>
      </c>
      <c r="N435" s="24">
        <f>IF(AND(L435=1,OR(Dashboard!$C$13="All",A435=Dashboard!$C$13),OR(Dashboard!$C$14="All",B435=Dashboard!$C$14),OR(Dashboard!$C$16="All",K435=Dashboard!$C$16),OR(Dashboard!$C$17="All",J435=Dashboard!$C$17)),1,0)</f>
        <v>1</v>
      </c>
      <c r="O435" s="24">
        <f>IF(AND(L435=1,OR(Dashboard!$C$13="All",A435=Dashboard!$C$13),OR(Dashboard!$C$15="All",C435=Dashboard!$C$15),OR(Dashboard!$C$16="All",K435=Dashboard!$C$16),OR(Dashboard!$C$17="All",J435=Dashboard!$C$17)),1,0)</f>
        <v>1</v>
      </c>
      <c r="P435" s="24">
        <f>IF(AND(L435=1,OR(Dashboard!$C$13="All",A435=Dashboard!$C$13),OR(Dashboard!$C$14="All",B435=Dashboard!$C$14),OR(Dashboard!$C$15="All",C435=Dashboard!$C$15),OR(Dashboard!$C$17="All",J435=Dashboard!$C$17)),1,0)</f>
        <v>1</v>
      </c>
      <c r="Q435" s="24">
        <f>IF(AND(L435=1,OR(Dashboard!$C$14="All",B435=Dashboard!$C$14),OR(Dashboard!$C$15="All",C435=Dashboard!$C$15),OR(Dashboard!$C$16="All",K435=Dashboard!$C$16),OR(Dashboard!$C$17="All",J435=Dashboard!$C$17)),1,0)</f>
        <v>1</v>
      </c>
      <c r="R435" s="24">
        <f>IF(AND(L435=1,OR(Dashboard!$C$13="All",A435=Dashboard!$C$13),OR(Dashboard!$C$14="All",B435=Dashboard!$C$14),OR(Dashboard!$C$15="All",C435=Dashboard!$C$15),OR(Dashboard!$C$16="All",K435=Dashboard!$C$16)),1,0)</f>
        <v>1</v>
      </c>
      <c r="S435" s="24">
        <f t="shared" si="3"/>
        <v>434</v>
      </c>
    </row>
    <row r="436" ht="15.75" customHeight="1">
      <c r="A436" s="3" t="s">
        <v>154</v>
      </c>
      <c r="B436" s="4"/>
      <c r="C436" s="3" t="s">
        <v>59</v>
      </c>
      <c r="D436" s="4">
        <v>100.0</v>
      </c>
      <c r="E436" s="5">
        <v>2.0</v>
      </c>
      <c r="F436" s="5">
        <f t="shared" si="4"/>
        <v>200</v>
      </c>
      <c r="G436" s="6">
        <v>46178.0</v>
      </c>
      <c r="H436" s="22">
        <v>8.0</v>
      </c>
      <c r="I436" s="7">
        <f t="shared" si="5"/>
        <v>46234</v>
      </c>
      <c r="J436" s="4" t="s">
        <v>25</v>
      </c>
      <c r="K436" s="4" t="s">
        <v>31</v>
      </c>
      <c r="L436" s="24">
        <f>IF(A436="","",IF(OR(G436="",AND(G436&gt;=Dashboard!$C$18,G436&lt;=Dashboard!$C$19)),1,0))</f>
        <v>1</v>
      </c>
      <c r="M436" s="24">
        <f>IF(AND(L436=1,OR(Dashboard!$C$13="All",A436=Dashboard!$C$13),OR(Dashboard!$C$14="All",B436=Dashboard!$C$14),OR(Dashboard!$C$15="All",C436=Dashboard!$C$15),OR(Dashboard!$C$16="All",K436=Dashboard!$C$16),OR(Dashboard!$C$17="All",J436=Dashboard!$C$17)),1,0)</f>
        <v>1</v>
      </c>
      <c r="N436" s="24">
        <f>IF(AND(L436=1,OR(Dashboard!$C$13="All",A436=Dashboard!$C$13),OR(Dashboard!$C$14="All",B436=Dashboard!$C$14),OR(Dashboard!$C$16="All",K436=Dashboard!$C$16),OR(Dashboard!$C$17="All",J436=Dashboard!$C$17)),1,0)</f>
        <v>1</v>
      </c>
      <c r="O436" s="24">
        <f>IF(AND(L436=1,OR(Dashboard!$C$13="All",A436=Dashboard!$C$13),OR(Dashboard!$C$15="All",C436=Dashboard!$C$15),OR(Dashboard!$C$16="All",K436=Dashboard!$C$16),OR(Dashboard!$C$17="All",J436=Dashboard!$C$17)),1,0)</f>
        <v>1</v>
      </c>
      <c r="P436" s="24">
        <f>IF(AND(L436=1,OR(Dashboard!$C$13="All",A436=Dashboard!$C$13),OR(Dashboard!$C$14="All",B436=Dashboard!$C$14),OR(Dashboard!$C$15="All",C436=Dashboard!$C$15),OR(Dashboard!$C$17="All",J436=Dashboard!$C$17)),1,0)</f>
        <v>1</v>
      </c>
      <c r="Q436" s="24">
        <f>IF(AND(L436=1,OR(Dashboard!$C$14="All",B436=Dashboard!$C$14),OR(Dashboard!$C$15="All",C436=Dashboard!$C$15),OR(Dashboard!$C$16="All",K436=Dashboard!$C$16),OR(Dashboard!$C$17="All",J436=Dashboard!$C$17)),1,0)</f>
        <v>1</v>
      </c>
      <c r="R436" s="24">
        <f>IF(AND(L436=1,OR(Dashboard!$C$13="All",A436=Dashboard!$C$13),OR(Dashboard!$C$14="All",B436=Dashboard!$C$14),OR(Dashboard!$C$15="All",C436=Dashboard!$C$15),OR(Dashboard!$C$16="All",K436=Dashboard!$C$16)),1,0)</f>
        <v>1</v>
      </c>
      <c r="S436" s="24">
        <f t="shared" si="3"/>
        <v>435</v>
      </c>
    </row>
    <row r="437" ht="15.75" customHeight="1">
      <c r="A437" s="10" t="s">
        <v>424</v>
      </c>
      <c r="B437" s="13"/>
      <c r="C437" s="10" t="s">
        <v>660</v>
      </c>
      <c r="D437" s="13">
        <v>20.0</v>
      </c>
      <c r="E437" s="14">
        <v>5.0</v>
      </c>
      <c r="F437" s="15">
        <f t="shared" si="4"/>
        <v>100</v>
      </c>
      <c r="G437" s="6">
        <v>46179.0</v>
      </c>
      <c r="H437" s="22">
        <v>4.0</v>
      </c>
      <c r="I437" s="16">
        <f t="shared" si="5"/>
        <v>46207</v>
      </c>
      <c r="J437" s="13" t="s">
        <v>25</v>
      </c>
      <c r="K437" s="13" t="s">
        <v>31</v>
      </c>
      <c r="L437" s="24">
        <f>IF(A437="","",IF(OR(G437="",AND(G437&gt;=Dashboard!$C$18,G437&lt;=Dashboard!$C$19)),1,0))</f>
        <v>1</v>
      </c>
      <c r="M437" s="24">
        <f>IF(AND(L437=1,OR(Dashboard!$C$13="All",A437=Dashboard!$C$13),OR(Dashboard!$C$14="All",B437=Dashboard!$C$14),OR(Dashboard!$C$15="All",C437=Dashboard!$C$15),OR(Dashboard!$C$16="All",K437=Dashboard!$C$16),OR(Dashboard!$C$17="All",J437=Dashboard!$C$17)),1,0)</f>
        <v>1</v>
      </c>
      <c r="N437" s="24">
        <f>IF(AND(L437=1,OR(Dashboard!$C$13="All",A437=Dashboard!$C$13),OR(Dashboard!$C$14="All",B437=Dashboard!$C$14),OR(Dashboard!$C$16="All",K437=Dashboard!$C$16),OR(Dashboard!$C$17="All",J437=Dashboard!$C$17)),1,0)</f>
        <v>1</v>
      </c>
      <c r="O437" s="24">
        <f>IF(AND(L437=1,OR(Dashboard!$C$13="All",A437=Dashboard!$C$13),OR(Dashboard!$C$15="All",C437=Dashboard!$C$15),OR(Dashboard!$C$16="All",K437=Dashboard!$C$16),OR(Dashboard!$C$17="All",J437=Dashboard!$C$17)),1,0)</f>
        <v>1</v>
      </c>
      <c r="P437" s="24">
        <f>IF(AND(L437=1,OR(Dashboard!$C$13="All",A437=Dashboard!$C$13),OR(Dashboard!$C$14="All",B437=Dashboard!$C$14),OR(Dashboard!$C$15="All",C437=Dashboard!$C$15),OR(Dashboard!$C$17="All",J437=Dashboard!$C$17)),1,0)</f>
        <v>1</v>
      </c>
      <c r="Q437" s="24">
        <f>IF(AND(L437=1,OR(Dashboard!$C$14="All",B437=Dashboard!$C$14),OR(Dashboard!$C$15="All",C437=Dashboard!$C$15),OR(Dashboard!$C$16="All",K437=Dashboard!$C$16),OR(Dashboard!$C$17="All",J437=Dashboard!$C$17)),1,0)</f>
        <v>1</v>
      </c>
      <c r="R437" s="24">
        <f>IF(AND(L437=1,OR(Dashboard!$C$13="All",A437=Dashboard!$C$13),OR(Dashboard!$C$14="All",B437=Dashboard!$C$14),OR(Dashboard!$C$15="All",C437=Dashboard!$C$15),OR(Dashboard!$C$16="All",K437=Dashboard!$C$16)),1,0)</f>
        <v>1</v>
      </c>
      <c r="S437" s="24">
        <f t="shared" si="3"/>
        <v>436</v>
      </c>
    </row>
    <row r="438" ht="15.75" customHeight="1">
      <c r="A438" s="3" t="s">
        <v>426</v>
      </c>
      <c r="B438" s="4"/>
      <c r="C438" s="3" t="s">
        <v>391</v>
      </c>
      <c r="D438" s="4">
        <v>8.0</v>
      </c>
      <c r="E438" s="17">
        <v>6.0</v>
      </c>
      <c r="F438" s="5">
        <f t="shared" si="4"/>
        <v>48</v>
      </c>
      <c r="G438" s="6">
        <v>46180.0</v>
      </c>
      <c r="H438" s="22">
        <v>7.0</v>
      </c>
      <c r="I438" s="7">
        <f t="shared" si="5"/>
        <v>46229</v>
      </c>
      <c r="J438" s="4" t="s">
        <v>25</v>
      </c>
      <c r="K438" s="4" t="s">
        <v>31</v>
      </c>
      <c r="L438" s="24">
        <f>IF(A438="","",IF(OR(G438="",AND(G438&gt;=Dashboard!$C$18,G438&lt;=Dashboard!$C$19)),1,0))</f>
        <v>1</v>
      </c>
      <c r="M438" s="24">
        <f>IF(AND(L438=1,OR(Dashboard!$C$13="All",A438=Dashboard!$C$13),OR(Dashboard!$C$14="All",B438=Dashboard!$C$14),OR(Dashboard!$C$15="All",C438=Dashboard!$C$15),OR(Dashboard!$C$16="All",K438=Dashboard!$C$16),OR(Dashboard!$C$17="All",J438=Dashboard!$C$17)),1,0)</f>
        <v>1</v>
      </c>
      <c r="N438" s="24">
        <f>IF(AND(L438=1,OR(Dashboard!$C$13="All",A438=Dashboard!$C$13),OR(Dashboard!$C$14="All",B438=Dashboard!$C$14),OR(Dashboard!$C$16="All",K438=Dashboard!$C$16),OR(Dashboard!$C$17="All",J438=Dashboard!$C$17)),1,0)</f>
        <v>1</v>
      </c>
      <c r="O438" s="24">
        <f>IF(AND(L438=1,OR(Dashboard!$C$13="All",A438=Dashboard!$C$13),OR(Dashboard!$C$15="All",C438=Dashboard!$C$15),OR(Dashboard!$C$16="All",K438=Dashboard!$C$16),OR(Dashboard!$C$17="All",J438=Dashboard!$C$17)),1,0)</f>
        <v>1</v>
      </c>
      <c r="P438" s="24">
        <f>IF(AND(L438=1,OR(Dashboard!$C$13="All",A438=Dashboard!$C$13),OR(Dashboard!$C$14="All",B438=Dashboard!$C$14),OR(Dashboard!$C$15="All",C438=Dashboard!$C$15),OR(Dashboard!$C$17="All",J438=Dashboard!$C$17)),1,0)</f>
        <v>1</v>
      </c>
      <c r="Q438" s="24">
        <f>IF(AND(L438=1,OR(Dashboard!$C$14="All",B438=Dashboard!$C$14),OR(Dashboard!$C$15="All",C438=Dashboard!$C$15),OR(Dashboard!$C$16="All",K438=Dashboard!$C$16),OR(Dashboard!$C$17="All",J438=Dashboard!$C$17)),1,0)</f>
        <v>1</v>
      </c>
      <c r="R438" s="24">
        <f>IF(AND(L438=1,OR(Dashboard!$C$13="All",A438=Dashboard!$C$13),OR(Dashboard!$C$14="All",B438=Dashboard!$C$14),OR(Dashboard!$C$15="All",C438=Dashboard!$C$15),OR(Dashboard!$C$16="All",K438=Dashboard!$C$16)),1,0)</f>
        <v>1</v>
      </c>
      <c r="S438" s="24">
        <f t="shared" si="3"/>
        <v>437</v>
      </c>
    </row>
    <row r="439" ht="15.75" customHeight="1">
      <c r="A439" s="10" t="s">
        <v>426</v>
      </c>
      <c r="B439" s="13"/>
      <c r="C439" s="10" t="s">
        <v>473</v>
      </c>
      <c r="D439" s="13">
        <v>4.0</v>
      </c>
      <c r="E439" s="14">
        <v>7.0</v>
      </c>
      <c r="F439" s="15">
        <f t="shared" si="4"/>
        <v>28</v>
      </c>
      <c r="G439" s="6">
        <v>46181.0</v>
      </c>
      <c r="H439" s="22">
        <v>5.0</v>
      </c>
      <c r="I439" s="16">
        <f t="shared" si="5"/>
        <v>46216</v>
      </c>
      <c r="J439" s="13" t="s">
        <v>25</v>
      </c>
      <c r="K439" s="13" t="s">
        <v>31</v>
      </c>
      <c r="L439" s="24">
        <f>IF(A439="","",IF(OR(G439="",AND(G439&gt;=Dashboard!$C$18,G439&lt;=Dashboard!$C$19)),1,0))</f>
        <v>1</v>
      </c>
      <c r="M439" s="24">
        <f>IF(AND(L439=1,OR(Dashboard!$C$13="All",A439=Dashboard!$C$13),OR(Dashboard!$C$14="All",B439=Dashboard!$C$14),OR(Dashboard!$C$15="All",C439=Dashboard!$C$15),OR(Dashboard!$C$16="All",K439=Dashboard!$C$16),OR(Dashboard!$C$17="All",J439=Dashboard!$C$17)),1,0)</f>
        <v>1</v>
      </c>
      <c r="N439" s="24">
        <f>IF(AND(L439=1,OR(Dashboard!$C$13="All",A439=Dashboard!$C$13),OR(Dashboard!$C$14="All",B439=Dashboard!$C$14),OR(Dashboard!$C$16="All",K439=Dashboard!$C$16),OR(Dashboard!$C$17="All",J439=Dashboard!$C$17)),1,0)</f>
        <v>1</v>
      </c>
      <c r="O439" s="24">
        <f>IF(AND(L439=1,OR(Dashboard!$C$13="All",A439=Dashboard!$C$13),OR(Dashboard!$C$15="All",C439=Dashboard!$C$15),OR(Dashboard!$C$16="All",K439=Dashboard!$C$16),OR(Dashboard!$C$17="All",J439=Dashboard!$C$17)),1,0)</f>
        <v>1</v>
      </c>
      <c r="P439" s="24">
        <f>IF(AND(L439=1,OR(Dashboard!$C$13="All",A439=Dashboard!$C$13),OR(Dashboard!$C$14="All",B439=Dashboard!$C$14),OR(Dashboard!$C$15="All",C439=Dashboard!$C$15),OR(Dashboard!$C$17="All",J439=Dashboard!$C$17)),1,0)</f>
        <v>1</v>
      </c>
      <c r="Q439" s="24">
        <f>IF(AND(L439=1,OR(Dashboard!$C$14="All",B439=Dashboard!$C$14),OR(Dashboard!$C$15="All",C439=Dashboard!$C$15),OR(Dashboard!$C$16="All",K439=Dashboard!$C$16),OR(Dashboard!$C$17="All",J439=Dashboard!$C$17)),1,0)</f>
        <v>1</v>
      </c>
      <c r="R439" s="24">
        <f>IF(AND(L439=1,OR(Dashboard!$C$13="All",A439=Dashboard!$C$13),OR(Dashboard!$C$14="All",B439=Dashboard!$C$14),OR(Dashboard!$C$15="All",C439=Dashboard!$C$15),OR(Dashboard!$C$16="All",K439=Dashboard!$C$16)),1,0)</f>
        <v>1</v>
      </c>
      <c r="S439" s="24">
        <f t="shared" si="3"/>
        <v>438</v>
      </c>
    </row>
    <row r="440" ht="15.75" customHeight="1">
      <c r="A440" s="3" t="s">
        <v>426</v>
      </c>
      <c r="B440" s="4"/>
      <c r="C440" s="3" t="s">
        <v>465</v>
      </c>
      <c r="D440" s="4">
        <v>2.0</v>
      </c>
      <c r="E440" s="17">
        <v>8.0</v>
      </c>
      <c r="F440" s="5">
        <f t="shared" si="4"/>
        <v>16</v>
      </c>
      <c r="G440" s="6">
        <v>46182.0</v>
      </c>
      <c r="H440" s="22">
        <v>8.0</v>
      </c>
      <c r="I440" s="7">
        <f t="shared" si="5"/>
        <v>46238</v>
      </c>
      <c r="J440" s="4" t="s">
        <v>25</v>
      </c>
      <c r="K440" s="4" t="s">
        <v>31</v>
      </c>
      <c r="L440" s="24">
        <f>IF(A440="","",IF(OR(G440="",AND(G440&gt;=Dashboard!$C$18,G440&lt;=Dashboard!$C$19)),1,0))</f>
        <v>1</v>
      </c>
      <c r="M440" s="24">
        <f>IF(AND(L440=1,OR(Dashboard!$C$13="All",A440=Dashboard!$C$13),OR(Dashboard!$C$14="All",B440=Dashboard!$C$14),OR(Dashboard!$C$15="All",C440=Dashboard!$C$15),OR(Dashboard!$C$16="All",K440=Dashboard!$C$16),OR(Dashboard!$C$17="All",J440=Dashboard!$C$17)),1,0)</f>
        <v>1</v>
      </c>
      <c r="N440" s="24">
        <f>IF(AND(L440=1,OR(Dashboard!$C$13="All",A440=Dashboard!$C$13),OR(Dashboard!$C$14="All",B440=Dashboard!$C$14),OR(Dashboard!$C$16="All",K440=Dashboard!$C$16),OR(Dashboard!$C$17="All",J440=Dashboard!$C$17)),1,0)</f>
        <v>1</v>
      </c>
      <c r="O440" s="24">
        <f>IF(AND(L440=1,OR(Dashboard!$C$13="All",A440=Dashboard!$C$13),OR(Dashboard!$C$15="All",C440=Dashboard!$C$15),OR(Dashboard!$C$16="All",K440=Dashboard!$C$16),OR(Dashboard!$C$17="All",J440=Dashboard!$C$17)),1,0)</f>
        <v>1</v>
      </c>
      <c r="P440" s="24">
        <f>IF(AND(L440=1,OR(Dashboard!$C$13="All",A440=Dashboard!$C$13),OR(Dashboard!$C$14="All",B440=Dashboard!$C$14),OR(Dashboard!$C$15="All",C440=Dashboard!$C$15),OR(Dashboard!$C$17="All",J440=Dashboard!$C$17)),1,0)</f>
        <v>1</v>
      </c>
      <c r="Q440" s="24">
        <f>IF(AND(L440=1,OR(Dashboard!$C$14="All",B440=Dashboard!$C$14),OR(Dashboard!$C$15="All",C440=Dashboard!$C$15),OR(Dashboard!$C$16="All",K440=Dashboard!$C$16),OR(Dashboard!$C$17="All",J440=Dashboard!$C$17)),1,0)</f>
        <v>1</v>
      </c>
      <c r="R440" s="24">
        <f>IF(AND(L440=1,OR(Dashboard!$C$13="All",A440=Dashboard!$C$13),OR(Dashboard!$C$14="All",B440=Dashboard!$C$14),OR(Dashboard!$C$15="All",C440=Dashboard!$C$15),OR(Dashboard!$C$16="All",K440=Dashboard!$C$16)),1,0)</f>
        <v>1</v>
      </c>
      <c r="S440" s="24">
        <f t="shared" si="3"/>
        <v>439</v>
      </c>
    </row>
    <row r="441" ht="15.75" customHeight="1">
      <c r="A441" s="10" t="s">
        <v>426</v>
      </c>
      <c r="B441" s="13"/>
      <c r="C441" s="10" t="s">
        <v>600</v>
      </c>
      <c r="D441" s="13">
        <v>5.0</v>
      </c>
      <c r="E441" s="14">
        <v>2.0</v>
      </c>
      <c r="F441" s="15">
        <f t="shared" si="4"/>
        <v>10</v>
      </c>
      <c r="G441" s="6">
        <v>46183.0</v>
      </c>
      <c r="H441" s="22">
        <v>5.0</v>
      </c>
      <c r="I441" s="16">
        <f t="shared" si="5"/>
        <v>46218</v>
      </c>
      <c r="J441" s="13" t="s">
        <v>25</v>
      </c>
      <c r="K441" s="13" t="s">
        <v>31</v>
      </c>
      <c r="L441" s="24">
        <f>IF(A441="","",IF(OR(G441="",AND(G441&gt;=Dashboard!$C$18,G441&lt;=Dashboard!$C$19)),1,0))</f>
        <v>1</v>
      </c>
      <c r="M441" s="24">
        <f>IF(AND(L441=1,OR(Dashboard!$C$13="All",A441=Dashboard!$C$13),OR(Dashboard!$C$14="All",B441=Dashboard!$C$14),OR(Dashboard!$C$15="All",C441=Dashboard!$C$15),OR(Dashboard!$C$16="All",K441=Dashboard!$C$16),OR(Dashboard!$C$17="All",J441=Dashboard!$C$17)),1,0)</f>
        <v>1</v>
      </c>
      <c r="N441" s="24">
        <f>IF(AND(L441=1,OR(Dashboard!$C$13="All",A441=Dashboard!$C$13),OR(Dashboard!$C$14="All",B441=Dashboard!$C$14),OR(Dashboard!$C$16="All",K441=Dashboard!$C$16),OR(Dashboard!$C$17="All",J441=Dashboard!$C$17)),1,0)</f>
        <v>1</v>
      </c>
      <c r="O441" s="24">
        <f>IF(AND(L441=1,OR(Dashboard!$C$13="All",A441=Dashboard!$C$13),OR(Dashboard!$C$15="All",C441=Dashboard!$C$15),OR(Dashboard!$C$16="All",K441=Dashboard!$C$16),OR(Dashboard!$C$17="All",J441=Dashboard!$C$17)),1,0)</f>
        <v>1</v>
      </c>
      <c r="P441" s="24">
        <f>IF(AND(L441=1,OR(Dashboard!$C$13="All",A441=Dashboard!$C$13),OR(Dashboard!$C$14="All",B441=Dashboard!$C$14),OR(Dashboard!$C$15="All",C441=Dashboard!$C$15),OR(Dashboard!$C$17="All",J441=Dashboard!$C$17)),1,0)</f>
        <v>1</v>
      </c>
      <c r="Q441" s="24">
        <f>IF(AND(L441=1,OR(Dashboard!$C$14="All",B441=Dashboard!$C$14),OR(Dashboard!$C$15="All",C441=Dashboard!$C$15),OR(Dashboard!$C$16="All",K441=Dashboard!$C$16),OR(Dashboard!$C$17="All",J441=Dashboard!$C$17)),1,0)</f>
        <v>1</v>
      </c>
      <c r="R441" s="24">
        <f>IF(AND(L441=1,OR(Dashboard!$C$13="All",A441=Dashboard!$C$13),OR(Dashboard!$C$14="All",B441=Dashboard!$C$14),OR(Dashboard!$C$15="All",C441=Dashboard!$C$15),OR(Dashboard!$C$16="All",K441=Dashboard!$C$16)),1,0)</f>
        <v>1</v>
      </c>
      <c r="S441" s="24">
        <f t="shared" si="3"/>
        <v>440</v>
      </c>
    </row>
    <row r="442" ht="15.75" customHeight="1">
      <c r="A442" s="3" t="s">
        <v>426</v>
      </c>
      <c r="B442" s="4"/>
      <c r="C442" s="3" t="s">
        <v>301</v>
      </c>
      <c r="D442" s="4">
        <v>2.0</v>
      </c>
      <c r="E442" s="17">
        <v>15.0</v>
      </c>
      <c r="F442" s="5">
        <f t="shared" si="4"/>
        <v>30</v>
      </c>
      <c r="G442" s="6">
        <v>46184.0</v>
      </c>
      <c r="H442" s="22">
        <v>6.0</v>
      </c>
      <c r="I442" s="7">
        <f t="shared" si="5"/>
        <v>46226</v>
      </c>
      <c r="J442" s="4" t="s">
        <v>25</v>
      </c>
      <c r="K442" s="4" t="s">
        <v>31</v>
      </c>
      <c r="L442" s="24">
        <f>IF(A442="","",IF(OR(G442="",AND(G442&gt;=Dashboard!$C$18,G442&lt;=Dashboard!$C$19)),1,0))</f>
        <v>1</v>
      </c>
      <c r="M442" s="24">
        <f>IF(AND(L442=1,OR(Dashboard!$C$13="All",A442=Dashboard!$C$13),OR(Dashboard!$C$14="All",B442=Dashboard!$C$14),OR(Dashboard!$C$15="All",C442=Dashboard!$C$15),OR(Dashboard!$C$16="All",K442=Dashboard!$C$16),OR(Dashboard!$C$17="All",J442=Dashboard!$C$17)),1,0)</f>
        <v>1</v>
      </c>
      <c r="N442" s="24">
        <f>IF(AND(L442=1,OR(Dashboard!$C$13="All",A442=Dashboard!$C$13),OR(Dashboard!$C$14="All",B442=Dashboard!$C$14),OR(Dashboard!$C$16="All",K442=Dashboard!$C$16),OR(Dashboard!$C$17="All",J442=Dashboard!$C$17)),1,0)</f>
        <v>1</v>
      </c>
      <c r="O442" s="24">
        <f>IF(AND(L442=1,OR(Dashboard!$C$13="All",A442=Dashboard!$C$13),OR(Dashboard!$C$15="All",C442=Dashboard!$C$15),OR(Dashboard!$C$16="All",K442=Dashboard!$C$16),OR(Dashboard!$C$17="All",J442=Dashboard!$C$17)),1,0)</f>
        <v>1</v>
      </c>
      <c r="P442" s="24">
        <f>IF(AND(L442=1,OR(Dashboard!$C$13="All",A442=Dashboard!$C$13),OR(Dashboard!$C$14="All",B442=Dashboard!$C$14),OR(Dashboard!$C$15="All",C442=Dashboard!$C$15),OR(Dashboard!$C$17="All",J442=Dashboard!$C$17)),1,0)</f>
        <v>1</v>
      </c>
      <c r="Q442" s="24">
        <f>IF(AND(L442=1,OR(Dashboard!$C$14="All",B442=Dashboard!$C$14),OR(Dashboard!$C$15="All",C442=Dashboard!$C$15),OR(Dashboard!$C$16="All",K442=Dashboard!$C$16),OR(Dashboard!$C$17="All",J442=Dashboard!$C$17)),1,0)</f>
        <v>1</v>
      </c>
      <c r="R442" s="24">
        <f>IF(AND(L442=1,OR(Dashboard!$C$13="All",A442=Dashboard!$C$13),OR(Dashboard!$C$14="All",B442=Dashboard!$C$14),OR(Dashboard!$C$15="All",C442=Dashboard!$C$15),OR(Dashboard!$C$16="All",K442=Dashboard!$C$16)),1,0)</f>
        <v>1</v>
      </c>
      <c r="S442" s="24">
        <f t="shared" si="3"/>
        <v>441</v>
      </c>
    </row>
    <row r="443" ht="15.75" customHeight="1">
      <c r="A443" s="10" t="s">
        <v>428</v>
      </c>
      <c r="B443" s="13"/>
      <c r="C443" s="10" t="s">
        <v>107</v>
      </c>
      <c r="D443" s="13">
        <v>1.0</v>
      </c>
      <c r="E443" s="14">
        <v>45.0</v>
      </c>
      <c r="F443" s="15">
        <f t="shared" si="4"/>
        <v>45</v>
      </c>
      <c r="G443" s="6">
        <v>46185.0</v>
      </c>
      <c r="H443" s="22">
        <v>9.0</v>
      </c>
      <c r="I443" s="16">
        <f t="shared" si="5"/>
        <v>46248</v>
      </c>
      <c r="J443" s="13" t="s">
        <v>25</v>
      </c>
      <c r="K443" s="13" t="s">
        <v>31</v>
      </c>
      <c r="L443" s="24">
        <f>IF(A443="","",IF(OR(G443="",AND(G443&gt;=Dashboard!$C$18,G443&lt;=Dashboard!$C$19)),1,0))</f>
        <v>1</v>
      </c>
      <c r="M443" s="24">
        <f>IF(AND(L443=1,OR(Dashboard!$C$13="All",A443=Dashboard!$C$13),OR(Dashboard!$C$14="All",B443=Dashboard!$C$14),OR(Dashboard!$C$15="All",C443=Dashboard!$C$15),OR(Dashboard!$C$16="All",K443=Dashboard!$C$16),OR(Dashboard!$C$17="All",J443=Dashboard!$C$17)),1,0)</f>
        <v>1</v>
      </c>
      <c r="N443" s="24">
        <f>IF(AND(L443=1,OR(Dashboard!$C$13="All",A443=Dashboard!$C$13),OR(Dashboard!$C$14="All",B443=Dashboard!$C$14),OR(Dashboard!$C$16="All",K443=Dashboard!$C$16),OR(Dashboard!$C$17="All",J443=Dashboard!$C$17)),1,0)</f>
        <v>1</v>
      </c>
      <c r="O443" s="24">
        <f>IF(AND(L443=1,OR(Dashboard!$C$13="All",A443=Dashboard!$C$13),OR(Dashboard!$C$15="All",C443=Dashboard!$C$15),OR(Dashboard!$C$16="All",K443=Dashboard!$C$16),OR(Dashboard!$C$17="All",J443=Dashboard!$C$17)),1,0)</f>
        <v>1</v>
      </c>
      <c r="P443" s="24">
        <f>IF(AND(L443=1,OR(Dashboard!$C$13="All",A443=Dashboard!$C$13),OR(Dashboard!$C$14="All",B443=Dashboard!$C$14),OR(Dashboard!$C$15="All",C443=Dashboard!$C$15),OR(Dashboard!$C$17="All",J443=Dashboard!$C$17)),1,0)</f>
        <v>1</v>
      </c>
      <c r="Q443" s="24">
        <f>IF(AND(L443=1,OR(Dashboard!$C$14="All",B443=Dashboard!$C$14),OR(Dashboard!$C$15="All",C443=Dashboard!$C$15),OR(Dashboard!$C$16="All",K443=Dashboard!$C$16),OR(Dashboard!$C$17="All",J443=Dashboard!$C$17)),1,0)</f>
        <v>1</v>
      </c>
      <c r="R443" s="24">
        <f>IF(AND(L443=1,OR(Dashboard!$C$13="All",A443=Dashboard!$C$13),OR(Dashboard!$C$14="All",B443=Dashboard!$C$14),OR(Dashboard!$C$15="All",C443=Dashboard!$C$15),OR(Dashboard!$C$16="All",K443=Dashboard!$C$16)),1,0)</f>
        <v>1</v>
      </c>
      <c r="S443" s="24">
        <f t="shared" si="3"/>
        <v>442</v>
      </c>
    </row>
    <row r="444" ht="15.75" customHeight="1">
      <c r="A444" s="3" t="s">
        <v>429</v>
      </c>
      <c r="B444" s="4"/>
      <c r="C444" s="3" t="s">
        <v>639</v>
      </c>
      <c r="D444" s="4">
        <v>20000.0</v>
      </c>
      <c r="E444" s="17">
        <v>24.0</v>
      </c>
      <c r="F444" s="5">
        <f t="shared" si="4"/>
        <v>480000</v>
      </c>
      <c r="G444" s="6">
        <v>46186.0</v>
      </c>
      <c r="H444" s="22">
        <v>9.0</v>
      </c>
      <c r="I444" s="7">
        <f t="shared" si="5"/>
        <v>46249</v>
      </c>
      <c r="J444" s="4" t="s">
        <v>25</v>
      </c>
      <c r="K444" s="4" t="s">
        <v>31</v>
      </c>
      <c r="L444" s="24">
        <f>IF(A444="","",IF(OR(G444="",AND(G444&gt;=Dashboard!$C$18,G444&lt;=Dashboard!$C$19)),1,0))</f>
        <v>1</v>
      </c>
      <c r="M444" s="24">
        <f>IF(AND(L444=1,OR(Dashboard!$C$13="All",A444=Dashboard!$C$13),OR(Dashboard!$C$14="All",B444=Dashboard!$C$14),OR(Dashboard!$C$15="All",C444=Dashboard!$C$15),OR(Dashboard!$C$16="All",K444=Dashboard!$C$16),OR(Dashboard!$C$17="All",J444=Dashboard!$C$17)),1,0)</f>
        <v>1</v>
      </c>
      <c r="N444" s="24">
        <f>IF(AND(L444=1,OR(Dashboard!$C$13="All",A444=Dashboard!$C$13),OR(Dashboard!$C$14="All",B444=Dashboard!$C$14),OR(Dashboard!$C$16="All",K444=Dashboard!$C$16),OR(Dashboard!$C$17="All",J444=Dashboard!$C$17)),1,0)</f>
        <v>1</v>
      </c>
      <c r="O444" s="24">
        <f>IF(AND(L444=1,OR(Dashboard!$C$13="All",A444=Dashboard!$C$13),OR(Dashboard!$C$15="All",C444=Dashboard!$C$15),OR(Dashboard!$C$16="All",K444=Dashboard!$C$16),OR(Dashboard!$C$17="All",J444=Dashboard!$C$17)),1,0)</f>
        <v>1</v>
      </c>
      <c r="P444" s="24">
        <f>IF(AND(L444=1,OR(Dashboard!$C$13="All",A444=Dashboard!$C$13),OR(Dashboard!$C$14="All",B444=Dashboard!$C$14),OR(Dashboard!$C$15="All",C444=Dashboard!$C$15),OR(Dashboard!$C$17="All",J444=Dashboard!$C$17)),1,0)</f>
        <v>1</v>
      </c>
      <c r="Q444" s="24">
        <f>IF(AND(L444=1,OR(Dashboard!$C$14="All",B444=Dashboard!$C$14),OR(Dashboard!$C$15="All",C444=Dashboard!$C$15),OR(Dashboard!$C$16="All",K444=Dashboard!$C$16),OR(Dashboard!$C$17="All",J444=Dashboard!$C$17)),1,0)</f>
        <v>1</v>
      </c>
      <c r="R444" s="24">
        <f>IF(AND(L444=1,OR(Dashboard!$C$13="All",A444=Dashboard!$C$13),OR(Dashboard!$C$14="All",B444=Dashboard!$C$14),OR(Dashboard!$C$15="All",C444=Dashboard!$C$15),OR(Dashboard!$C$16="All",K444=Dashboard!$C$16)),1,0)</f>
        <v>1</v>
      </c>
      <c r="S444" s="24">
        <f t="shared" si="3"/>
        <v>443</v>
      </c>
    </row>
    <row r="445" ht="15.75" customHeight="1">
      <c r="A445" s="10" t="s">
        <v>431</v>
      </c>
      <c r="B445" s="13"/>
      <c r="C445" s="10" t="s">
        <v>542</v>
      </c>
      <c r="D445" s="13">
        <v>1.0</v>
      </c>
      <c r="E445" s="14">
        <v>25.0</v>
      </c>
      <c r="F445" s="15">
        <f t="shared" si="4"/>
        <v>25</v>
      </c>
      <c r="G445" s="6">
        <v>46187.0</v>
      </c>
      <c r="H445" s="22">
        <v>9.0</v>
      </c>
      <c r="I445" s="16">
        <f t="shared" si="5"/>
        <v>46250</v>
      </c>
      <c r="J445" s="13" t="s">
        <v>25</v>
      </c>
      <c r="K445" s="13" t="s">
        <v>31</v>
      </c>
      <c r="L445" s="24">
        <f>IF(A445="","",IF(OR(G445="",AND(G445&gt;=Dashboard!$C$18,G445&lt;=Dashboard!$C$19)),1,0))</f>
        <v>1</v>
      </c>
      <c r="M445" s="24">
        <f>IF(AND(L445=1,OR(Dashboard!$C$13="All",A445=Dashboard!$C$13),OR(Dashboard!$C$14="All",B445=Dashboard!$C$14),OR(Dashboard!$C$15="All",C445=Dashboard!$C$15),OR(Dashboard!$C$16="All",K445=Dashboard!$C$16),OR(Dashboard!$C$17="All",J445=Dashboard!$C$17)),1,0)</f>
        <v>1</v>
      </c>
      <c r="N445" s="24">
        <f>IF(AND(L445=1,OR(Dashboard!$C$13="All",A445=Dashboard!$C$13),OR(Dashboard!$C$14="All",B445=Dashboard!$C$14),OR(Dashboard!$C$16="All",K445=Dashboard!$C$16),OR(Dashboard!$C$17="All",J445=Dashboard!$C$17)),1,0)</f>
        <v>1</v>
      </c>
      <c r="O445" s="24">
        <f>IF(AND(L445=1,OR(Dashboard!$C$13="All",A445=Dashboard!$C$13),OR(Dashboard!$C$15="All",C445=Dashboard!$C$15),OR(Dashboard!$C$16="All",K445=Dashboard!$C$16),OR(Dashboard!$C$17="All",J445=Dashboard!$C$17)),1,0)</f>
        <v>1</v>
      </c>
      <c r="P445" s="24">
        <f>IF(AND(L445=1,OR(Dashboard!$C$13="All",A445=Dashboard!$C$13),OR(Dashboard!$C$14="All",B445=Dashboard!$C$14),OR(Dashboard!$C$15="All",C445=Dashboard!$C$15),OR(Dashboard!$C$17="All",J445=Dashboard!$C$17)),1,0)</f>
        <v>1</v>
      </c>
      <c r="Q445" s="24">
        <f>IF(AND(L445=1,OR(Dashboard!$C$14="All",B445=Dashboard!$C$14),OR(Dashboard!$C$15="All",C445=Dashboard!$C$15),OR(Dashboard!$C$16="All",K445=Dashboard!$C$16),OR(Dashboard!$C$17="All",J445=Dashboard!$C$17)),1,0)</f>
        <v>1</v>
      </c>
      <c r="R445" s="24">
        <f>IF(AND(L445=1,OR(Dashboard!$C$13="All",A445=Dashboard!$C$13),OR(Dashboard!$C$14="All",B445=Dashboard!$C$14),OR(Dashboard!$C$15="All",C445=Dashboard!$C$15),OR(Dashboard!$C$16="All",K445=Dashboard!$C$16)),1,0)</f>
        <v>1</v>
      </c>
      <c r="S445" s="24">
        <f t="shared" si="3"/>
        <v>444</v>
      </c>
    </row>
    <row r="446" ht="15.75" customHeight="1">
      <c r="A446" s="3" t="s">
        <v>433</v>
      </c>
      <c r="B446" s="4"/>
      <c r="C446" s="3" t="s">
        <v>287</v>
      </c>
      <c r="D446" s="4">
        <v>2.0</v>
      </c>
      <c r="E446" s="17">
        <v>36.0</v>
      </c>
      <c r="F446" s="5">
        <f t="shared" si="4"/>
        <v>72</v>
      </c>
      <c r="G446" s="6">
        <v>46188.0</v>
      </c>
      <c r="H446" s="22">
        <v>9.0</v>
      </c>
      <c r="I446" s="7">
        <f t="shared" si="5"/>
        <v>46251</v>
      </c>
      <c r="J446" s="4" t="s">
        <v>25</v>
      </c>
      <c r="K446" s="4" t="s">
        <v>31</v>
      </c>
      <c r="L446" s="24">
        <f>IF(A446="","",IF(OR(G446="",AND(G446&gt;=Dashboard!$C$18,G446&lt;=Dashboard!$C$19)),1,0))</f>
        <v>1</v>
      </c>
      <c r="M446" s="24">
        <f>IF(AND(L446=1,OR(Dashboard!$C$13="All",A446=Dashboard!$C$13),OR(Dashboard!$C$14="All",B446=Dashboard!$C$14),OR(Dashboard!$C$15="All",C446=Dashboard!$C$15),OR(Dashboard!$C$16="All",K446=Dashboard!$C$16),OR(Dashboard!$C$17="All",J446=Dashboard!$C$17)),1,0)</f>
        <v>1</v>
      </c>
      <c r="N446" s="24">
        <f>IF(AND(L446=1,OR(Dashboard!$C$13="All",A446=Dashboard!$C$13),OR(Dashboard!$C$14="All",B446=Dashboard!$C$14),OR(Dashboard!$C$16="All",K446=Dashboard!$C$16),OR(Dashboard!$C$17="All",J446=Dashboard!$C$17)),1,0)</f>
        <v>1</v>
      </c>
      <c r="O446" s="24">
        <f>IF(AND(L446=1,OR(Dashboard!$C$13="All",A446=Dashboard!$C$13),OR(Dashboard!$C$15="All",C446=Dashboard!$C$15),OR(Dashboard!$C$16="All",K446=Dashboard!$C$16),OR(Dashboard!$C$17="All",J446=Dashboard!$C$17)),1,0)</f>
        <v>1</v>
      </c>
      <c r="P446" s="24">
        <f>IF(AND(L446=1,OR(Dashboard!$C$13="All",A446=Dashboard!$C$13),OR(Dashboard!$C$14="All",B446=Dashboard!$C$14),OR(Dashboard!$C$15="All",C446=Dashboard!$C$15),OR(Dashboard!$C$17="All",J446=Dashboard!$C$17)),1,0)</f>
        <v>1</v>
      </c>
      <c r="Q446" s="24">
        <f>IF(AND(L446=1,OR(Dashboard!$C$14="All",B446=Dashboard!$C$14),OR(Dashboard!$C$15="All",C446=Dashboard!$C$15),OR(Dashboard!$C$16="All",K446=Dashboard!$C$16),OR(Dashboard!$C$17="All",J446=Dashboard!$C$17)),1,0)</f>
        <v>1</v>
      </c>
      <c r="R446" s="24">
        <f>IF(AND(L446=1,OR(Dashboard!$C$13="All",A446=Dashboard!$C$13),OR(Dashboard!$C$14="All",B446=Dashboard!$C$14),OR(Dashboard!$C$15="All",C446=Dashboard!$C$15),OR(Dashboard!$C$16="All",K446=Dashboard!$C$16)),1,0)</f>
        <v>1</v>
      </c>
      <c r="S446" s="24">
        <f t="shared" si="3"/>
        <v>445</v>
      </c>
    </row>
    <row r="447" ht="15.75" customHeight="1">
      <c r="A447" s="10" t="s">
        <v>433</v>
      </c>
      <c r="B447" s="13"/>
      <c r="C447" s="10" t="s">
        <v>115</v>
      </c>
      <c r="D447" s="13">
        <v>2.0</v>
      </c>
      <c r="E447" s="14">
        <v>95.0</v>
      </c>
      <c r="F447" s="15">
        <f t="shared" si="4"/>
        <v>190</v>
      </c>
      <c r="G447" s="6">
        <v>46189.0</v>
      </c>
      <c r="H447" s="22">
        <v>9.0</v>
      </c>
      <c r="I447" s="16">
        <f t="shared" si="5"/>
        <v>46252</v>
      </c>
      <c r="J447" s="13" t="s">
        <v>25</v>
      </c>
      <c r="K447" s="13" t="s">
        <v>31</v>
      </c>
      <c r="L447" s="24">
        <f>IF(A447="","",IF(OR(G447="",AND(G447&gt;=Dashboard!$C$18,G447&lt;=Dashboard!$C$19)),1,0))</f>
        <v>1</v>
      </c>
      <c r="M447" s="24">
        <f>IF(AND(L447=1,OR(Dashboard!$C$13="All",A447=Dashboard!$C$13),OR(Dashboard!$C$14="All",B447=Dashboard!$C$14),OR(Dashboard!$C$15="All",C447=Dashboard!$C$15),OR(Dashboard!$C$16="All",K447=Dashboard!$C$16),OR(Dashboard!$C$17="All",J447=Dashboard!$C$17)),1,0)</f>
        <v>1</v>
      </c>
      <c r="N447" s="24">
        <f>IF(AND(L447=1,OR(Dashboard!$C$13="All",A447=Dashboard!$C$13),OR(Dashboard!$C$14="All",B447=Dashboard!$C$14),OR(Dashboard!$C$16="All",K447=Dashboard!$C$16),OR(Dashboard!$C$17="All",J447=Dashboard!$C$17)),1,0)</f>
        <v>1</v>
      </c>
      <c r="O447" s="24">
        <f>IF(AND(L447=1,OR(Dashboard!$C$13="All",A447=Dashboard!$C$13),OR(Dashboard!$C$15="All",C447=Dashboard!$C$15),OR(Dashboard!$C$16="All",K447=Dashboard!$C$16),OR(Dashboard!$C$17="All",J447=Dashboard!$C$17)),1,0)</f>
        <v>1</v>
      </c>
      <c r="P447" s="24">
        <f>IF(AND(L447=1,OR(Dashboard!$C$13="All",A447=Dashboard!$C$13),OR(Dashboard!$C$14="All",B447=Dashboard!$C$14),OR(Dashboard!$C$15="All",C447=Dashboard!$C$15),OR(Dashboard!$C$17="All",J447=Dashboard!$C$17)),1,0)</f>
        <v>1</v>
      </c>
      <c r="Q447" s="24">
        <f>IF(AND(L447=1,OR(Dashboard!$C$14="All",B447=Dashboard!$C$14),OR(Dashboard!$C$15="All",C447=Dashboard!$C$15),OR(Dashboard!$C$16="All",K447=Dashboard!$C$16),OR(Dashboard!$C$17="All",J447=Dashboard!$C$17)),1,0)</f>
        <v>1</v>
      </c>
      <c r="R447" s="24">
        <f>IF(AND(L447=1,OR(Dashboard!$C$13="All",A447=Dashboard!$C$13),OR(Dashboard!$C$14="All",B447=Dashboard!$C$14),OR(Dashboard!$C$15="All",C447=Dashboard!$C$15),OR(Dashboard!$C$16="All",K447=Dashboard!$C$16)),1,0)</f>
        <v>1</v>
      </c>
      <c r="S447" s="24">
        <f t="shared" si="3"/>
        <v>446</v>
      </c>
    </row>
    <row r="448" ht="15.75" customHeight="1">
      <c r="A448" s="3" t="s">
        <v>435</v>
      </c>
      <c r="B448" s="4"/>
      <c r="C448" s="3" t="s">
        <v>570</v>
      </c>
      <c r="D448" s="4">
        <v>4000.0</v>
      </c>
      <c r="E448" s="17">
        <v>574.0</v>
      </c>
      <c r="F448" s="5">
        <f t="shared" si="4"/>
        <v>2296000</v>
      </c>
      <c r="G448" s="6">
        <v>46190.0</v>
      </c>
      <c r="H448" s="22">
        <v>7.0</v>
      </c>
      <c r="I448" s="7">
        <f t="shared" si="5"/>
        <v>46239</v>
      </c>
      <c r="J448" s="4" t="s">
        <v>25</v>
      </c>
      <c r="K448" s="4" t="s">
        <v>31</v>
      </c>
      <c r="L448" s="24">
        <f>IF(A448="","",IF(OR(G448="",AND(G448&gt;=Dashboard!$C$18,G448&lt;=Dashboard!$C$19)),1,0))</f>
        <v>1</v>
      </c>
      <c r="M448" s="24">
        <f>IF(AND(L448=1,OR(Dashboard!$C$13="All",A448=Dashboard!$C$13),OR(Dashboard!$C$14="All",B448=Dashboard!$C$14),OR(Dashboard!$C$15="All",C448=Dashboard!$C$15),OR(Dashboard!$C$16="All",K448=Dashboard!$C$16),OR(Dashboard!$C$17="All",J448=Dashboard!$C$17)),1,0)</f>
        <v>1</v>
      </c>
      <c r="N448" s="24">
        <f>IF(AND(L448=1,OR(Dashboard!$C$13="All",A448=Dashboard!$C$13),OR(Dashboard!$C$14="All",B448=Dashboard!$C$14),OR(Dashboard!$C$16="All",K448=Dashboard!$C$16),OR(Dashboard!$C$17="All",J448=Dashboard!$C$17)),1,0)</f>
        <v>1</v>
      </c>
      <c r="O448" s="24">
        <f>IF(AND(L448=1,OR(Dashboard!$C$13="All",A448=Dashboard!$C$13),OR(Dashboard!$C$15="All",C448=Dashboard!$C$15),OR(Dashboard!$C$16="All",K448=Dashboard!$C$16),OR(Dashboard!$C$17="All",J448=Dashboard!$C$17)),1,0)</f>
        <v>1</v>
      </c>
      <c r="P448" s="24">
        <f>IF(AND(L448=1,OR(Dashboard!$C$13="All",A448=Dashboard!$C$13),OR(Dashboard!$C$14="All",B448=Dashboard!$C$14),OR(Dashboard!$C$15="All",C448=Dashboard!$C$15),OR(Dashboard!$C$17="All",J448=Dashboard!$C$17)),1,0)</f>
        <v>1</v>
      </c>
      <c r="Q448" s="24">
        <f>IF(AND(L448=1,OR(Dashboard!$C$14="All",B448=Dashboard!$C$14),OR(Dashboard!$C$15="All",C448=Dashboard!$C$15),OR(Dashboard!$C$16="All",K448=Dashboard!$C$16),OR(Dashboard!$C$17="All",J448=Dashboard!$C$17)),1,0)</f>
        <v>1</v>
      </c>
      <c r="R448" s="24">
        <f>IF(AND(L448=1,OR(Dashboard!$C$13="All",A448=Dashboard!$C$13),OR(Dashboard!$C$14="All",B448=Dashboard!$C$14),OR(Dashboard!$C$15="All",C448=Dashboard!$C$15),OR(Dashboard!$C$16="All",K448=Dashboard!$C$16)),1,0)</f>
        <v>1</v>
      </c>
      <c r="S448" s="24">
        <f t="shared" si="3"/>
        <v>447</v>
      </c>
    </row>
    <row r="449" ht="15.75" customHeight="1">
      <c r="A449" s="10" t="s">
        <v>435</v>
      </c>
      <c r="B449" s="13"/>
      <c r="C449" s="10" t="s">
        <v>535</v>
      </c>
      <c r="D449" s="13">
        <v>80.0</v>
      </c>
      <c r="E449" s="14">
        <v>558.0</v>
      </c>
      <c r="F449" s="15">
        <f t="shared" si="4"/>
        <v>44640</v>
      </c>
      <c r="G449" s="6">
        <v>46191.0</v>
      </c>
      <c r="H449" s="22">
        <v>10.0</v>
      </c>
      <c r="I449" s="16">
        <f t="shared" si="5"/>
        <v>46261</v>
      </c>
      <c r="J449" s="13" t="s">
        <v>25</v>
      </c>
      <c r="K449" s="13" t="s">
        <v>31</v>
      </c>
      <c r="L449" s="24">
        <f>IF(A449="","",IF(OR(G449="",AND(G449&gt;=Dashboard!$C$18,G449&lt;=Dashboard!$C$19)),1,0))</f>
        <v>1</v>
      </c>
      <c r="M449" s="24">
        <f>IF(AND(L449=1,OR(Dashboard!$C$13="All",A449=Dashboard!$C$13),OR(Dashboard!$C$14="All",B449=Dashboard!$C$14),OR(Dashboard!$C$15="All",C449=Dashboard!$C$15),OR(Dashboard!$C$16="All",K449=Dashboard!$C$16),OR(Dashboard!$C$17="All",J449=Dashboard!$C$17)),1,0)</f>
        <v>1</v>
      </c>
      <c r="N449" s="24">
        <f>IF(AND(L449=1,OR(Dashboard!$C$13="All",A449=Dashboard!$C$13),OR(Dashboard!$C$14="All",B449=Dashboard!$C$14),OR(Dashboard!$C$16="All",K449=Dashboard!$C$16),OR(Dashboard!$C$17="All",J449=Dashboard!$C$17)),1,0)</f>
        <v>1</v>
      </c>
      <c r="O449" s="24">
        <f>IF(AND(L449=1,OR(Dashboard!$C$13="All",A449=Dashboard!$C$13),OR(Dashboard!$C$15="All",C449=Dashboard!$C$15),OR(Dashboard!$C$16="All",K449=Dashboard!$C$16),OR(Dashboard!$C$17="All",J449=Dashboard!$C$17)),1,0)</f>
        <v>1</v>
      </c>
      <c r="P449" s="24">
        <f>IF(AND(L449=1,OR(Dashboard!$C$13="All",A449=Dashboard!$C$13),OR(Dashboard!$C$14="All",B449=Dashboard!$C$14),OR(Dashboard!$C$15="All",C449=Dashboard!$C$15),OR(Dashboard!$C$17="All",J449=Dashboard!$C$17)),1,0)</f>
        <v>1</v>
      </c>
      <c r="Q449" s="24">
        <f>IF(AND(L449=1,OR(Dashboard!$C$14="All",B449=Dashboard!$C$14),OR(Dashboard!$C$15="All",C449=Dashboard!$C$15),OR(Dashboard!$C$16="All",K449=Dashboard!$C$16),OR(Dashboard!$C$17="All",J449=Dashboard!$C$17)),1,0)</f>
        <v>1</v>
      </c>
      <c r="R449" s="24">
        <f>IF(AND(L449=1,OR(Dashboard!$C$13="All",A449=Dashboard!$C$13),OR(Dashboard!$C$14="All",B449=Dashboard!$C$14),OR(Dashboard!$C$15="All",C449=Dashboard!$C$15),OR(Dashboard!$C$16="All",K449=Dashboard!$C$16)),1,0)</f>
        <v>1</v>
      </c>
      <c r="S449" s="24">
        <f t="shared" si="3"/>
        <v>448</v>
      </c>
    </row>
    <row r="450" ht="15.75" customHeight="1">
      <c r="A450" s="3" t="s">
        <v>437</v>
      </c>
      <c r="B450" s="4"/>
      <c r="C450" s="3" t="s">
        <v>234</v>
      </c>
      <c r="D450" s="4">
        <v>2.0</v>
      </c>
      <c r="E450" s="17">
        <v>2265.0</v>
      </c>
      <c r="F450" s="5">
        <f t="shared" si="4"/>
        <v>4530</v>
      </c>
      <c r="G450" s="6">
        <v>46192.0</v>
      </c>
      <c r="H450" s="22">
        <v>9.0</v>
      </c>
      <c r="I450" s="7">
        <f t="shared" si="5"/>
        <v>46255</v>
      </c>
      <c r="J450" s="4" t="s">
        <v>25</v>
      </c>
      <c r="K450" s="4" t="s">
        <v>31</v>
      </c>
      <c r="L450" s="24">
        <f>IF(A450="","",IF(OR(G450="",AND(G450&gt;=Dashboard!$C$18,G450&lt;=Dashboard!$C$19)),1,0))</f>
        <v>1</v>
      </c>
      <c r="M450" s="24">
        <f>IF(AND(L450=1,OR(Dashboard!$C$13="All",A450=Dashboard!$C$13),OR(Dashboard!$C$14="All",B450=Dashboard!$C$14),OR(Dashboard!$C$15="All",C450=Dashboard!$C$15),OR(Dashboard!$C$16="All",K450=Dashboard!$C$16),OR(Dashboard!$C$17="All",J450=Dashboard!$C$17)),1,0)</f>
        <v>1</v>
      </c>
      <c r="N450" s="24">
        <f>IF(AND(L450=1,OR(Dashboard!$C$13="All",A450=Dashboard!$C$13),OR(Dashboard!$C$14="All",B450=Dashboard!$C$14),OR(Dashboard!$C$16="All",K450=Dashboard!$C$16),OR(Dashboard!$C$17="All",J450=Dashboard!$C$17)),1,0)</f>
        <v>1</v>
      </c>
      <c r="O450" s="24">
        <f>IF(AND(L450=1,OR(Dashboard!$C$13="All",A450=Dashboard!$C$13),OR(Dashboard!$C$15="All",C450=Dashboard!$C$15),OR(Dashboard!$C$16="All",K450=Dashboard!$C$16),OR(Dashboard!$C$17="All",J450=Dashboard!$C$17)),1,0)</f>
        <v>1</v>
      </c>
      <c r="P450" s="24">
        <f>IF(AND(L450=1,OR(Dashboard!$C$13="All",A450=Dashboard!$C$13),OR(Dashboard!$C$14="All",B450=Dashboard!$C$14),OR(Dashboard!$C$15="All",C450=Dashboard!$C$15),OR(Dashboard!$C$17="All",J450=Dashboard!$C$17)),1,0)</f>
        <v>1</v>
      </c>
      <c r="Q450" s="24">
        <f>IF(AND(L450=1,OR(Dashboard!$C$14="All",B450=Dashboard!$C$14),OR(Dashboard!$C$15="All",C450=Dashboard!$C$15),OR(Dashboard!$C$16="All",K450=Dashboard!$C$16),OR(Dashboard!$C$17="All",J450=Dashboard!$C$17)),1,0)</f>
        <v>1</v>
      </c>
      <c r="R450" s="24">
        <f>IF(AND(L450=1,OR(Dashboard!$C$13="All",A450=Dashboard!$C$13),OR(Dashboard!$C$14="All",B450=Dashboard!$C$14),OR(Dashboard!$C$15="All",C450=Dashboard!$C$15),OR(Dashboard!$C$16="All",K450=Dashboard!$C$16)),1,0)</f>
        <v>1</v>
      </c>
      <c r="S450" s="24">
        <f t="shared" si="3"/>
        <v>449</v>
      </c>
    </row>
    <row r="451" ht="15.75" customHeight="1">
      <c r="A451" s="10" t="s">
        <v>437</v>
      </c>
      <c r="B451" s="13"/>
      <c r="C451" s="10" t="s">
        <v>515</v>
      </c>
      <c r="D451" s="13">
        <v>2.0</v>
      </c>
      <c r="E451" s="14">
        <v>45.0</v>
      </c>
      <c r="F451" s="15">
        <f t="shared" si="4"/>
        <v>90</v>
      </c>
      <c r="G451" s="6">
        <v>46193.0</v>
      </c>
      <c r="H451" s="22">
        <v>9.0</v>
      </c>
      <c r="I451" s="16">
        <f t="shared" si="5"/>
        <v>46256</v>
      </c>
      <c r="J451" s="13" t="s">
        <v>25</v>
      </c>
      <c r="K451" s="13" t="s">
        <v>31</v>
      </c>
      <c r="L451" s="24">
        <f>IF(A451="","",IF(OR(G451="",AND(G451&gt;=Dashboard!$C$18,G451&lt;=Dashboard!$C$19)),1,0))</f>
        <v>1</v>
      </c>
      <c r="M451" s="24">
        <f>IF(AND(L451=1,OR(Dashboard!$C$13="All",A451=Dashboard!$C$13),OR(Dashboard!$C$14="All",B451=Dashboard!$C$14),OR(Dashboard!$C$15="All",C451=Dashboard!$C$15),OR(Dashboard!$C$16="All",K451=Dashboard!$C$16),OR(Dashboard!$C$17="All",J451=Dashboard!$C$17)),1,0)</f>
        <v>1</v>
      </c>
      <c r="N451" s="24">
        <f>IF(AND(L451=1,OR(Dashboard!$C$13="All",A451=Dashboard!$C$13),OR(Dashboard!$C$14="All",B451=Dashboard!$C$14),OR(Dashboard!$C$16="All",K451=Dashboard!$C$16),OR(Dashboard!$C$17="All",J451=Dashboard!$C$17)),1,0)</f>
        <v>1</v>
      </c>
      <c r="O451" s="24">
        <f>IF(AND(L451=1,OR(Dashboard!$C$13="All",A451=Dashboard!$C$13),OR(Dashboard!$C$15="All",C451=Dashboard!$C$15),OR(Dashboard!$C$16="All",K451=Dashboard!$C$16),OR(Dashboard!$C$17="All",J451=Dashboard!$C$17)),1,0)</f>
        <v>1</v>
      </c>
      <c r="P451" s="24">
        <f>IF(AND(L451=1,OR(Dashboard!$C$13="All",A451=Dashboard!$C$13),OR(Dashboard!$C$14="All",B451=Dashboard!$C$14),OR(Dashboard!$C$15="All",C451=Dashboard!$C$15),OR(Dashboard!$C$17="All",J451=Dashboard!$C$17)),1,0)</f>
        <v>1</v>
      </c>
      <c r="Q451" s="24">
        <f>IF(AND(L451=1,OR(Dashboard!$C$14="All",B451=Dashboard!$C$14),OR(Dashboard!$C$15="All",C451=Dashboard!$C$15),OR(Dashboard!$C$16="All",K451=Dashboard!$C$16),OR(Dashboard!$C$17="All",J451=Dashboard!$C$17)),1,0)</f>
        <v>1</v>
      </c>
      <c r="R451" s="24">
        <f>IF(AND(L451=1,OR(Dashboard!$C$13="All",A451=Dashboard!$C$13),OR(Dashboard!$C$14="All",B451=Dashboard!$C$14),OR(Dashboard!$C$15="All",C451=Dashboard!$C$15),OR(Dashboard!$C$16="All",K451=Dashboard!$C$16)),1,0)</f>
        <v>1</v>
      </c>
      <c r="S451" s="24">
        <f t="shared" si="3"/>
        <v>450</v>
      </c>
    </row>
    <row r="452" ht="15.75" customHeight="1">
      <c r="A452" s="3" t="s">
        <v>437</v>
      </c>
      <c r="B452" s="4" t="s">
        <v>64</v>
      </c>
      <c r="C452" s="3" t="s">
        <v>214</v>
      </c>
      <c r="D452" s="4">
        <v>8.0</v>
      </c>
      <c r="E452" s="17">
        <v>5554.0</v>
      </c>
      <c r="F452" s="5">
        <f t="shared" si="4"/>
        <v>44432</v>
      </c>
      <c r="G452" s="6">
        <v>46194.0</v>
      </c>
      <c r="H452" s="22">
        <v>9.0</v>
      </c>
      <c r="I452" s="7">
        <f t="shared" si="5"/>
        <v>46257</v>
      </c>
      <c r="J452" s="4" t="s">
        <v>25</v>
      </c>
      <c r="K452" s="4" t="s">
        <v>31</v>
      </c>
      <c r="L452" s="24">
        <f>IF(A452="","",IF(OR(G452="",AND(G452&gt;=Dashboard!$C$18,G452&lt;=Dashboard!$C$19)),1,0))</f>
        <v>1</v>
      </c>
      <c r="M452" s="24">
        <f>IF(AND(L452=1,OR(Dashboard!$C$13="All",A452=Dashboard!$C$13),OR(Dashboard!$C$14="All",B452=Dashboard!$C$14),OR(Dashboard!$C$15="All",C452=Dashboard!$C$15),OR(Dashboard!$C$16="All",K452=Dashboard!$C$16),OR(Dashboard!$C$17="All",J452=Dashboard!$C$17)),1,0)</f>
        <v>1</v>
      </c>
      <c r="N452" s="24">
        <f>IF(AND(L452=1,OR(Dashboard!$C$13="All",A452=Dashboard!$C$13),OR(Dashboard!$C$14="All",B452=Dashboard!$C$14),OR(Dashboard!$C$16="All",K452=Dashboard!$C$16),OR(Dashboard!$C$17="All",J452=Dashboard!$C$17)),1,0)</f>
        <v>1</v>
      </c>
      <c r="O452" s="24">
        <f>IF(AND(L452=1,OR(Dashboard!$C$13="All",A452=Dashboard!$C$13),OR(Dashboard!$C$15="All",C452=Dashboard!$C$15),OR(Dashboard!$C$16="All",K452=Dashboard!$C$16),OR(Dashboard!$C$17="All",J452=Dashboard!$C$17)),1,0)</f>
        <v>1</v>
      </c>
      <c r="P452" s="24">
        <f>IF(AND(L452=1,OR(Dashboard!$C$13="All",A452=Dashboard!$C$13),OR(Dashboard!$C$14="All",B452=Dashboard!$C$14),OR(Dashboard!$C$15="All",C452=Dashboard!$C$15),OR(Dashboard!$C$17="All",J452=Dashboard!$C$17)),1,0)</f>
        <v>1</v>
      </c>
      <c r="Q452" s="24">
        <f>IF(AND(L452=1,OR(Dashboard!$C$14="All",B452=Dashboard!$C$14),OR(Dashboard!$C$15="All",C452=Dashboard!$C$15),OR(Dashboard!$C$16="All",K452=Dashboard!$C$16),OR(Dashboard!$C$17="All",J452=Dashboard!$C$17)),1,0)</f>
        <v>1</v>
      </c>
      <c r="R452" s="24">
        <f>IF(AND(L452=1,OR(Dashboard!$C$13="All",A452=Dashboard!$C$13),OR(Dashboard!$C$14="All",B452=Dashboard!$C$14),OR(Dashboard!$C$15="All",C452=Dashboard!$C$15),OR(Dashboard!$C$16="All",K452=Dashboard!$C$16)),1,0)</f>
        <v>1</v>
      </c>
      <c r="S452" s="24">
        <f t="shared" si="3"/>
        <v>451</v>
      </c>
    </row>
    <row r="453" ht="15.75" customHeight="1">
      <c r="A453" s="10" t="s">
        <v>437</v>
      </c>
      <c r="B453" s="13"/>
      <c r="C453" s="10" t="s">
        <v>610</v>
      </c>
      <c r="D453" s="13">
        <v>10000.0</v>
      </c>
      <c r="E453" s="14">
        <v>41.0</v>
      </c>
      <c r="F453" s="15">
        <f t="shared" si="4"/>
        <v>410000</v>
      </c>
      <c r="G453" s="6">
        <v>46195.0</v>
      </c>
      <c r="H453" s="22">
        <v>7.0</v>
      </c>
      <c r="I453" s="16">
        <f t="shared" si="5"/>
        <v>46244</v>
      </c>
      <c r="J453" s="13" t="s">
        <v>25</v>
      </c>
      <c r="K453" s="13" t="s">
        <v>31</v>
      </c>
      <c r="L453" s="24">
        <f>IF(A453="","",IF(OR(G453="",AND(G453&gt;=Dashboard!$C$18,G453&lt;=Dashboard!$C$19)),1,0))</f>
        <v>1</v>
      </c>
      <c r="M453" s="24">
        <f>IF(AND(L453=1,OR(Dashboard!$C$13="All",A453=Dashboard!$C$13),OR(Dashboard!$C$14="All",B453=Dashboard!$C$14),OR(Dashboard!$C$15="All",C453=Dashboard!$C$15),OR(Dashboard!$C$16="All",K453=Dashboard!$C$16),OR(Dashboard!$C$17="All",J453=Dashboard!$C$17)),1,0)</f>
        <v>1</v>
      </c>
      <c r="N453" s="24">
        <f>IF(AND(L453=1,OR(Dashboard!$C$13="All",A453=Dashboard!$C$13),OR(Dashboard!$C$14="All",B453=Dashboard!$C$14),OR(Dashboard!$C$16="All",K453=Dashboard!$C$16),OR(Dashboard!$C$17="All",J453=Dashboard!$C$17)),1,0)</f>
        <v>1</v>
      </c>
      <c r="O453" s="24">
        <f>IF(AND(L453=1,OR(Dashboard!$C$13="All",A453=Dashboard!$C$13),OR(Dashboard!$C$15="All",C453=Dashboard!$C$15),OR(Dashboard!$C$16="All",K453=Dashboard!$C$16),OR(Dashboard!$C$17="All",J453=Dashboard!$C$17)),1,0)</f>
        <v>1</v>
      </c>
      <c r="P453" s="24">
        <f>IF(AND(L453=1,OR(Dashboard!$C$13="All",A453=Dashboard!$C$13),OR(Dashboard!$C$14="All",B453=Dashboard!$C$14),OR(Dashboard!$C$15="All",C453=Dashboard!$C$15),OR(Dashboard!$C$17="All",J453=Dashboard!$C$17)),1,0)</f>
        <v>1</v>
      </c>
      <c r="Q453" s="24">
        <f>IF(AND(L453=1,OR(Dashboard!$C$14="All",B453=Dashboard!$C$14),OR(Dashboard!$C$15="All",C453=Dashboard!$C$15),OR(Dashboard!$C$16="All",K453=Dashboard!$C$16),OR(Dashboard!$C$17="All",J453=Dashboard!$C$17)),1,0)</f>
        <v>1</v>
      </c>
      <c r="R453" s="24">
        <f>IF(AND(L453=1,OR(Dashboard!$C$13="All",A453=Dashboard!$C$13),OR(Dashboard!$C$14="All",B453=Dashboard!$C$14),OR(Dashboard!$C$15="All",C453=Dashboard!$C$15),OR(Dashboard!$C$16="All",K453=Dashboard!$C$16)),1,0)</f>
        <v>1</v>
      </c>
      <c r="S453" s="24">
        <f t="shared" si="3"/>
        <v>452</v>
      </c>
    </row>
    <row r="454" ht="15.75" customHeight="1">
      <c r="A454" s="3" t="s">
        <v>437</v>
      </c>
      <c r="B454" s="4"/>
      <c r="C454" s="3" t="s">
        <v>628</v>
      </c>
      <c r="D454" s="4">
        <v>1.0</v>
      </c>
      <c r="E454" s="17">
        <v>231.0</v>
      </c>
      <c r="F454" s="5">
        <f t="shared" si="4"/>
        <v>231</v>
      </c>
      <c r="G454" s="6">
        <v>46196.0</v>
      </c>
      <c r="H454" s="22">
        <v>10.0</v>
      </c>
      <c r="I454" s="7">
        <f t="shared" si="5"/>
        <v>46266</v>
      </c>
      <c r="J454" s="4" t="s">
        <v>25</v>
      </c>
      <c r="K454" s="4" t="s">
        <v>31</v>
      </c>
      <c r="L454" s="24">
        <f>IF(A454="","",IF(OR(G454="",AND(G454&gt;=Dashboard!$C$18,G454&lt;=Dashboard!$C$19)),1,0))</f>
        <v>1</v>
      </c>
      <c r="M454" s="24">
        <f>IF(AND(L454=1,OR(Dashboard!$C$13="All",A454=Dashboard!$C$13),OR(Dashboard!$C$14="All",B454=Dashboard!$C$14),OR(Dashboard!$C$15="All",C454=Dashboard!$C$15),OR(Dashboard!$C$16="All",K454=Dashboard!$C$16),OR(Dashboard!$C$17="All",J454=Dashboard!$C$17)),1,0)</f>
        <v>1</v>
      </c>
      <c r="N454" s="24">
        <f>IF(AND(L454=1,OR(Dashboard!$C$13="All",A454=Dashboard!$C$13),OR(Dashboard!$C$14="All",B454=Dashboard!$C$14),OR(Dashboard!$C$16="All",K454=Dashboard!$C$16),OR(Dashboard!$C$17="All",J454=Dashboard!$C$17)),1,0)</f>
        <v>1</v>
      </c>
      <c r="O454" s="24">
        <f>IF(AND(L454=1,OR(Dashboard!$C$13="All",A454=Dashboard!$C$13),OR(Dashboard!$C$15="All",C454=Dashboard!$C$15),OR(Dashboard!$C$16="All",K454=Dashboard!$C$16),OR(Dashboard!$C$17="All",J454=Dashboard!$C$17)),1,0)</f>
        <v>1</v>
      </c>
      <c r="P454" s="24">
        <f>IF(AND(L454=1,OR(Dashboard!$C$13="All",A454=Dashboard!$C$13),OR(Dashboard!$C$14="All",B454=Dashboard!$C$14),OR(Dashboard!$C$15="All",C454=Dashboard!$C$15),OR(Dashboard!$C$17="All",J454=Dashboard!$C$17)),1,0)</f>
        <v>1</v>
      </c>
      <c r="Q454" s="24">
        <f>IF(AND(L454=1,OR(Dashboard!$C$14="All",B454=Dashboard!$C$14),OR(Dashboard!$C$15="All",C454=Dashboard!$C$15),OR(Dashboard!$C$16="All",K454=Dashboard!$C$16),OR(Dashboard!$C$17="All",J454=Dashboard!$C$17)),1,0)</f>
        <v>1</v>
      </c>
      <c r="R454" s="24">
        <f>IF(AND(L454=1,OR(Dashboard!$C$13="All",A454=Dashboard!$C$13),OR(Dashboard!$C$14="All",B454=Dashboard!$C$14),OR(Dashboard!$C$15="All",C454=Dashboard!$C$15),OR(Dashboard!$C$16="All",K454=Dashboard!$C$16)),1,0)</f>
        <v>1</v>
      </c>
      <c r="S454" s="24">
        <f t="shared" si="3"/>
        <v>453</v>
      </c>
    </row>
    <row r="455" ht="15.75" customHeight="1">
      <c r="A455" s="10" t="s">
        <v>437</v>
      </c>
      <c r="B455" s="13"/>
      <c r="C455" s="10" t="s">
        <v>633</v>
      </c>
      <c r="D455" s="13">
        <v>5.0</v>
      </c>
      <c r="E455" s="14">
        <v>25.0</v>
      </c>
      <c r="F455" s="15">
        <f t="shared" si="4"/>
        <v>125</v>
      </c>
      <c r="G455" s="6">
        <v>46197.0</v>
      </c>
      <c r="H455" s="22">
        <v>6.0</v>
      </c>
      <c r="I455" s="16">
        <f t="shared" si="5"/>
        <v>46239</v>
      </c>
      <c r="J455" s="13" t="s">
        <v>25</v>
      </c>
      <c r="K455" s="13" t="s">
        <v>31</v>
      </c>
      <c r="L455" s="24">
        <f>IF(A455="","",IF(OR(G455="",AND(G455&gt;=Dashboard!$C$18,G455&lt;=Dashboard!$C$19)),1,0))</f>
        <v>1</v>
      </c>
      <c r="M455" s="24">
        <f>IF(AND(L455=1,OR(Dashboard!$C$13="All",A455=Dashboard!$C$13),OR(Dashboard!$C$14="All",B455=Dashboard!$C$14),OR(Dashboard!$C$15="All",C455=Dashboard!$C$15),OR(Dashboard!$C$16="All",K455=Dashboard!$C$16),OR(Dashboard!$C$17="All",J455=Dashboard!$C$17)),1,0)</f>
        <v>1</v>
      </c>
      <c r="N455" s="24">
        <f>IF(AND(L455=1,OR(Dashboard!$C$13="All",A455=Dashboard!$C$13),OR(Dashboard!$C$14="All",B455=Dashboard!$C$14),OR(Dashboard!$C$16="All",K455=Dashboard!$C$16),OR(Dashboard!$C$17="All",J455=Dashboard!$C$17)),1,0)</f>
        <v>1</v>
      </c>
      <c r="O455" s="24">
        <f>IF(AND(L455=1,OR(Dashboard!$C$13="All",A455=Dashboard!$C$13),OR(Dashboard!$C$15="All",C455=Dashboard!$C$15),OR(Dashboard!$C$16="All",K455=Dashboard!$C$16),OR(Dashboard!$C$17="All",J455=Dashboard!$C$17)),1,0)</f>
        <v>1</v>
      </c>
      <c r="P455" s="24">
        <f>IF(AND(L455=1,OR(Dashboard!$C$13="All",A455=Dashboard!$C$13),OR(Dashboard!$C$14="All",B455=Dashboard!$C$14),OR(Dashboard!$C$15="All",C455=Dashboard!$C$15),OR(Dashboard!$C$17="All",J455=Dashboard!$C$17)),1,0)</f>
        <v>1</v>
      </c>
      <c r="Q455" s="24">
        <f>IF(AND(L455=1,OR(Dashboard!$C$14="All",B455=Dashboard!$C$14),OR(Dashboard!$C$15="All",C455=Dashboard!$C$15),OR(Dashboard!$C$16="All",K455=Dashboard!$C$16),OR(Dashboard!$C$17="All",J455=Dashboard!$C$17)),1,0)</f>
        <v>1</v>
      </c>
      <c r="R455" s="24">
        <f>IF(AND(L455=1,OR(Dashboard!$C$13="All",A455=Dashboard!$C$13),OR(Dashboard!$C$14="All",B455=Dashboard!$C$14),OR(Dashboard!$C$15="All",C455=Dashboard!$C$15),OR(Dashboard!$C$16="All",K455=Dashboard!$C$16)),1,0)</f>
        <v>1</v>
      </c>
      <c r="S455" s="24">
        <f t="shared" si="3"/>
        <v>454</v>
      </c>
    </row>
    <row r="456" ht="15.75" customHeight="1">
      <c r="A456" s="3" t="s">
        <v>437</v>
      </c>
      <c r="B456" s="4"/>
      <c r="C456" s="3" t="s">
        <v>648</v>
      </c>
      <c r="D456" s="4">
        <v>5.0</v>
      </c>
      <c r="E456" s="17">
        <v>245.0</v>
      </c>
      <c r="F456" s="5">
        <f t="shared" si="4"/>
        <v>1225</v>
      </c>
      <c r="G456" s="6">
        <v>46198.0</v>
      </c>
      <c r="H456" s="22">
        <v>9.0</v>
      </c>
      <c r="I456" s="7">
        <f t="shared" si="5"/>
        <v>46261</v>
      </c>
      <c r="J456" s="4" t="s">
        <v>25</v>
      </c>
      <c r="K456" s="4" t="s">
        <v>31</v>
      </c>
      <c r="L456" s="24">
        <f>IF(A456="","",IF(OR(G456="",AND(G456&gt;=Dashboard!$C$18,G456&lt;=Dashboard!$C$19)),1,0))</f>
        <v>1</v>
      </c>
      <c r="M456" s="24">
        <f>IF(AND(L456=1,OR(Dashboard!$C$13="All",A456=Dashboard!$C$13),OR(Dashboard!$C$14="All",B456=Dashboard!$C$14),OR(Dashboard!$C$15="All",C456=Dashboard!$C$15),OR(Dashboard!$C$16="All",K456=Dashboard!$C$16),OR(Dashboard!$C$17="All",J456=Dashboard!$C$17)),1,0)</f>
        <v>1</v>
      </c>
      <c r="N456" s="24">
        <f>IF(AND(L456=1,OR(Dashboard!$C$13="All",A456=Dashboard!$C$13),OR(Dashboard!$C$14="All",B456=Dashboard!$C$14),OR(Dashboard!$C$16="All",K456=Dashboard!$C$16),OR(Dashboard!$C$17="All",J456=Dashboard!$C$17)),1,0)</f>
        <v>1</v>
      </c>
      <c r="O456" s="24">
        <f>IF(AND(L456=1,OR(Dashboard!$C$13="All",A456=Dashboard!$C$13),OR(Dashboard!$C$15="All",C456=Dashboard!$C$15),OR(Dashboard!$C$16="All",K456=Dashboard!$C$16),OR(Dashboard!$C$17="All",J456=Dashboard!$C$17)),1,0)</f>
        <v>1</v>
      </c>
      <c r="P456" s="24">
        <f>IF(AND(L456=1,OR(Dashboard!$C$13="All",A456=Dashboard!$C$13),OR(Dashboard!$C$14="All",B456=Dashboard!$C$14),OR(Dashboard!$C$15="All",C456=Dashboard!$C$15),OR(Dashboard!$C$17="All",J456=Dashboard!$C$17)),1,0)</f>
        <v>1</v>
      </c>
      <c r="Q456" s="24">
        <f>IF(AND(L456=1,OR(Dashboard!$C$14="All",B456=Dashboard!$C$14),OR(Dashboard!$C$15="All",C456=Dashboard!$C$15),OR(Dashboard!$C$16="All",K456=Dashboard!$C$16),OR(Dashboard!$C$17="All",J456=Dashboard!$C$17)),1,0)</f>
        <v>1</v>
      </c>
      <c r="R456" s="24">
        <f>IF(AND(L456=1,OR(Dashboard!$C$13="All",A456=Dashboard!$C$13),OR(Dashboard!$C$14="All",B456=Dashboard!$C$14),OR(Dashboard!$C$15="All",C456=Dashboard!$C$15),OR(Dashboard!$C$16="All",K456=Dashboard!$C$16)),1,0)</f>
        <v>1</v>
      </c>
      <c r="S456" s="24">
        <f t="shared" si="3"/>
        <v>455</v>
      </c>
    </row>
    <row r="457" ht="15.75" customHeight="1">
      <c r="A457" s="10" t="s">
        <v>439</v>
      </c>
      <c r="B457" s="13"/>
      <c r="C457" s="10" t="s">
        <v>394</v>
      </c>
      <c r="D457" s="13">
        <v>7.0</v>
      </c>
      <c r="E457" s="14">
        <v>2555.0</v>
      </c>
      <c r="F457" s="15">
        <f t="shared" si="4"/>
        <v>17885</v>
      </c>
      <c r="G457" s="6">
        <v>46199.0</v>
      </c>
      <c r="H457" s="22">
        <v>7.0</v>
      </c>
      <c r="I457" s="16">
        <f t="shared" si="5"/>
        <v>46248</v>
      </c>
      <c r="J457" s="13" t="s">
        <v>25</v>
      </c>
      <c r="K457" s="13" t="s">
        <v>31</v>
      </c>
      <c r="L457" s="24">
        <f>IF(A457="","",IF(OR(G457="",AND(G457&gt;=Dashboard!$C$18,G457&lt;=Dashboard!$C$19)),1,0))</f>
        <v>1</v>
      </c>
      <c r="M457" s="24">
        <f>IF(AND(L457=1,OR(Dashboard!$C$13="All",A457=Dashboard!$C$13),OR(Dashboard!$C$14="All",B457=Dashboard!$C$14),OR(Dashboard!$C$15="All",C457=Dashboard!$C$15),OR(Dashboard!$C$16="All",K457=Dashboard!$C$16),OR(Dashboard!$C$17="All",J457=Dashboard!$C$17)),1,0)</f>
        <v>1</v>
      </c>
      <c r="N457" s="24">
        <f>IF(AND(L457=1,OR(Dashboard!$C$13="All",A457=Dashboard!$C$13),OR(Dashboard!$C$14="All",B457=Dashboard!$C$14),OR(Dashboard!$C$16="All",K457=Dashboard!$C$16),OR(Dashboard!$C$17="All",J457=Dashboard!$C$17)),1,0)</f>
        <v>1</v>
      </c>
      <c r="O457" s="24">
        <f>IF(AND(L457=1,OR(Dashboard!$C$13="All",A457=Dashboard!$C$13),OR(Dashboard!$C$15="All",C457=Dashboard!$C$15),OR(Dashboard!$C$16="All",K457=Dashboard!$C$16),OR(Dashboard!$C$17="All",J457=Dashboard!$C$17)),1,0)</f>
        <v>1</v>
      </c>
      <c r="P457" s="24">
        <f>IF(AND(L457=1,OR(Dashboard!$C$13="All",A457=Dashboard!$C$13),OR(Dashboard!$C$14="All",B457=Dashboard!$C$14),OR(Dashboard!$C$15="All",C457=Dashboard!$C$15),OR(Dashboard!$C$17="All",J457=Dashboard!$C$17)),1,0)</f>
        <v>1</v>
      </c>
      <c r="Q457" s="24">
        <f>IF(AND(L457=1,OR(Dashboard!$C$14="All",B457=Dashboard!$C$14),OR(Dashboard!$C$15="All",C457=Dashboard!$C$15),OR(Dashboard!$C$16="All",K457=Dashboard!$C$16),OR(Dashboard!$C$17="All",J457=Dashboard!$C$17)),1,0)</f>
        <v>1</v>
      </c>
      <c r="R457" s="24">
        <f>IF(AND(L457=1,OR(Dashboard!$C$13="All",A457=Dashboard!$C$13),OR(Dashboard!$C$14="All",B457=Dashboard!$C$14),OR(Dashboard!$C$15="All",C457=Dashboard!$C$15),OR(Dashboard!$C$16="All",K457=Dashboard!$C$16)),1,0)</f>
        <v>1</v>
      </c>
      <c r="S457" s="24">
        <f t="shared" si="3"/>
        <v>456</v>
      </c>
    </row>
    <row r="458" ht="15.75" customHeight="1">
      <c r="A458" s="3" t="s">
        <v>439</v>
      </c>
      <c r="B458" s="4"/>
      <c r="C458" s="3" t="s">
        <v>602</v>
      </c>
      <c r="D458" s="4">
        <v>14.0</v>
      </c>
      <c r="E458" s="17">
        <v>255.0</v>
      </c>
      <c r="F458" s="5">
        <f t="shared" si="4"/>
        <v>3570</v>
      </c>
      <c r="G458" s="6">
        <v>46200.0</v>
      </c>
      <c r="H458" s="22">
        <v>10.0</v>
      </c>
      <c r="I458" s="7">
        <f t="shared" si="5"/>
        <v>46270</v>
      </c>
      <c r="J458" s="4" t="s">
        <v>25</v>
      </c>
      <c r="K458" s="4" t="s">
        <v>31</v>
      </c>
      <c r="L458" s="24">
        <f>IF(A458="","",IF(OR(G458="",AND(G458&gt;=Dashboard!$C$18,G458&lt;=Dashboard!$C$19)),1,0))</f>
        <v>1</v>
      </c>
      <c r="M458" s="24">
        <f>IF(AND(L458=1,OR(Dashboard!$C$13="All",A458=Dashboard!$C$13),OR(Dashboard!$C$14="All",B458=Dashboard!$C$14),OR(Dashboard!$C$15="All",C458=Dashboard!$C$15),OR(Dashboard!$C$16="All",K458=Dashboard!$C$16),OR(Dashboard!$C$17="All",J458=Dashboard!$C$17)),1,0)</f>
        <v>1</v>
      </c>
      <c r="N458" s="24">
        <f>IF(AND(L458=1,OR(Dashboard!$C$13="All",A458=Dashboard!$C$13),OR(Dashboard!$C$14="All",B458=Dashboard!$C$14),OR(Dashboard!$C$16="All",K458=Dashboard!$C$16),OR(Dashboard!$C$17="All",J458=Dashboard!$C$17)),1,0)</f>
        <v>1</v>
      </c>
      <c r="O458" s="24">
        <f>IF(AND(L458=1,OR(Dashboard!$C$13="All",A458=Dashboard!$C$13),OR(Dashboard!$C$15="All",C458=Dashboard!$C$15),OR(Dashboard!$C$16="All",K458=Dashboard!$C$16),OR(Dashboard!$C$17="All",J458=Dashboard!$C$17)),1,0)</f>
        <v>1</v>
      </c>
      <c r="P458" s="24">
        <f>IF(AND(L458=1,OR(Dashboard!$C$13="All",A458=Dashboard!$C$13),OR(Dashboard!$C$14="All",B458=Dashboard!$C$14),OR(Dashboard!$C$15="All",C458=Dashboard!$C$15),OR(Dashboard!$C$17="All",J458=Dashboard!$C$17)),1,0)</f>
        <v>1</v>
      </c>
      <c r="Q458" s="24">
        <f>IF(AND(L458=1,OR(Dashboard!$C$14="All",B458=Dashboard!$C$14),OR(Dashboard!$C$15="All",C458=Dashboard!$C$15),OR(Dashboard!$C$16="All",K458=Dashboard!$C$16),OR(Dashboard!$C$17="All",J458=Dashboard!$C$17)),1,0)</f>
        <v>1</v>
      </c>
      <c r="R458" s="24">
        <f>IF(AND(L458=1,OR(Dashboard!$C$13="All",A458=Dashboard!$C$13),OR(Dashboard!$C$14="All",B458=Dashboard!$C$14),OR(Dashboard!$C$15="All",C458=Dashboard!$C$15),OR(Dashboard!$C$16="All",K458=Dashboard!$C$16)),1,0)</f>
        <v>1</v>
      </c>
      <c r="S458" s="24">
        <f t="shared" si="3"/>
        <v>457</v>
      </c>
    </row>
    <row r="459" ht="15.75" customHeight="1">
      <c r="A459" s="10" t="s">
        <v>442</v>
      </c>
      <c r="B459" s="13"/>
      <c r="C459" s="10" t="s">
        <v>51</v>
      </c>
      <c r="D459" s="13">
        <v>1.0</v>
      </c>
      <c r="E459" s="14">
        <v>45.0</v>
      </c>
      <c r="F459" s="15">
        <f t="shared" si="4"/>
        <v>45</v>
      </c>
      <c r="G459" s="6">
        <v>46201.0</v>
      </c>
      <c r="H459" s="22">
        <v>6.0</v>
      </c>
      <c r="I459" s="16">
        <f t="shared" si="5"/>
        <v>46243</v>
      </c>
      <c r="J459" s="13" t="s">
        <v>25</v>
      </c>
      <c r="K459" s="13" t="s">
        <v>31</v>
      </c>
      <c r="L459" s="24">
        <f>IF(A459="","",IF(OR(G459="",AND(G459&gt;=Dashboard!$C$18,G459&lt;=Dashboard!$C$19)),1,0))</f>
        <v>1</v>
      </c>
      <c r="M459" s="24">
        <f>IF(AND(L459=1,OR(Dashboard!$C$13="All",A459=Dashboard!$C$13),OR(Dashboard!$C$14="All",B459=Dashboard!$C$14),OR(Dashboard!$C$15="All",C459=Dashboard!$C$15),OR(Dashboard!$C$16="All",K459=Dashboard!$C$16),OR(Dashboard!$C$17="All",J459=Dashboard!$C$17)),1,0)</f>
        <v>1</v>
      </c>
      <c r="N459" s="24">
        <f>IF(AND(L459=1,OR(Dashboard!$C$13="All",A459=Dashboard!$C$13),OR(Dashboard!$C$14="All",B459=Dashboard!$C$14),OR(Dashboard!$C$16="All",K459=Dashboard!$C$16),OR(Dashboard!$C$17="All",J459=Dashboard!$C$17)),1,0)</f>
        <v>1</v>
      </c>
      <c r="O459" s="24">
        <f>IF(AND(L459=1,OR(Dashboard!$C$13="All",A459=Dashboard!$C$13),OR(Dashboard!$C$15="All",C459=Dashboard!$C$15),OR(Dashboard!$C$16="All",K459=Dashboard!$C$16),OR(Dashboard!$C$17="All",J459=Dashboard!$C$17)),1,0)</f>
        <v>1</v>
      </c>
      <c r="P459" s="24">
        <f>IF(AND(L459=1,OR(Dashboard!$C$13="All",A459=Dashboard!$C$13),OR(Dashboard!$C$14="All",B459=Dashboard!$C$14),OR(Dashboard!$C$15="All",C459=Dashboard!$C$15),OR(Dashboard!$C$17="All",J459=Dashboard!$C$17)),1,0)</f>
        <v>1</v>
      </c>
      <c r="Q459" s="24">
        <f>IF(AND(L459=1,OR(Dashboard!$C$14="All",B459=Dashboard!$C$14),OR(Dashboard!$C$15="All",C459=Dashboard!$C$15),OR(Dashboard!$C$16="All",K459=Dashboard!$C$16),OR(Dashboard!$C$17="All",J459=Dashboard!$C$17)),1,0)</f>
        <v>1</v>
      </c>
      <c r="R459" s="24">
        <f>IF(AND(L459=1,OR(Dashboard!$C$13="All",A459=Dashboard!$C$13),OR(Dashboard!$C$14="All",B459=Dashboard!$C$14),OR(Dashboard!$C$15="All",C459=Dashboard!$C$15),OR(Dashboard!$C$16="All",K459=Dashboard!$C$16)),1,0)</f>
        <v>1</v>
      </c>
      <c r="S459" s="24">
        <f t="shared" si="3"/>
        <v>458</v>
      </c>
    </row>
    <row r="460" ht="15.75" customHeight="1">
      <c r="A460" s="3" t="s">
        <v>442</v>
      </c>
      <c r="B460" s="4"/>
      <c r="C460" s="3" t="s">
        <v>45</v>
      </c>
      <c r="D460" s="4">
        <v>1.0</v>
      </c>
      <c r="E460" s="17">
        <v>36.0</v>
      </c>
      <c r="F460" s="5">
        <f t="shared" si="4"/>
        <v>36</v>
      </c>
      <c r="G460" s="6">
        <v>46202.0</v>
      </c>
      <c r="H460" s="22">
        <v>6.0</v>
      </c>
      <c r="I460" s="7">
        <f t="shared" si="5"/>
        <v>46244</v>
      </c>
      <c r="J460" s="4" t="s">
        <v>25</v>
      </c>
      <c r="K460" s="4" t="s">
        <v>31</v>
      </c>
      <c r="L460" s="24">
        <f>IF(A460="","",IF(OR(G460="",AND(G460&gt;=Dashboard!$C$18,G460&lt;=Dashboard!$C$19)),1,0))</f>
        <v>1</v>
      </c>
      <c r="M460" s="24">
        <f>IF(AND(L460=1,OR(Dashboard!$C$13="All",A460=Dashboard!$C$13),OR(Dashboard!$C$14="All",B460=Dashboard!$C$14),OR(Dashboard!$C$15="All",C460=Dashboard!$C$15),OR(Dashboard!$C$16="All",K460=Dashboard!$C$16),OR(Dashboard!$C$17="All",J460=Dashboard!$C$17)),1,0)</f>
        <v>1</v>
      </c>
      <c r="N460" s="24">
        <f>IF(AND(L460=1,OR(Dashboard!$C$13="All",A460=Dashboard!$C$13),OR(Dashboard!$C$14="All",B460=Dashboard!$C$14),OR(Dashboard!$C$16="All",K460=Dashboard!$C$16),OR(Dashboard!$C$17="All",J460=Dashboard!$C$17)),1,0)</f>
        <v>1</v>
      </c>
      <c r="O460" s="24">
        <f>IF(AND(L460=1,OR(Dashboard!$C$13="All",A460=Dashboard!$C$13),OR(Dashboard!$C$15="All",C460=Dashboard!$C$15),OR(Dashboard!$C$16="All",K460=Dashboard!$C$16),OR(Dashboard!$C$17="All",J460=Dashboard!$C$17)),1,0)</f>
        <v>1</v>
      </c>
      <c r="P460" s="24">
        <f>IF(AND(L460=1,OR(Dashboard!$C$13="All",A460=Dashboard!$C$13),OR(Dashboard!$C$14="All",B460=Dashboard!$C$14),OR(Dashboard!$C$15="All",C460=Dashboard!$C$15),OR(Dashboard!$C$17="All",J460=Dashboard!$C$17)),1,0)</f>
        <v>1</v>
      </c>
      <c r="Q460" s="24">
        <f>IF(AND(L460=1,OR(Dashboard!$C$14="All",B460=Dashboard!$C$14),OR(Dashboard!$C$15="All",C460=Dashboard!$C$15),OR(Dashboard!$C$16="All",K460=Dashboard!$C$16),OR(Dashboard!$C$17="All",J460=Dashboard!$C$17)),1,0)</f>
        <v>1</v>
      </c>
      <c r="R460" s="24">
        <f>IF(AND(L460=1,OR(Dashboard!$C$13="All",A460=Dashboard!$C$13),OR(Dashboard!$C$14="All",B460=Dashboard!$C$14),OR(Dashboard!$C$15="All",C460=Dashboard!$C$15),OR(Dashboard!$C$16="All",K460=Dashboard!$C$16)),1,0)</f>
        <v>1</v>
      </c>
      <c r="S460" s="24">
        <f t="shared" si="3"/>
        <v>459</v>
      </c>
    </row>
    <row r="461" ht="15.75" customHeight="1">
      <c r="A461" s="10" t="s">
        <v>442</v>
      </c>
      <c r="B461" s="13"/>
      <c r="C461" s="10" t="s">
        <v>192</v>
      </c>
      <c r="D461" s="13">
        <v>1.0</v>
      </c>
      <c r="E461" s="14">
        <v>96.0</v>
      </c>
      <c r="F461" s="15">
        <f t="shared" si="4"/>
        <v>96</v>
      </c>
      <c r="G461" s="6">
        <v>46203.0</v>
      </c>
      <c r="H461" s="22">
        <v>7.0</v>
      </c>
      <c r="I461" s="16">
        <f t="shared" si="5"/>
        <v>46252</v>
      </c>
      <c r="J461" s="13" t="s">
        <v>25</v>
      </c>
      <c r="K461" s="13" t="s">
        <v>31</v>
      </c>
      <c r="L461" s="24">
        <f>IF(A461="","",IF(OR(G461="",AND(G461&gt;=Dashboard!$C$18,G461&lt;=Dashboard!$C$19)),1,0))</f>
        <v>1</v>
      </c>
      <c r="M461" s="24">
        <f>IF(AND(L461=1,OR(Dashboard!$C$13="All",A461=Dashboard!$C$13),OR(Dashboard!$C$14="All",B461=Dashboard!$C$14),OR(Dashboard!$C$15="All",C461=Dashboard!$C$15),OR(Dashboard!$C$16="All",K461=Dashboard!$C$16),OR(Dashboard!$C$17="All",J461=Dashboard!$C$17)),1,0)</f>
        <v>1</v>
      </c>
      <c r="N461" s="24">
        <f>IF(AND(L461=1,OR(Dashboard!$C$13="All",A461=Dashboard!$C$13),OR(Dashboard!$C$14="All",B461=Dashboard!$C$14),OR(Dashboard!$C$16="All",K461=Dashboard!$C$16),OR(Dashboard!$C$17="All",J461=Dashboard!$C$17)),1,0)</f>
        <v>1</v>
      </c>
      <c r="O461" s="24">
        <f>IF(AND(L461=1,OR(Dashboard!$C$13="All",A461=Dashboard!$C$13),OR(Dashboard!$C$15="All",C461=Dashboard!$C$15),OR(Dashboard!$C$16="All",K461=Dashboard!$C$16),OR(Dashboard!$C$17="All",J461=Dashboard!$C$17)),1,0)</f>
        <v>1</v>
      </c>
      <c r="P461" s="24">
        <f>IF(AND(L461=1,OR(Dashboard!$C$13="All",A461=Dashboard!$C$13),OR(Dashboard!$C$14="All",B461=Dashboard!$C$14),OR(Dashboard!$C$15="All",C461=Dashboard!$C$15),OR(Dashboard!$C$17="All",J461=Dashboard!$C$17)),1,0)</f>
        <v>1</v>
      </c>
      <c r="Q461" s="24">
        <f>IF(AND(L461=1,OR(Dashboard!$C$14="All",B461=Dashboard!$C$14),OR(Dashboard!$C$15="All",C461=Dashboard!$C$15),OR(Dashboard!$C$16="All",K461=Dashboard!$C$16),OR(Dashboard!$C$17="All",J461=Dashboard!$C$17)),1,0)</f>
        <v>1</v>
      </c>
      <c r="R461" s="24">
        <f>IF(AND(L461=1,OR(Dashboard!$C$13="All",A461=Dashboard!$C$13),OR(Dashboard!$C$14="All",B461=Dashboard!$C$14),OR(Dashboard!$C$15="All",C461=Dashboard!$C$15),OR(Dashboard!$C$16="All",K461=Dashboard!$C$16)),1,0)</f>
        <v>1</v>
      </c>
      <c r="S461" s="24">
        <f t="shared" si="3"/>
        <v>460</v>
      </c>
    </row>
    <row r="462" ht="15.75" customHeight="1">
      <c r="A462" s="3" t="s">
        <v>442</v>
      </c>
      <c r="B462" s="4"/>
      <c r="C462" s="3" t="s">
        <v>513</v>
      </c>
      <c r="D462" s="4">
        <v>1.0</v>
      </c>
      <c r="E462" s="17">
        <v>8.0</v>
      </c>
      <c r="F462" s="5">
        <f t="shared" si="4"/>
        <v>8</v>
      </c>
      <c r="G462" s="6">
        <v>46204.0</v>
      </c>
      <c r="H462" s="22">
        <v>8.0</v>
      </c>
      <c r="I462" s="7">
        <f t="shared" si="5"/>
        <v>46260</v>
      </c>
      <c r="J462" s="4" t="s">
        <v>25</v>
      </c>
      <c r="K462" s="4" t="s">
        <v>31</v>
      </c>
      <c r="L462" s="24">
        <f>IF(A462="","",IF(OR(G462="",AND(G462&gt;=Dashboard!$C$18,G462&lt;=Dashboard!$C$19)),1,0))</f>
        <v>1</v>
      </c>
      <c r="M462" s="24">
        <f>IF(AND(L462=1,OR(Dashboard!$C$13="All",A462=Dashboard!$C$13),OR(Dashboard!$C$14="All",B462=Dashboard!$C$14),OR(Dashboard!$C$15="All",C462=Dashboard!$C$15),OR(Dashboard!$C$16="All",K462=Dashboard!$C$16),OR(Dashboard!$C$17="All",J462=Dashboard!$C$17)),1,0)</f>
        <v>1</v>
      </c>
      <c r="N462" s="24">
        <f>IF(AND(L462=1,OR(Dashboard!$C$13="All",A462=Dashboard!$C$13),OR(Dashboard!$C$14="All",B462=Dashboard!$C$14),OR(Dashboard!$C$16="All",K462=Dashboard!$C$16),OR(Dashboard!$C$17="All",J462=Dashboard!$C$17)),1,0)</f>
        <v>1</v>
      </c>
      <c r="O462" s="24">
        <f>IF(AND(L462=1,OR(Dashboard!$C$13="All",A462=Dashboard!$C$13),OR(Dashboard!$C$15="All",C462=Dashboard!$C$15),OR(Dashboard!$C$16="All",K462=Dashboard!$C$16),OR(Dashboard!$C$17="All",J462=Dashboard!$C$17)),1,0)</f>
        <v>1</v>
      </c>
      <c r="P462" s="24">
        <f>IF(AND(L462=1,OR(Dashboard!$C$13="All",A462=Dashboard!$C$13),OR(Dashboard!$C$14="All",B462=Dashboard!$C$14),OR(Dashboard!$C$15="All",C462=Dashboard!$C$15),OR(Dashboard!$C$17="All",J462=Dashboard!$C$17)),1,0)</f>
        <v>1</v>
      </c>
      <c r="Q462" s="24">
        <f>IF(AND(L462=1,OR(Dashboard!$C$14="All",B462=Dashboard!$C$14),OR(Dashboard!$C$15="All",C462=Dashboard!$C$15),OR(Dashboard!$C$16="All",K462=Dashboard!$C$16),OR(Dashboard!$C$17="All",J462=Dashboard!$C$17)),1,0)</f>
        <v>1</v>
      </c>
      <c r="R462" s="24">
        <f>IF(AND(L462=1,OR(Dashboard!$C$13="All",A462=Dashboard!$C$13),OR(Dashboard!$C$14="All",B462=Dashboard!$C$14),OR(Dashboard!$C$15="All",C462=Dashboard!$C$15),OR(Dashboard!$C$16="All",K462=Dashboard!$C$16)),1,0)</f>
        <v>1</v>
      </c>
      <c r="S462" s="24">
        <f t="shared" si="3"/>
        <v>461</v>
      </c>
    </row>
    <row r="463" ht="15.75" customHeight="1">
      <c r="A463" s="10" t="s">
        <v>442</v>
      </c>
      <c r="B463" s="13"/>
      <c r="C463" s="10" t="s">
        <v>492</v>
      </c>
      <c r="D463" s="13">
        <v>1.0</v>
      </c>
      <c r="E463" s="14">
        <v>5.0</v>
      </c>
      <c r="F463" s="15">
        <f t="shared" si="4"/>
        <v>5</v>
      </c>
      <c r="G463" s="6">
        <v>46205.0</v>
      </c>
      <c r="H463" s="22">
        <v>14.0</v>
      </c>
      <c r="I463" s="16">
        <f t="shared" si="5"/>
        <v>46303</v>
      </c>
      <c r="J463" s="13" t="s">
        <v>25</v>
      </c>
      <c r="K463" s="13" t="s">
        <v>31</v>
      </c>
      <c r="L463" s="24">
        <f>IF(A463="","",IF(OR(G463="",AND(G463&gt;=Dashboard!$C$18,G463&lt;=Dashboard!$C$19)),1,0))</f>
        <v>1</v>
      </c>
      <c r="M463" s="24">
        <f>IF(AND(L463=1,OR(Dashboard!$C$13="All",A463=Dashboard!$C$13),OR(Dashboard!$C$14="All",B463=Dashboard!$C$14),OR(Dashboard!$C$15="All",C463=Dashboard!$C$15),OR(Dashboard!$C$16="All",K463=Dashboard!$C$16),OR(Dashboard!$C$17="All",J463=Dashboard!$C$17)),1,0)</f>
        <v>1</v>
      </c>
      <c r="N463" s="24">
        <f>IF(AND(L463=1,OR(Dashboard!$C$13="All",A463=Dashboard!$C$13),OR(Dashboard!$C$14="All",B463=Dashboard!$C$14),OR(Dashboard!$C$16="All",K463=Dashboard!$C$16),OR(Dashboard!$C$17="All",J463=Dashboard!$C$17)),1,0)</f>
        <v>1</v>
      </c>
      <c r="O463" s="24">
        <f>IF(AND(L463=1,OR(Dashboard!$C$13="All",A463=Dashboard!$C$13),OR(Dashboard!$C$15="All",C463=Dashboard!$C$15),OR(Dashboard!$C$16="All",K463=Dashboard!$C$16),OR(Dashboard!$C$17="All",J463=Dashboard!$C$17)),1,0)</f>
        <v>1</v>
      </c>
      <c r="P463" s="24">
        <f>IF(AND(L463=1,OR(Dashboard!$C$13="All",A463=Dashboard!$C$13),OR(Dashboard!$C$14="All",B463=Dashboard!$C$14),OR(Dashboard!$C$15="All",C463=Dashboard!$C$15),OR(Dashboard!$C$17="All",J463=Dashboard!$C$17)),1,0)</f>
        <v>1</v>
      </c>
      <c r="Q463" s="24">
        <f>IF(AND(L463=1,OR(Dashboard!$C$14="All",B463=Dashboard!$C$14),OR(Dashboard!$C$15="All",C463=Dashboard!$C$15),OR(Dashboard!$C$16="All",K463=Dashboard!$C$16),OR(Dashboard!$C$17="All",J463=Dashboard!$C$17)),1,0)</f>
        <v>1</v>
      </c>
      <c r="R463" s="24">
        <f>IF(AND(L463=1,OR(Dashboard!$C$13="All",A463=Dashboard!$C$13),OR(Dashboard!$C$14="All",B463=Dashboard!$C$14),OR(Dashboard!$C$15="All",C463=Dashboard!$C$15),OR(Dashboard!$C$16="All",K463=Dashboard!$C$16)),1,0)</f>
        <v>1</v>
      </c>
      <c r="S463" s="24">
        <f t="shared" si="3"/>
        <v>462</v>
      </c>
    </row>
    <row r="464" ht="15.75" customHeight="1">
      <c r="A464" s="3" t="s">
        <v>444</v>
      </c>
      <c r="B464" s="4"/>
      <c r="C464" s="3" t="s">
        <v>84</v>
      </c>
      <c r="D464" s="4">
        <v>4.0</v>
      </c>
      <c r="E464" s="17">
        <v>4.0</v>
      </c>
      <c r="F464" s="5">
        <f t="shared" si="4"/>
        <v>16</v>
      </c>
      <c r="G464" s="6">
        <v>46206.0</v>
      </c>
      <c r="H464" s="22">
        <v>16.0</v>
      </c>
      <c r="I464" s="7">
        <f t="shared" si="5"/>
        <v>46318</v>
      </c>
      <c r="J464" s="4" t="s">
        <v>25</v>
      </c>
      <c r="K464" s="4" t="s">
        <v>31</v>
      </c>
      <c r="L464" s="24">
        <f>IF(A464="","",IF(OR(G464="",AND(G464&gt;=Dashboard!$C$18,G464&lt;=Dashboard!$C$19)),1,0))</f>
        <v>1</v>
      </c>
      <c r="M464" s="24">
        <f>IF(AND(L464=1,OR(Dashboard!$C$13="All",A464=Dashboard!$C$13),OR(Dashboard!$C$14="All",B464=Dashboard!$C$14),OR(Dashboard!$C$15="All",C464=Dashboard!$C$15),OR(Dashboard!$C$16="All",K464=Dashboard!$C$16),OR(Dashboard!$C$17="All",J464=Dashboard!$C$17)),1,0)</f>
        <v>1</v>
      </c>
      <c r="N464" s="24">
        <f>IF(AND(L464=1,OR(Dashboard!$C$13="All",A464=Dashboard!$C$13),OR(Dashboard!$C$14="All",B464=Dashboard!$C$14),OR(Dashboard!$C$16="All",K464=Dashboard!$C$16),OR(Dashboard!$C$17="All",J464=Dashboard!$C$17)),1,0)</f>
        <v>1</v>
      </c>
      <c r="O464" s="24">
        <f>IF(AND(L464=1,OR(Dashboard!$C$13="All",A464=Dashboard!$C$13),OR(Dashboard!$C$15="All",C464=Dashboard!$C$15),OR(Dashboard!$C$16="All",K464=Dashboard!$C$16),OR(Dashboard!$C$17="All",J464=Dashboard!$C$17)),1,0)</f>
        <v>1</v>
      </c>
      <c r="P464" s="24">
        <f>IF(AND(L464=1,OR(Dashboard!$C$13="All",A464=Dashboard!$C$13),OR(Dashboard!$C$14="All",B464=Dashboard!$C$14),OR(Dashboard!$C$15="All",C464=Dashboard!$C$15),OR(Dashboard!$C$17="All",J464=Dashboard!$C$17)),1,0)</f>
        <v>1</v>
      </c>
      <c r="Q464" s="24">
        <f>IF(AND(L464=1,OR(Dashboard!$C$14="All",B464=Dashboard!$C$14),OR(Dashboard!$C$15="All",C464=Dashboard!$C$15),OR(Dashboard!$C$16="All",K464=Dashboard!$C$16),OR(Dashboard!$C$17="All",J464=Dashboard!$C$17)),1,0)</f>
        <v>1</v>
      </c>
      <c r="R464" s="24">
        <f>IF(AND(L464=1,OR(Dashboard!$C$13="All",A464=Dashboard!$C$13),OR(Dashboard!$C$14="All",B464=Dashboard!$C$14),OR(Dashboard!$C$15="All",C464=Dashboard!$C$15),OR(Dashboard!$C$16="All",K464=Dashboard!$C$16)),1,0)</f>
        <v>1</v>
      </c>
      <c r="S464" s="24">
        <f t="shared" si="3"/>
        <v>463</v>
      </c>
    </row>
    <row r="465" ht="15.75" customHeight="1">
      <c r="A465" s="10" t="s">
        <v>444</v>
      </c>
      <c r="B465" s="13"/>
      <c r="C465" s="10" t="s">
        <v>148</v>
      </c>
      <c r="D465" s="13">
        <v>2.0</v>
      </c>
      <c r="E465" s="14">
        <v>2.0</v>
      </c>
      <c r="F465" s="15">
        <f t="shared" si="4"/>
        <v>4</v>
      </c>
      <c r="G465" s="6">
        <v>46207.0</v>
      </c>
      <c r="H465" s="22">
        <v>15.0</v>
      </c>
      <c r="I465" s="16">
        <f t="shared" si="5"/>
        <v>46312</v>
      </c>
      <c r="J465" s="13" t="s">
        <v>25</v>
      </c>
      <c r="K465" s="13" t="s">
        <v>31</v>
      </c>
      <c r="L465" s="24">
        <f>IF(A465="","",IF(OR(G465="",AND(G465&gt;=Dashboard!$C$18,G465&lt;=Dashboard!$C$19)),1,0))</f>
        <v>1</v>
      </c>
      <c r="M465" s="24">
        <f>IF(AND(L465=1,OR(Dashboard!$C$13="All",A465=Dashboard!$C$13),OR(Dashboard!$C$14="All",B465=Dashboard!$C$14),OR(Dashboard!$C$15="All",C465=Dashboard!$C$15),OR(Dashboard!$C$16="All",K465=Dashboard!$C$16),OR(Dashboard!$C$17="All",J465=Dashboard!$C$17)),1,0)</f>
        <v>1</v>
      </c>
      <c r="N465" s="24">
        <f>IF(AND(L465=1,OR(Dashboard!$C$13="All",A465=Dashboard!$C$13),OR(Dashboard!$C$14="All",B465=Dashboard!$C$14),OR(Dashboard!$C$16="All",K465=Dashboard!$C$16),OR(Dashboard!$C$17="All",J465=Dashboard!$C$17)),1,0)</f>
        <v>1</v>
      </c>
      <c r="O465" s="24">
        <f>IF(AND(L465=1,OR(Dashboard!$C$13="All",A465=Dashboard!$C$13),OR(Dashboard!$C$15="All",C465=Dashboard!$C$15),OR(Dashboard!$C$16="All",K465=Dashboard!$C$16),OR(Dashboard!$C$17="All",J465=Dashboard!$C$17)),1,0)</f>
        <v>1</v>
      </c>
      <c r="P465" s="24">
        <f>IF(AND(L465=1,OR(Dashboard!$C$13="All",A465=Dashboard!$C$13),OR(Dashboard!$C$14="All",B465=Dashboard!$C$14),OR(Dashboard!$C$15="All",C465=Dashboard!$C$15),OR(Dashboard!$C$17="All",J465=Dashboard!$C$17)),1,0)</f>
        <v>1</v>
      </c>
      <c r="Q465" s="24">
        <f>IF(AND(L465=1,OR(Dashboard!$C$14="All",B465=Dashboard!$C$14),OR(Dashboard!$C$15="All",C465=Dashboard!$C$15),OR(Dashboard!$C$16="All",K465=Dashboard!$C$16),OR(Dashboard!$C$17="All",J465=Dashboard!$C$17)),1,0)</f>
        <v>1</v>
      </c>
      <c r="R465" s="24">
        <f>IF(AND(L465=1,OR(Dashboard!$C$13="All",A465=Dashboard!$C$13),OR(Dashboard!$C$14="All",B465=Dashboard!$C$14),OR(Dashboard!$C$15="All",C465=Dashboard!$C$15),OR(Dashboard!$C$16="All",K465=Dashboard!$C$16)),1,0)</f>
        <v>1</v>
      </c>
      <c r="S465" s="24">
        <f t="shared" si="3"/>
        <v>464</v>
      </c>
    </row>
    <row r="466" ht="15.75" customHeight="1">
      <c r="A466" s="3" t="s">
        <v>444</v>
      </c>
      <c r="B466" s="4"/>
      <c r="C466" s="3" t="s">
        <v>220</v>
      </c>
      <c r="D466" s="4">
        <v>2.0</v>
      </c>
      <c r="E466" s="17">
        <v>36.0</v>
      </c>
      <c r="F466" s="5">
        <f t="shared" si="4"/>
        <v>72</v>
      </c>
      <c r="G466" s="6">
        <v>46208.0</v>
      </c>
      <c r="H466" s="22">
        <v>15.0</v>
      </c>
      <c r="I466" s="7">
        <f t="shared" si="5"/>
        <v>46313</v>
      </c>
      <c r="J466" s="4" t="s">
        <v>25</v>
      </c>
      <c r="K466" s="4" t="s">
        <v>31</v>
      </c>
      <c r="L466" s="24">
        <f>IF(A466="","",IF(OR(G466="",AND(G466&gt;=Dashboard!$C$18,G466&lt;=Dashboard!$C$19)),1,0))</f>
        <v>1</v>
      </c>
      <c r="M466" s="24">
        <f>IF(AND(L466=1,OR(Dashboard!$C$13="All",A466=Dashboard!$C$13),OR(Dashboard!$C$14="All",B466=Dashboard!$C$14),OR(Dashboard!$C$15="All",C466=Dashboard!$C$15),OR(Dashboard!$C$16="All",K466=Dashboard!$C$16),OR(Dashboard!$C$17="All",J466=Dashboard!$C$17)),1,0)</f>
        <v>1</v>
      </c>
      <c r="N466" s="24">
        <f>IF(AND(L466=1,OR(Dashboard!$C$13="All",A466=Dashboard!$C$13),OR(Dashboard!$C$14="All",B466=Dashboard!$C$14),OR(Dashboard!$C$16="All",K466=Dashboard!$C$16),OR(Dashboard!$C$17="All",J466=Dashboard!$C$17)),1,0)</f>
        <v>1</v>
      </c>
      <c r="O466" s="24">
        <f>IF(AND(L466=1,OR(Dashboard!$C$13="All",A466=Dashboard!$C$13),OR(Dashboard!$C$15="All",C466=Dashboard!$C$15),OR(Dashboard!$C$16="All",K466=Dashboard!$C$16),OR(Dashboard!$C$17="All",J466=Dashboard!$C$17)),1,0)</f>
        <v>1</v>
      </c>
      <c r="P466" s="24">
        <f>IF(AND(L466=1,OR(Dashboard!$C$13="All",A466=Dashboard!$C$13),OR(Dashboard!$C$14="All",B466=Dashboard!$C$14),OR(Dashboard!$C$15="All",C466=Dashboard!$C$15),OR(Dashboard!$C$17="All",J466=Dashboard!$C$17)),1,0)</f>
        <v>1</v>
      </c>
      <c r="Q466" s="24">
        <f>IF(AND(L466=1,OR(Dashboard!$C$14="All",B466=Dashboard!$C$14),OR(Dashboard!$C$15="All",C466=Dashboard!$C$15),OR(Dashboard!$C$16="All",K466=Dashboard!$C$16),OR(Dashboard!$C$17="All",J466=Dashboard!$C$17)),1,0)</f>
        <v>1</v>
      </c>
      <c r="R466" s="24">
        <f>IF(AND(L466=1,OR(Dashboard!$C$13="All",A466=Dashboard!$C$13),OR(Dashboard!$C$14="All",B466=Dashboard!$C$14),OR(Dashboard!$C$15="All",C466=Dashboard!$C$15),OR(Dashboard!$C$16="All",K466=Dashboard!$C$16)),1,0)</f>
        <v>1</v>
      </c>
      <c r="S466" s="24">
        <f t="shared" si="3"/>
        <v>465</v>
      </c>
    </row>
    <row r="467" ht="15.75" customHeight="1">
      <c r="A467" s="10" t="s">
        <v>444</v>
      </c>
      <c r="B467" s="13"/>
      <c r="C467" s="10" t="s">
        <v>163</v>
      </c>
      <c r="D467" s="13">
        <v>500.0</v>
      </c>
      <c r="E467" s="5">
        <v>2.0</v>
      </c>
      <c r="F467" s="15">
        <f t="shared" si="4"/>
        <v>1000</v>
      </c>
      <c r="G467" s="6">
        <v>46209.0</v>
      </c>
      <c r="H467" s="22">
        <v>14.0</v>
      </c>
      <c r="I467" s="16">
        <f t="shared" si="5"/>
        <v>46307</v>
      </c>
      <c r="J467" s="13" t="s">
        <v>25</v>
      </c>
      <c r="K467" s="13" t="s">
        <v>31</v>
      </c>
      <c r="L467" s="24">
        <f>IF(A467="","",IF(OR(G467="",AND(G467&gt;=Dashboard!$C$18,G467&lt;=Dashboard!$C$19)),1,0))</f>
        <v>1</v>
      </c>
      <c r="M467" s="24">
        <f>IF(AND(L467=1,OR(Dashboard!$C$13="All",A467=Dashboard!$C$13),OR(Dashboard!$C$14="All",B467=Dashboard!$C$14),OR(Dashboard!$C$15="All",C467=Dashboard!$C$15),OR(Dashboard!$C$16="All",K467=Dashboard!$C$16),OR(Dashboard!$C$17="All",J467=Dashboard!$C$17)),1,0)</f>
        <v>1</v>
      </c>
      <c r="N467" s="24">
        <f>IF(AND(L467=1,OR(Dashboard!$C$13="All",A467=Dashboard!$C$13),OR(Dashboard!$C$14="All",B467=Dashboard!$C$14),OR(Dashboard!$C$16="All",K467=Dashboard!$C$16),OR(Dashboard!$C$17="All",J467=Dashboard!$C$17)),1,0)</f>
        <v>1</v>
      </c>
      <c r="O467" s="24">
        <f>IF(AND(L467=1,OR(Dashboard!$C$13="All",A467=Dashboard!$C$13),OR(Dashboard!$C$15="All",C467=Dashboard!$C$15),OR(Dashboard!$C$16="All",K467=Dashboard!$C$16),OR(Dashboard!$C$17="All",J467=Dashboard!$C$17)),1,0)</f>
        <v>1</v>
      </c>
      <c r="P467" s="24">
        <f>IF(AND(L467=1,OR(Dashboard!$C$13="All",A467=Dashboard!$C$13),OR(Dashboard!$C$14="All",B467=Dashboard!$C$14),OR(Dashboard!$C$15="All",C467=Dashboard!$C$15),OR(Dashboard!$C$17="All",J467=Dashboard!$C$17)),1,0)</f>
        <v>1</v>
      </c>
      <c r="Q467" s="24">
        <f>IF(AND(L467=1,OR(Dashboard!$C$14="All",B467=Dashboard!$C$14),OR(Dashboard!$C$15="All",C467=Dashboard!$C$15),OR(Dashboard!$C$16="All",K467=Dashboard!$C$16),OR(Dashboard!$C$17="All",J467=Dashboard!$C$17)),1,0)</f>
        <v>1</v>
      </c>
      <c r="R467" s="24">
        <f>IF(AND(L467=1,OR(Dashboard!$C$13="All",A467=Dashboard!$C$13),OR(Dashboard!$C$14="All",B467=Dashboard!$C$14),OR(Dashboard!$C$15="All",C467=Dashboard!$C$15),OR(Dashboard!$C$16="All",K467=Dashboard!$C$16)),1,0)</f>
        <v>1</v>
      </c>
      <c r="S467" s="24">
        <f t="shared" si="3"/>
        <v>466</v>
      </c>
    </row>
    <row r="468" ht="15.75" customHeight="1">
      <c r="A468" s="3" t="s">
        <v>444</v>
      </c>
      <c r="B468" s="4"/>
      <c r="C468" s="3" t="s">
        <v>301</v>
      </c>
      <c r="D468" s="4">
        <v>2.0</v>
      </c>
      <c r="E468" s="14">
        <v>5.0</v>
      </c>
      <c r="F468" s="5">
        <f t="shared" si="4"/>
        <v>10</v>
      </c>
      <c r="G468" s="6">
        <v>46210.0</v>
      </c>
      <c r="H468" s="22">
        <v>15.0</v>
      </c>
      <c r="I468" s="7">
        <f t="shared" si="5"/>
        <v>46315</v>
      </c>
      <c r="J468" s="4" t="s">
        <v>25</v>
      </c>
      <c r="K468" s="4" t="s">
        <v>31</v>
      </c>
      <c r="L468" s="24">
        <f>IF(A468="","",IF(OR(G468="",AND(G468&gt;=Dashboard!$C$18,G468&lt;=Dashboard!$C$19)),1,0))</f>
        <v>1</v>
      </c>
      <c r="M468" s="24">
        <f>IF(AND(L468=1,OR(Dashboard!$C$13="All",A468=Dashboard!$C$13),OR(Dashboard!$C$14="All",B468=Dashboard!$C$14),OR(Dashboard!$C$15="All",C468=Dashboard!$C$15),OR(Dashboard!$C$16="All",K468=Dashboard!$C$16),OR(Dashboard!$C$17="All",J468=Dashboard!$C$17)),1,0)</f>
        <v>1</v>
      </c>
      <c r="N468" s="24">
        <f>IF(AND(L468=1,OR(Dashboard!$C$13="All",A468=Dashboard!$C$13),OR(Dashboard!$C$14="All",B468=Dashboard!$C$14),OR(Dashboard!$C$16="All",K468=Dashboard!$C$16),OR(Dashboard!$C$17="All",J468=Dashboard!$C$17)),1,0)</f>
        <v>1</v>
      </c>
      <c r="O468" s="24">
        <f>IF(AND(L468=1,OR(Dashboard!$C$13="All",A468=Dashboard!$C$13),OR(Dashboard!$C$15="All",C468=Dashboard!$C$15),OR(Dashboard!$C$16="All",K468=Dashboard!$C$16),OR(Dashboard!$C$17="All",J468=Dashboard!$C$17)),1,0)</f>
        <v>1</v>
      </c>
      <c r="P468" s="24">
        <f>IF(AND(L468=1,OR(Dashboard!$C$13="All",A468=Dashboard!$C$13),OR(Dashboard!$C$14="All",B468=Dashboard!$C$14),OR(Dashboard!$C$15="All",C468=Dashboard!$C$15),OR(Dashboard!$C$17="All",J468=Dashboard!$C$17)),1,0)</f>
        <v>1</v>
      </c>
      <c r="Q468" s="24">
        <f>IF(AND(L468=1,OR(Dashboard!$C$14="All",B468=Dashboard!$C$14),OR(Dashboard!$C$15="All",C468=Dashboard!$C$15),OR(Dashboard!$C$16="All",K468=Dashboard!$C$16),OR(Dashboard!$C$17="All",J468=Dashboard!$C$17)),1,0)</f>
        <v>1</v>
      </c>
      <c r="R468" s="24">
        <f>IF(AND(L468=1,OR(Dashboard!$C$13="All",A468=Dashboard!$C$13),OR(Dashboard!$C$14="All",B468=Dashboard!$C$14),OR(Dashboard!$C$15="All",C468=Dashboard!$C$15),OR(Dashboard!$C$16="All",K468=Dashboard!$C$16)),1,0)</f>
        <v>1</v>
      </c>
      <c r="S468" s="24">
        <f t="shared" si="3"/>
        <v>467</v>
      </c>
    </row>
    <row r="469" ht="15.75" customHeight="1">
      <c r="A469" s="10" t="s">
        <v>444</v>
      </c>
      <c r="B469" s="13"/>
      <c r="C469" s="10" t="s">
        <v>413</v>
      </c>
      <c r="D469" s="13">
        <v>3.0</v>
      </c>
      <c r="E469" s="17">
        <v>6.0</v>
      </c>
      <c r="F469" s="15">
        <f t="shared" si="4"/>
        <v>18</v>
      </c>
      <c r="G469" s="6">
        <v>46211.0</v>
      </c>
      <c r="H469" s="22">
        <v>14.0</v>
      </c>
      <c r="I469" s="16">
        <f t="shared" si="5"/>
        <v>46309</v>
      </c>
      <c r="J469" s="13" t="s">
        <v>25</v>
      </c>
      <c r="K469" s="13" t="s">
        <v>31</v>
      </c>
      <c r="L469" s="24">
        <f>IF(A469="","",IF(OR(G469="",AND(G469&gt;=Dashboard!$C$18,G469&lt;=Dashboard!$C$19)),1,0))</f>
        <v>1</v>
      </c>
      <c r="M469" s="24">
        <f>IF(AND(L469=1,OR(Dashboard!$C$13="All",A469=Dashboard!$C$13),OR(Dashboard!$C$14="All",B469=Dashboard!$C$14),OR(Dashboard!$C$15="All",C469=Dashboard!$C$15),OR(Dashboard!$C$16="All",K469=Dashboard!$C$16),OR(Dashboard!$C$17="All",J469=Dashboard!$C$17)),1,0)</f>
        <v>1</v>
      </c>
      <c r="N469" s="24">
        <f>IF(AND(L469=1,OR(Dashboard!$C$13="All",A469=Dashboard!$C$13),OR(Dashboard!$C$14="All",B469=Dashboard!$C$14),OR(Dashboard!$C$16="All",K469=Dashboard!$C$16),OR(Dashboard!$C$17="All",J469=Dashboard!$C$17)),1,0)</f>
        <v>1</v>
      </c>
      <c r="O469" s="24">
        <f>IF(AND(L469=1,OR(Dashboard!$C$13="All",A469=Dashboard!$C$13),OR(Dashboard!$C$15="All",C469=Dashboard!$C$15),OR(Dashboard!$C$16="All",K469=Dashboard!$C$16),OR(Dashboard!$C$17="All",J469=Dashboard!$C$17)),1,0)</f>
        <v>1</v>
      </c>
      <c r="P469" s="24">
        <f>IF(AND(L469=1,OR(Dashboard!$C$13="All",A469=Dashboard!$C$13),OR(Dashboard!$C$14="All",B469=Dashboard!$C$14),OR(Dashboard!$C$15="All",C469=Dashboard!$C$15),OR(Dashboard!$C$17="All",J469=Dashboard!$C$17)),1,0)</f>
        <v>1</v>
      </c>
      <c r="Q469" s="24">
        <f>IF(AND(L469=1,OR(Dashboard!$C$14="All",B469=Dashboard!$C$14),OR(Dashboard!$C$15="All",C469=Dashboard!$C$15),OR(Dashboard!$C$16="All",K469=Dashboard!$C$16),OR(Dashboard!$C$17="All",J469=Dashboard!$C$17)),1,0)</f>
        <v>1</v>
      </c>
      <c r="R469" s="24">
        <f>IF(AND(L469=1,OR(Dashboard!$C$13="All",A469=Dashboard!$C$13),OR(Dashboard!$C$14="All",B469=Dashboard!$C$14),OR(Dashboard!$C$15="All",C469=Dashboard!$C$15),OR(Dashboard!$C$16="All",K469=Dashboard!$C$16)),1,0)</f>
        <v>1</v>
      </c>
      <c r="S469" s="24">
        <f t="shared" si="3"/>
        <v>468</v>
      </c>
    </row>
    <row r="470" ht="15.75" customHeight="1">
      <c r="A470" s="3" t="s">
        <v>444</v>
      </c>
      <c r="B470" s="4"/>
      <c r="C470" s="3" t="s">
        <v>262</v>
      </c>
      <c r="D470" s="4">
        <v>1.0</v>
      </c>
      <c r="E470" s="14">
        <v>7.0</v>
      </c>
      <c r="F470" s="5">
        <f t="shared" si="4"/>
        <v>7</v>
      </c>
      <c r="G470" s="6">
        <v>46212.0</v>
      </c>
      <c r="H470" s="22">
        <v>12.0</v>
      </c>
      <c r="I470" s="7">
        <f t="shared" si="5"/>
        <v>46296</v>
      </c>
      <c r="J470" s="4" t="s">
        <v>25</v>
      </c>
      <c r="K470" s="4" t="s">
        <v>31</v>
      </c>
      <c r="L470" s="24">
        <f>IF(A470="","",IF(OR(G470="",AND(G470&gt;=Dashboard!$C$18,G470&lt;=Dashboard!$C$19)),1,0))</f>
        <v>1</v>
      </c>
      <c r="M470" s="24">
        <f>IF(AND(L470=1,OR(Dashboard!$C$13="All",A470=Dashboard!$C$13),OR(Dashboard!$C$14="All",B470=Dashboard!$C$14),OR(Dashboard!$C$15="All",C470=Dashboard!$C$15),OR(Dashboard!$C$16="All",K470=Dashboard!$C$16),OR(Dashboard!$C$17="All",J470=Dashboard!$C$17)),1,0)</f>
        <v>1</v>
      </c>
      <c r="N470" s="24">
        <f>IF(AND(L470=1,OR(Dashboard!$C$13="All",A470=Dashboard!$C$13),OR(Dashboard!$C$14="All",B470=Dashboard!$C$14),OR(Dashboard!$C$16="All",K470=Dashboard!$C$16),OR(Dashboard!$C$17="All",J470=Dashboard!$C$17)),1,0)</f>
        <v>1</v>
      </c>
      <c r="O470" s="24">
        <f>IF(AND(L470=1,OR(Dashboard!$C$13="All",A470=Dashboard!$C$13),OR(Dashboard!$C$15="All",C470=Dashboard!$C$15),OR(Dashboard!$C$16="All",K470=Dashboard!$C$16),OR(Dashboard!$C$17="All",J470=Dashboard!$C$17)),1,0)</f>
        <v>1</v>
      </c>
      <c r="P470" s="24">
        <f>IF(AND(L470=1,OR(Dashboard!$C$13="All",A470=Dashboard!$C$13),OR(Dashboard!$C$14="All",B470=Dashboard!$C$14),OR(Dashboard!$C$15="All",C470=Dashboard!$C$15),OR(Dashboard!$C$17="All",J470=Dashboard!$C$17)),1,0)</f>
        <v>1</v>
      </c>
      <c r="Q470" s="24">
        <f>IF(AND(L470=1,OR(Dashboard!$C$14="All",B470=Dashboard!$C$14),OR(Dashboard!$C$15="All",C470=Dashboard!$C$15),OR(Dashboard!$C$16="All",K470=Dashboard!$C$16),OR(Dashboard!$C$17="All",J470=Dashboard!$C$17)),1,0)</f>
        <v>1</v>
      </c>
      <c r="R470" s="24">
        <f>IF(AND(L470=1,OR(Dashboard!$C$13="All",A470=Dashboard!$C$13),OR(Dashboard!$C$14="All",B470=Dashboard!$C$14),OR(Dashboard!$C$15="All",C470=Dashboard!$C$15),OR(Dashboard!$C$16="All",K470=Dashboard!$C$16)),1,0)</f>
        <v>1</v>
      </c>
      <c r="S470" s="24">
        <f t="shared" si="3"/>
        <v>469</v>
      </c>
    </row>
    <row r="471" ht="15.75" customHeight="1">
      <c r="A471" s="10" t="s">
        <v>447</v>
      </c>
      <c r="B471" s="13" t="s">
        <v>64</v>
      </c>
      <c r="C471" s="10" t="s">
        <v>84</v>
      </c>
      <c r="D471" s="13">
        <v>2.0</v>
      </c>
      <c r="E471" s="17">
        <v>8.0</v>
      </c>
      <c r="F471" s="15">
        <f t="shared" si="4"/>
        <v>16</v>
      </c>
      <c r="G471" s="6">
        <v>46213.0</v>
      </c>
      <c r="H471" s="22">
        <v>14.0</v>
      </c>
      <c r="I471" s="16">
        <f t="shared" si="5"/>
        <v>46311</v>
      </c>
      <c r="J471" s="13" t="s">
        <v>25</v>
      </c>
      <c r="K471" s="13" t="s">
        <v>31</v>
      </c>
      <c r="L471" s="24">
        <f>IF(A471="","",IF(OR(G471="",AND(G471&gt;=Dashboard!$C$18,G471&lt;=Dashboard!$C$19)),1,0))</f>
        <v>1</v>
      </c>
      <c r="M471" s="24">
        <f>IF(AND(L471=1,OR(Dashboard!$C$13="All",A471=Dashboard!$C$13),OR(Dashboard!$C$14="All",B471=Dashboard!$C$14),OR(Dashboard!$C$15="All",C471=Dashboard!$C$15),OR(Dashboard!$C$16="All",K471=Dashboard!$C$16),OR(Dashboard!$C$17="All",J471=Dashboard!$C$17)),1,0)</f>
        <v>1</v>
      </c>
      <c r="N471" s="24">
        <f>IF(AND(L471=1,OR(Dashboard!$C$13="All",A471=Dashboard!$C$13),OR(Dashboard!$C$14="All",B471=Dashboard!$C$14),OR(Dashboard!$C$16="All",K471=Dashboard!$C$16),OR(Dashboard!$C$17="All",J471=Dashboard!$C$17)),1,0)</f>
        <v>1</v>
      </c>
      <c r="O471" s="24">
        <f>IF(AND(L471=1,OR(Dashboard!$C$13="All",A471=Dashboard!$C$13),OR(Dashboard!$C$15="All",C471=Dashboard!$C$15),OR(Dashboard!$C$16="All",K471=Dashboard!$C$16),OR(Dashboard!$C$17="All",J471=Dashboard!$C$17)),1,0)</f>
        <v>1</v>
      </c>
      <c r="P471" s="24">
        <f>IF(AND(L471=1,OR(Dashboard!$C$13="All",A471=Dashboard!$C$13),OR(Dashboard!$C$14="All",B471=Dashboard!$C$14),OR(Dashboard!$C$15="All",C471=Dashboard!$C$15),OR(Dashboard!$C$17="All",J471=Dashboard!$C$17)),1,0)</f>
        <v>1</v>
      </c>
      <c r="Q471" s="24">
        <f>IF(AND(L471=1,OR(Dashboard!$C$14="All",B471=Dashboard!$C$14),OR(Dashboard!$C$15="All",C471=Dashboard!$C$15),OR(Dashboard!$C$16="All",K471=Dashboard!$C$16),OR(Dashboard!$C$17="All",J471=Dashboard!$C$17)),1,0)</f>
        <v>1</v>
      </c>
      <c r="R471" s="24">
        <f>IF(AND(L471=1,OR(Dashboard!$C$13="All",A471=Dashboard!$C$13),OR(Dashboard!$C$14="All",B471=Dashboard!$C$14),OR(Dashboard!$C$15="All",C471=Dashboard!$C$15),OR(Dashboard!$C$16="All",K471=Dashboard!$C$16)),1,0)</f>
        <v>1</v>
      </c>
      <c r="S471" s="24">
        <f t="shared" si="3"/>
        <v>470</v>
      </c>
    </row>
    <row r="472" ht="15.75" customHeight="1">
      <c r="A472" s="3" t="s">
        <v>447</v>
      </c>
      <c r="B472" s="4"/>
      <c r="C472" s="3" t="s">
        <v>141</v>
      </c>
      <c r="D472" s="4">
        <v>1.0</v>
      </c>
      <c r="E472" s="14">
        <v>2.0</v>
      </c>
      <c r="F472" s="5">
        <f t="shared" si="4"/>
        <v>2</v>
      </c>
      <c r="G472" s="6">
        <v>46214.0</v>
      </c>
      <c r="H472" s="22">
        <v>13.0</v>
      </c>
      <c r="I472" s="7">
        <f t="shared" si="5"/>
        <v>46305</v>
      </c>
      <c r="J472" s="4" t="s">
        <v>25</v>
      </c>
      <c r="K472" s="4" t="s">
        <v>31</v>
      </c>
      <c r="L472" s="24">
        <f>IF(A472="","",IF(OR(G472="",AND(G472&gt;=Dashboard!$C$18,G472&lt;=Dashboard!$C$19)),1,0))</f>
        <v>1</v>
      </c>
      <c r="M472" s="24">
        <f>IF(AND(L472=1,OR(Dashboard!$C$13="All",A472=Dashboard!$C$13),OR(Dashboard!$C$14="All",B472=Dashboard!$C$14),OR(Dashboard!$C$15="All",C472=Dashboard!$C$15),OR(Dashboard!$C$16="All",K472=Dashboard!$C$16),OR(Dashboard!$C$17="All",J472=Dashboard!$C$17)),1,0)</f>
        <v>1</v>
      </c>
      <c r="N472" s="24">
        <f>IF(AND(L472=1,OR(Dashboard!$C$13="All",A472=Dashboard!$C$13),OR(Dashboard!$C$14="All",B472=Dashboard!$C$14),OR(Dashboard!$C$16="All",K472=Dashboard!$C$16),OR(Dashboard!$C$17="All",J472=Dashboard!$C$17)),1,0)</f>
        <v>1</v>
      </c>
      <c r="O472" s="24">
        <f>IF(AND(L472=1,OR(Dashboard!$C$13="All",A472=Dashboard!$C$13),OR(Dashboard!$C$15="All",C472=Dashboard!$C$15),OR(Dashboard!$C$16="All",K472=Dashboard!$C$16),OR(Dashboard!$C$17="All",J472=Dashboard!$C$17)),1,0)</f>
        <v>1</v>
      </c>
      <c r="P472" s="24">
        <f>IF(AND(L472=1,OR(Dashboard!$C$13="All",A472=Dashboard!$C$13),OR(Dashboard!$C$14="All",B472=Dashboard!$C$14),OR(Dashboard!$C$15="All",C472=Dashboard!$C$15),OR(Dashboard!$C$17="All",J472=Dashboard!$C$17)),1,0)</f>
        <v>1</v>
      </c>
      <c r="Q472" s="24">
        <f>IF(AND(L472=1,OR(Dashboard!$C$14="All",B472=Dashboard!$C$14),OR(Dashboard!$C$15="All",C472=Dashboard!$C$15),OR(Dashboard!$C$16="All",K472=Dashboard!$C$16),OR(Dashboard!$C$17="All",J472=Dashboard!$C$17)),1,0)</f>
        <v>1</v>
      </c>
      <c r="R472" s="24">
        <f>IF(AND(L472=1,OR(Dashboard!$C$13="All",A472=Dashboard!$C$13),OR(Dashboard!$C$14="All",B472=Dashboard!$C$14),OR(Dashboard!$C$15="All",C472=Dashboard!$C$15),OR(Dashboard!$C$16="All",K472=Dashboard!$C$16)),1,0)</f>
        <v>1</v>
      </c>
      <c r="S472" s="24">
        <f t="shared" si="3"/>
        <v>471</v>
      </c>
    </row>
    <row r="473" ht="15.75" customHeight="1">
      <c r="A473" s="10" t="s">
        <v>447</v>
      </c>
      <c r="B473" s="13"/>
      <c r="C473" s="10" t="s">
        <v>163</v>
      </c>
      <c r="D473" s="13">
        <v>500.0</v>
      </c>
      <c r="E473" s="17">
        <v>15.0</v>
      </c>
      <c r="F473" s="15">
        <f t="shared" si="4"/>
        <v>7500</v>
      </c>
      <c r="G473" s="6">
        <v>46215.0</v>
      </c>
      <c r="H473" s="22">
        <v>19.0</v>
      </c>
      <c r="I473" s="16">
        <f t="shared" si="5"/>
        <v>46348</v>
      </c>
      <c r="J473" s="13" t="s">
        <v>25</v>
      </c>
      <c r="K473" s="13" t="s">
        <v>31</v>
      </c>
      <c r="L473" s="24">
        <f>IF(A473="","",IF(OR(G473="",AND(G473&gt;=Dashboard!$C$18,G473&lt;=Dashboard!$C$19)),1,0))</f>
        <v>1</v>
      </c>
      <c r="M473" s="24">
        <f>IF(AND(L473=1,OR(Dashboard!$C$13="All",A473=Dashboard!$C$13),OR(Dashboard!$C$14="All",B473=Dashboard!$C$14),OR(Dashboard!$C$15="All",C473=Dashboard!$C$15),OR(Dashboard!$C$16="All",K473=Dashboard!$C$16),OR(Dashboard!$C$17="All",J473=Dashboard!$C$17)),1,0)</f>
        <v>1</v>
      </c>
      <c r="N473" s="24">
        <f>IF(AND(L473=1,OR(Dashboard!$C$13="All",A473=Dashboard!$C$13),OR(Dashboard!$C$14="All",B473=Dashboard!$C$14),OR(Dashboard!$C$16="All",K473=Dashboard!$C$16),OR(Dashboard!$C$17="All",J473=Dashboard!$C$17)),1,0)</f>
        <v>1</v>
      </c>
      <c r="O473" s="24">
        <f>IF(AND(L473=1,OR(Dashboard!$C$13="All",A473=Dashboard!$C$13),OR(Dashboard!$C$15="All",C473=Dashboard!$C$15),OR(Dashboard!$C$16="All",K473=Dashboard!$C$16),OR(Dashboard!$C$17="All",J473=Dashboard!$C$17)),1,0)</f>
        <v>1</v>
      </c>
      <c r="P473" s="24">
        <f>IF(AND(L473=1,OR(Dashboard!$C$13="All",A473=Dashboard!$C$13),OR(Dashboard!$C$14="All",B473=Dashboard!$C$14),OR(Dashboard!$C$15="All",C473=Dashboard!$C$15),OR(Dashboard!$C$17="All",J473=Dashboard!$C$17)),1,0)</f>
        <v>1</v>
      </c>
      <c r="Q473" s="24">
        <f>IF(AND(L473=1,OR(Dashboard!$C$14="All",B473=Dashboard!$C$14),OR(Dashboard!$C$15="All",C473=Dashboard!$C$15),OR(Dashboard!$C$16="All",K473=Dashboard!$C$16),OR(Dashboard!$C$17="All",J473=Dashboard!$C$17)),1,0)</f>
        <v>1</v>
      </c>
      <c r="R473" s="24">
        <f>IF(AND(L473=1,OR(Dashboard!$C$13="All",A473=Dashboard!$C$13),OR(Dashboard!$C$14="All",B473=Dashboard!$C$14),OR(Dashboard!$C$15="All",C473=Dashboard!$C$15),OR(Dashboard!$C$16="All",K473=Dashboard!$C$16)),1,0)</f>
        <v>1</v>
      </c>
      <c r="S473" s="24">
        <f t="shared" si="3"/>
        <v>472</v>
      </c>
    </row>
    <row r="474" ht="15.75" customHeight="1">
      <c r="A474" s="3" t="s">
        <v>447</v>
      </c>
      <c r="B474" s="4"/>
      <c r="C474" s="3" t="s">
        <v>220</v>
      </c>
      <c r="D474" s="4">
        <v>1.0</v>
      </c>
      <c r="E474" s="14">
        <v>45.0</v>
      </c>
      <c r="F474" s="5">
        <f t="shared" si="4"/>
        <v>45</v>
      </c>
      <c r="G474" s="6">
        <v>46216.0</v>
      </c>
      <c r="H474" s="22">
        <v>17.0</v>
      </c>
      <c r="I474" s="7">
        <f t="shared" si="5"/>
        <v>46335</v>
      </c>
      <c r="J474" s="4" t="s">
        <v>25</v>
      </c>
      <c r="K474" s="4" t="s">
        <v>31</v>
      </c>
      <c r="L474" s="24">
        <f>IF(A474="","",IF(OR(G474="",AND(G474&gt;=Dashboard!$C$18,G474&lt;=Dashboard!$C$19)),1,0))</f>
        <v>1</v>
      </c>
      <c r="M474" s="24">
        <f>IF(AND(L474=1,OR(Dashboard!$C$13="All",A474=Dashboard!$C$13),OR(Dashboard!$C$14="All",B474=Dashboard!$C$14),OR(Dashboard!$C$15="All",C474=Dashboard!$C$15),OR(Dashboard!$C$16="All",K474=Dashboard!$C$16),OR(Dashboard!$C$17="All",J474=Dashboard!$C$17)),1,0)</f>
        <v>1</v>
      </c>
      <c r="N474" s="24">
        <f>IF(AND(L474=1,OR(Dashboard!$C$13="All",A474=Dashboard!$C$13),OR(Dashboard!$C$14="All",B474=Dashboard!$C$14),OR(Dashboard!$C$16="All",K474=Dashboard!$C$16),OR(Dashboard!$C$17="All",J474=Dashboard!$C$17)),1,0)</f>
        <v>1</v>
      </c>
      <c r="O474" s="24">
        <f>IF(AND(L474=1,OR(Dashboard!$C$13="All",A474=Dashboard!$C$13),OR(Dashboard!$C$15="All",C474=Dashboard!$C$15),OR(Dashboard!$C$16="All",K474=Dashboard!$C$16),OR(Dashboard!$C$17="All",J474=Dashboard!$C$17)),1,0)</f>
        <v>1</v>
      </c>
      <c r="P474" s="24">
        <f>IF(AND(L474=1,OR(Dashboard!$C$13="All",A474=Dashboard!$C$13),OR(Dashboard!$C$14="All",B474=Dashboard!$C$14),OR(Dashboard!$C$15="All",C474=Dashboard!$C$15),OR(Dashboard!$C$17="All",J474=Dashboard!$C$17)),1,0)</f>
        <v>1</v>
      </c>
      <c r="Q474" s="24">
        <f>IF(AND(L474=1,OR(Dashboard!$C$14="All",B474=Dashboard!$C$14),OR(Dashboard!$C$15="All",C474=Dashboard!$C$15),OR(Dashboard!$C$16="All",K474=Dashboard!$C$16),OR(Dashboard!$C$17="All",J474=Dashboard!$C$17)),1,0)</f>
        <v>1</v>
      </c>
      <c r="R474" s="24">
        <f>IF(AND(L474=1,OR(Dashboard!$C$13="All",A474=Dashboard!$C$13),OR(Dashboard!$C$14="All",B474=Dashboard!$C$14),OR(Dashboard!$C$15="All",C474=Dashboard!$C$15),OR(Dashboard!$C$16="All",K474=Dashboard!$C$16)),1,0)</f>
        <v>1</v>
      </c>
      <c r="S474" s="24">
        <f t="shared" si="3"/>
        <v>473</v>
      </c>
    </row>
    <row r="475" ht="15.75" customHeight="1">
      <c r="A475" s="10" t="s">
        <v>447</v>
      </c>
      <c r="B475" s="13"/>
      <c r="C475" s="10" t="s">
        <v>301</v>
      </c>
      <c r="D475" s="13">
        <v>1.0</v>
      </c>
      <c r="E475" s="17">
        <v>24.0</v>
      </c>
      <c r="F475" s="15">
        <f t="shared" si="4"/>
        <v>24</v>
      </c>
      <c r="G475" s="6">
        <v>46217.0</v>
      </c>
      <c r="H475" s="22">
        <v>19.0</v>
      </c>
      <c r="I475" s="16">
        <f t="shared" si="5"/>
        <v>46350</v>
      </c>
      <c r="J475" s="13" t="s">
        <v>25</v>
      </c>
      <c r="K475" s="13" t="s">
        <v>31</v>
      </c>
      <c r="L475" s="24">
        <f>IF(A475="","",IF(OR(G475="",AND(G475&gt;=Dashboard!$C$18,G475&lt;=Dashboard!$C$19)),1,0))</f>
        <v>1</v>
      </c>
      <c r="M475" s="24">
        <f>IF(AND(L475=1,OR(Dashboard!$C$13="All",A475=Dashboard!$C$13),OR(Dashboard!$C$14="All",B475=Dashboard!$C$14),OR(Dashboard!$C$15="All",C475=Dashboard!$C$15),OR(Dashboard!$C$16="All",K475=Dashboard!$C$16),OR(Dashboard!$C$17="All",J475=Dashboard!$C$17)),1,0)</f>
        <v>1</v>
      </c>
      <c r="N475" s="24">
        <f>IF(AND(L475=1,OR(Dashboard!$C$13="All",A475=Dashboard!$C$13),OR(Dashboard!$C$14="All",B475=Dashboard!$C$14),OR(Dashboard!$C$16="All",K475=Dashboard!$C$16),OR(Dashboard!$C$17="All",J475=Dashboard!$C$17)),1,0)</f>
        <v>1</v>
      </c>
      <c r="O475" s="24">
        <f>IF(AND(L475=1,OR(Dashboard!$C$13="All",A475=Dashboard!$C$13),OR(Dashboard!$C$15="All",C475=Dashboard!$C$15),OR(Dashboard!$C$16="All",K475=Dashboard!$C$16),OR(Dashboard!$C$17="All",J475=Dashboard!$C$17)),1,0)</f>
        <v>1</v>
      </c>
      <c r="P475" s="24">
        <f>IF(AND(L475=1,OR(Dashboard!$C$13="All",A475=Dashboard!$C$13),OR(Dashboard!$C$14="All",B475=Dashboard!$C$14),OR(Dashboard!$C$15="All",C475=Dashboard!$C$15),OR(Dashboard!$C$17="All",J475=Dashboard!$C$17)),1,0)</f>
        <v>1</v>
      </c>
      <c r="Q475" s="24">
        <f>IF(AND(L475=1,OR(Dashboard!$C$14="All",B475=Dashboard!$C$14),OR(Dashboard!$C$15="All",C475=Dashboard!$C$15),OR(Dashboard!$C$16="All",K475=Dashboard!$C$16),OR(Dashboard!$C$17="All",J475=Dashboard!$C$17)),1,0)</f>
        <v>1</v>
      </c>
      <c r="R475" s="24">
        <f>IF(AND(L475=1,OR(Dashboard!$C$13="All",A475=Dashboard!$C$13),OR(Dashboard!$C$14="All",B475=Dashboard!$C$14),OR(Dashboard!$C$15="All",C475=Dashboard!$C$15),OR(Dashboard!$C$16="All",K475=Dashboard!$C$16)),1,0)</f>
        <v>1</v>
      </c>
      <c r="S475" s="24">
        <f t="shared" si="3"/>
        <v>474</v>
      </c>
    </row>
    <row r="476" ht="15.75" customHeight="1">
      <c r="A476" s="3" t="s">
        <v>447</v>
      </c>
      <c r="B476" s="4"/>
      <c r="C476" s="3" t="s">
        <v>649</v>
      </c>
      <c r="D476" s="4">
        <v>1.0</v>
      </c>
      <c r="E476" s="14">
        <v>25.0</v>
      </c>
      <c r="F476" s="5">
        <f t="shared" si="4"/>
        <v>25</v>
      </c>
      <c r="G476" s="6">
        <v>46218.0</v>
      </c>
      <c r="H476" s="22">
        <v>21.0</v>
      </c>
      <c r="I476" s="7">
        <f t="shared" si="5"/>
        <v>46365</v>
      </c>
      <c r="J476" s="4" t="s">
        <v>25</v>
      </c>
      <c r="K476" s="4" t="s">
        <v>31</v>
      </c>
      <c r="L476" s="24">
        <f>IF(A476="","",IF(OR(G476="",AND(G476&gt;=Dashboard!$C$18,G476&lt;=Dashboard!$C$19)),1,0))</f>
        <v>1</v>
      </c>
      <c r="M476" s="24">
        <f>IF(AND(L476=1,OR(Dashboard!$C$13="All",A476=Dashboard!$C$13),OR(Dashboard!$C$14="All",B476=Dashboard!$C$14),OR(Dashboard!$C$15="All",C476=Dashboard!$C$15),OR(Dashboard!$C$16="All",K476=Dashboard!$C$16),OR(Dashboard!$C$17="All",J476=Dashboard!$C$17)),1,0)</f>
        <v>1</v>
      </c>
      <c r="N476" s="24">
        <f>IF(AND(L476=1,OR(Dashboard!$C$13="All",A476=Dashboard!$C$13),OR(Dashboard!$C$14="All",B476=Dashboard!$C$14),OR(Dashboard!$C$16="All",K476=Dashboard!$C$16),OR(Dashboard!$C$17="All",J476=Dashboard!$C$17)),1,0)</f>
        <v>1</v>
      </c>
      <c r="O476" s="24">
        <f>IF(AND(L476=1,OR(Dashboard!$C$13="All",A476=Dashboard!$C$13),OR(Dashboard!$C$15="All",C476=Dashboard!$C$15),OR(Dashboard!$C$16="All",K476=Dashboard!$C$16),OR(Dashboard!$C$17="All",J476=Dashboard!$C$17)),1,0)</f>
        <v>1</v>
      </c>
      <c r="P476" s="24">
        <f>IF(AND(L476=1,OR(Dashboard!$C$13="All",A476=Dashboard!$C$13),OR(Dashboard!$C$14="All",B476=Dashboard!$C$14),OR(Dashboard!$C$15="All",C476=Dashboard!$C$15),OR(Dashboard!$C$17="All",J476=Dashboard!$C$17)),1,0)</f>
        <v>1</v>
      </c>
      <c r="Q476" s="24">
        <f>IF(AND(L476=1,OR(Dashboard!$C$14="All",B476=Dashboard!$C$14),OR(Dashboard!$C$15="All",C476=Dashboard!$C$15),OR(Dashboard!$C$16="All",K476=Dashboard!$C$16),OR(Dashboard!$C$17="All",J476=Dashboard!$C$17)),1,0)</f>
        <v>1</v>
      </c>
      <c r="R476" s="24">
        <f>IF(AND(L476=1,OR(Dashboard!$C$13="All",A476=Dashboard!$C$13),OR(Dashboard!$C$14="All",B476=Dashboard!$C$14),OR(Dashboard!$C$15="All",C476=Dashboard!$C$15),OR(Dashboard!$C$16="All",K476=Dashboard!$C$16)),1,0)</f>
        <v>1</v>
      </c>
      <c r="S476" s="24">
        <f t="shared" si="3"/>
        <v>475</v>
      </c>
    </row>
    <row r="477" ht="15.75" customHeight="1">
      <c r="A477" s="10" t="s">
        <v>449</v>
      </c>
      <c r="B477" s="13"/>
      <c r="C477" s="10" t="s">
        <v>239</v>
      </c>
      <c r="D477" s="13">
        <v>1.0</v>
      </c>
      <c r="E477" s="17">
        <v>36.0</v>
      </c>
      <c r="F477" s="15">
        <f t="shared" si="4"/>
        <v>36</v>
      </c>
      <c r="G477" s="6">
        <v>46219.0</v>
      </c>
      <c r="H477" s="22">
        <v>20.0</v>
      </c>
      <c r="I477" s="16">
        <f t="shared" si="5"/>
        <v>46359</v>
      </c>
      <c r="J477" s="13" t="s">
        <v>25</v>
      </c>
      <c r="K477" s="13" t="s">
        <v>31</v>
      </c>
      <c r="L477" s="24">
        <f>IF(A477="","",IF(OR(G477="",AND(G477&gt;=Dashboard!$C$18,G477&lt;=Dashboard!$C$19)),1,0))</f>
        <v>1</v>
      </c>
      <c r="M477" s="24">
        <f>IF(AND(L477=1,OR(Dashboard!$C$13="All",A477=Dashboard!$C$13),OR(Dashboard!$C$14="All",B477=Dashboard!$C$14),OR(Dashboard!$C$15="All",C477=Dashboard!$C$15),OR(Dashboard!$C$16="All",K477=Dashboard!$C$16),OR(Dashboard!$C$17="All",J477=Dashboard!$C$17)),1,0)</f>
        <v>1</v>
      </c>
      <c r="N477" s="24">
        <f>IF(AND(L477=1,OR(Dashboard!$C$13="All",A477=Dashboard!$C$13),OR(Dashboard!$C$14="All",B477=Dashboard!$C$14),OR(Dashboard!$C$16="All",K477=Dashboard!$C$16),OR(Dashboard!$C$17="All",J477=Dashboard!$C$17)),1,0)</f>
        <v>1</v>
      </c>
      <c r="O477" s="24">
        <f>IF(AND(L477=1,OR(Dashboard!$C$13="All",A477=Dashboard!$C$13),OR(Dashboard!$C$15="All",C477=Dashboard!$C$15),OR(Dashboard!$C$16="All",K477=Dashboard!$C$16),OR(Dashboard!$C$17="All",J477=Dashboard!$C$17)),1,0)</f>
        <v>1</v>
      </c>
      <c r="P477" s="24">
        <f>IF(AND(L477=1,OR(Dashboard!$C$13="All",A477=Dashboard!$C$13),OR(Dashboard!$C$14="All",B477=Dashboard!$C$14),OR(Dashboard!$C$15="All",C477=Dashboard!$C$15),OR(Dashboard!$C$17="All",J477=Dashboard!$C$17)),1,0)</f>
        <v>1</v>
      </c>
      <c r="Q477" s="24">
        <f>IF(AND(L477=1,OR(Dashboard!$C$14="All",B477=Dashboard!$C$14),OR(Dashboard!$C$15="All",C477=Dashboard!$C$15),OR(Dashboard!$C$16="All",K477=Dashboard!$C$16),OR(Dashboard!$C$17="All",J477=Dashboard!$C$17)),1,0)</f>
        <v>1</v>
      </c>
      <c r="R477" s="24">
        <f>IF(AND(L477=1,OR(Dashboard!$C$13="All",A477=Dashboard!$C$13),OR(Dashboard!$C$14="All",B477=Dashboard!$C$14),OR(Dashboard!$C$15="All",C477=Dashboard!$C$15),OR(Dashboard!$C$16="All",K477=Dashboard!$C$16)),1,0)</f>
        <v>1</v>
      </c>
      <c r="S477" s="24">
        <f t="shared" si="3"/>
        <v>476</v>
      </c>
    </row>
    <row r="478" ht="15.75" customHeight="1">
      <c r="A478" s="3" t="s">
        <v>449</v>
      </c>
      <c r="B478" s="4"/>
      <c r="C478" s="3" t="s">
        <v>138</v>
      </c>
      <c r="D478" s="4">
        <v>1.0</v>
      </c>
      <c r="E478" s="14">
        <v>95.0</v>
      </c>
      <c r="F478" s="5">
        <f t="shared" si="4"/>
        <v>95</v>
      </c>
      <c r="G478" s="6">
        <v>46220.0</v>
      </c>
      <c r="H478" s="22">
        <v>21.0</v>
      </c>
      <c r="I478" s="7">
        <f t="shared" si="5"/>
        <v>46367</v>
      </c>
      <c r="J478" s="4" t="s">
        <v>25</v>
      </c>
      <c r="K478" s="4" t="s">
        <v>31</v>
      </c>
      <c r="L478" s="24">
        <f>IF(A478="","",IF(OR(G478="",AND(G478&gt;=Dashboard!$C$18,G478&lt;=Dashboard!$C$19)),1,0))</f>
        <v>1</v>
      </c>
      <c r="M478" s="24">
        <f>IF(AND(L478=1,OR(Dashboard!$C$13="All",A478=Dashboard!$C$13),OR(Dashboard!$C$14="All",B478=Dashboard!$C$14),OR(Dashboard!$C$15="All",C478=Dashboard!$C$15),OR(Dashboard!$C$16="All",K478=Dashboard!$C$16),OR(Dashboard!$C$17="All",J478=Dashboard!$C$17)),1,0)</f>
        <v>1</v>
      </c>
      <c r="N478" s="24">
        <f>IF(AND(L478=1,OR(Dashboard!$C$13="All",A478=Dashboard!$C$13),OR(Dashboard!$C$14="All",B478=Dashboard!$C$14),OR(Dashboard!$C$16="All",K478=Dashboard!$C$16),OR(Dashboard!$C$17="All",J478=Dashboard!$C$17)),1,0)</f>
        <v>1</v>
      </c>
      <c r="O478" s="24">
        <f>IF(AND(L478=1,OR(Dashboard!$C$13="All",A478=Dashboard!$C$13),OR(Dashboard!$C$15="All",C478=Dashboard!$C$15),OR(Dashboard!$C$16="All",K478=Dashboard!$C$16),OR(Dashboard!$C$17="All",J478=Dashboard!$C$17)),1,0)</f>
        <v>1</v>
      </c>
      <c r="P478" s="24">
        <f>IF(AND(L478=1,OR(Dashboard!$C$13="All",A478=Dashboard!$C$13),OR(Dashboard!$C$14="All",B478=Dashboard!$C$14),OR(Dashboard!$C$15="All",C478=Dashboard!$C$15),OR(Dashboard!$C$17="All",J478=Dashboard!$C$17)),1,0)</f>
        <v>1</v>
      </c>
      <c r="Q478" s="24">
        <f>IF(AND(L478=1,OR(Dashboard!$C$14="All",B478=Dashboard!$C$14),OR(Dashboard!$C$15="All",C478=Dashboard!$C$15),OR(Dashboard!$C$16="All",K478=Dashboard!$C$16),OR(Dashboard!$C$17="All",J478=Dashboard!$C$17)),1,0)</f>
        <v>1</v>
      </c>
      <c r="R478" s="24">
        <f>IF(AND(L478=1,OR(Dashboard!$C$13="All",A478=Dashboard!$C$13),OR(Dashboard!$C$14="All",B478=Dashboard!$C$14),OR(Dashboard!$C$15="All",C478=Dashboard!$C$15),OR(Dashboard!$C$16="All",K478=Dashboard!$C$16)),1,0)</f>
        <v>1</v>
      </c>
      <c r="S478" s="24">
        <f t="shared" si="3"/>
        <v>477</v>
      </c>
    </row>
    <row r="479" ht="15.75" customHeight="1">
      <c r="A479" s="10" t="s">
        <v>449</v>
      </c>
      <c r="B479" s="13"/>
      <c r="C479" s="10" t="s">
        <v>662</v>
      </c>
      <c r="D479" s="13">
        <v>7000.0</v>
      </c>
      <c r="E479" s="17">
        <v>574.0</v>
      </c>
      <c r="F479" s="15">
        <f t="shared" si="4"/>
        <v>4018000</v>
      </c>
      <c r="G479" s="6">
        <v>46221.0</v>
      </c>
      <c r="H479" s="22">
        <v>18.0</v>
      </c>
      <c r="I479" s="16">
        <f t="shared" si="5"/>
        <v>46347</v>
      </c>
      <c r="J479" s="13" t="s">
        <v>25</v>
      </c>
      <c r="K479" s="13" t="s">
        <v>31</v>
      </c>
      <c r="L479" s="24">
        <f>IF(A479="","",IF(OR(G479="",AND(G479&gt;=Dashboard!$C$18,G479&lt;=Dashboard!$C$19)),1,0))</f>
        <v>1</v>
      </c>
      <c r="M479" s="24">
        <f>IF(AND(L479=1,OR(Dashboard!$C$13="All",A479=Dashboard!$C$13),OR(Dashboard!$C$14="All",B479=Dashboard!$C$14),OR(Dashboard!$C$15="All",C479=Dashboard!$C$15),OR(Dashboard!$C$16="All",K479=Dashboard!$C$16),OR(Dashboard!$C$17="All",J479=Dashboard!$C$17)),1,0)</f>
        <v>1</v>
      </c>
      <c r="N479" s="24">
        <f>IF(AND(L479=1,OR(Dashboard!$C$13="All",A479=Dashboard!$C$13),OR(Dashboard!$C$14="All",B479=Dashboard!$C$14),OR(Dashboard!$C$16="All",K479=Dashboard!$C$16),OR(Dashboard!$C$17="All",J479=Dashboard!$C$17)),1,0)</f>
        <v>1</v>
      </c>
      <c r="O479" s="24">
        <f>IF(AND(L479=1,OR(Dashboard!$C$13="All",A479=Dashboard!$C$13),OR(Dashboard!$C$15="All",C479=Dashboard!$C$15),OR(Dashboard!$C$16="All",K479=Dashboard!$C$16),OR(Dashboard!$C$17="All",J479=Dashboard!$C$17)),1,0)</f>
        <v>1</v>
      </c>
      <c r="P479" s="24">
        <f>IF(AND(L479=1,OR(Dashboard!$C$13="All",A479=Dashboard!$C$13),OR(Dashboard!$C$14="All",B479=Dashboard!$C$14),OR(Dashboard!$C$15="All",C479=Dashboard!$C$15),OR(Dashboard!$C$17="All",J479=Dashboard!$C$17)),1,0)</f>
        <v>1</v>
      </c>
      <c r="Q479" s="24">
        <f>IF(AND(L479=1,OR(Dashboard!$C$14="All",B479=Dashboard!$C$14),OR(Dashboard!$C$15="All",C479=Dashboard!$C$15),OR(Dashboard!$C$16="All",K479=Dashboard!$C$16),OR(Dashboard!$C$17="All",J479=Dashboard!$C$17)),1,0)</f>
        <v>1</v>
      </c>
      <c r="R479" s="24">
        <f>IF(AND(L479=1,OR(Dashboard!$C$13="All",A479=Dashboard!$C$13),OR(Dashboard!$C$14="All",B479=Dashboard!$C$14),OR(Dashboard!$C$15="All",C479=Dashboard!$C$15),OR(Dashboard!$C$16="All",K479=Dashboard!$C$16)),1,0)</f>
        <v>1</v>
      </c>
      <c r="S479" s="24">
        <f t="shared" si="3"/>
        <v>478</v>
      </c>
    </row>
    <row r="480" ht="15.75" customHeight="1">
      <c r="A480" s="3" t="s">
        <v>451</v>
      </c>
      <c r="B480" s="4" t="s">
        <v>140</v>
      </c>
      <c r="C480" s="3" t="s">
        <v>268</v>
      </c>
      <c r="D480" s="4">
        <v>3.0</v>
      </c>
      <c r="E480" s="14">
        <v>558.0</v>
      </c>
      <c r="F480" s="5">
        <f t="shared" si="4"/>
        <v>1674</v>
      </c>
      <c r="G480" s="6">
        <v>46222.0</v>
      </c>
      <c r="H480" s="22">
        <v>17.0</v>
      </c>
      <c r="I480" s="7">
        <f t="shared" si="5"/>
        <v>46341</v>
      </c>
      <c r="J480" s="4" t="s">
        <v>25</v>
      </c>
      <c r="K480" s="4" t="s">
        <v>31</v>
      </c>
      <c r="L480" s="24">
        <f>IF(A480="","",IF(OR(G480="",AND(G480&gt;=Dashboard!$C$18,G480&lt;=Dashboard!$C$19)),1,0))</f>
        <v>1</v>
      </c>
      <c r="M480" s="24">
        <f>IF(AND(L480=1,OR(Dashboard!$C$13="All",A480=Dashboard!$C$13),OR(Dashboard!$C$14="All",B480=Dashboard!$C$14),OR(Dashboard!$C$15="All",C480=Dashboard!$C$15),OR(Dashboard!$C$16="All",K480=Dashboard!$C$16),OR(Dashboard!$C$17="All",J480=Dashboard!$C$17)),1,0)</f>
        <v>1</v>
      </c>
      <c r="N480" s="24">
        <f>IF(AND(L480=1,OR(Dashboard!$C$13="All",A480=Dashboard!$C$13),OR(Dashboard!$C$14="All",B480=Dashboard!$C$14),OR(Dashboard!$C$16="All",K480=Dashboard!$C$16),OR(Dashboard!$C$17="All",J480=Dashboard!$C$17)),1,0)</f>
        <v>1</v>
      </c>
      <c r="O480" s="24">
        <f>IF(AND(L480=1,OR(Dashboard!$C$13="All",A480=Dashboard!$C$13),OR(Dashboard!$C$15="All",C480=Dashboard!$C$15),OR(Dashboard!$C$16="All",K480=Dashboard!$C$16),OR(Dashboard!$C$17="All",J480=Dashboard!$C$17)),1,0)</f>
        <v>1</v>
      </c>
      <c r="P480" s="24">
        <f>IF(AND(L480=1,OR(Dashboard!$C$13="All",A480=Dashboard!$C$13),OR(Dashboard!$C$14="All",B480=Dashboard!$C$14),OR(Dashboard!$C$15="All",C480=Dashboard!$C$15),OR(Dashboard!$C$17="All",J480=Dashboard!$C$17)),1,0)</f>
        <v>1</v>
      </c>
      <c r="Q480" s="24">
        <f>IF(AND(L480=1,OR(Dashboard!$C$14="All",B480=Dashboard!$C$14),OR(Dashboard!$C$15="All",C480=Dashboard!$C$15),OR(Dashboard!$C$16="All",K480=Dashboard!$C$16),OR(Dashboard!$C$17="All",J480=Dashboard!$C$17)),1,0)</f>
        <v>1</v>
      </c>
      <c r="R480" s="24">
        <f>IF(AND(L480=1,OR(Dashboard!$C$13="All",A480=Dashboard!$C$13),OR(Dashboard!$C$14="All",B480=Dashboard!$C$14),OR(Dashboard!$C$15="All",C480=Dashboard!$C$15),OR(Dashboard!$C$16="All",K480=Dashboard!$C$16)),1,0)</f>
        <v>1</v>
      </c>
      <c r="S480" s="24">
        <f t="shared" si="3"/>
        <v>479</v>
      </c>
    </row>
    <row r="481" ht="15.75" customHeight="1">
      <c r="A481" s="10" t="s">
        <v>451</v>
      </c>
      <c r="B481" s="13"/>
      <c r="C481" s="10" t="s">
        <v>642</v>
      </c>
      <c r="D481" s="13">
        <v>2.0</v>
      </c>
      <c r="E481" s="17">
        <v>2265.0</v>
      </c>
      <c r="F481" s="15">
        <f t="shared" si="4"/>
        <v>4530</v>
      </c>
      <c r="G481" s="6">
        <v>46223.0</v>
      </c>
      <c r="H481" s="22">
        <v>20.0</v>
      </c>
      <c r="I481" s="16">
        <f t="shared" si="5"/>
        <v>46363</v>
      </c>
      <c r="J481" s="13" t="s">
        <v>25</v>
      </c>
      <c r="K481" s="13" t="s">
        <v>31</v>
      </c>
      <c r="L481" s="24">
        <f>IF(A481="","",IF(OR(G481="",AND(G481&gt;=Dashboard!$C$18,G481&lt;=Dashboard!$C$19)),1,0))</f>
        <v>1</v>
      </c>
      <c r="M481" s="24">
        <f>IF(AND(L481=1,OR(Dashboard!$C$13="All",A481=Dashboard!$C$13),OR(Dashboard!$C$14="All",B481=Dashboard!$C$14),OR(Dashboard!$C$15="All",C481=Dashboard!$C$15),OR(Dashboard!$C$16="All",K481=Dashboard!$C$16),OR(Dashboard!$C$17="All",J481=Dashboard!$C$17)),1,0)</f>
        <v>1</v>
      </c>
      <c r="N481" s="24">
        <f>IF(AND(L481=1,OR(Dashboard!$C$13="All",A481=Dashboard!$C$13),OR(Dashboard!$C$14="All",B481=Dashboard!$C$14),OR(Dashboard!$C$16="All",K481=Dashboard!$C$16),OR(Dashboard!$C$17="All",J481=Dashboard!$C$17)),1,0)</f>
        <v>1</v>
      </c>
      <c r="O481" s="24">
        <f>IF(AND(L481=1,OR(Dashboard!$C$13="All",A481=Dashboard!$C$13),OR(Dashboard!$C$15="All",C481=Dashboard!$C$15),OR(Dashboard!$C$16="All",K481=Dashboard!$C$16),OR(Dashboard!$C$17="All",J481=Dashboard!$C$17)),1,0)</f>
        <v>1</v>
      </c>
      <c r="P481" s="24">
        <f>IF(AND(L481=1,OR(Dashboard!$C$13="All",A481=Dashboard!$C$13),OR(Dashboard!$C$14="All",B481=Dashboard!$C$14),OR(Dashboard!$C$15="All",C481=Dashboard!$C$15),OR(Dashboard!$C$17="All",J481=Dashboard!$C$17)),1,0)</f>
        <v>1</v>
      </c>
      <c r="Q481" s="24">
        <f>IF(AND(L481=1,OR(Dashboard!$C$14="All",B481=Dashboard!$C$14),OR(Dashboard!$C$15="All",C481=Dashboard!$C$15),OR(Dashboard!$C$16="All",K481=Dashboard!$C$16),OR(Dashboard!$C$17="All",J481=Dashboard!$C$17)),1,0)</f>
        <v>1</v>
      </c>
      <c r="R481" s="24">
        <f>IF(AND(L481=1,OR(Dashboard!$C$13="All",A481=Dashboard!$C$13),OR(Dashboard!$C$14="All",B481=Dashboard!$C$14),OR(Dashboard!$C$15="All",C481=Dashboard!$C$15),OR(Dashboard!$C$16="All",K481=Dashboard!$C$16)),1,0)</f>
        <v>1</v>
      </c>
      <c r="S481" s="24">
        <f t="shared" si="3"/>
        <v>480</v>
      </c>
    </row>
    <row r="482" ht="15.75" customHeight="1">
      <c r="A482" s="3" t="s">
        <v>453</v>
      </c>
      <c r="B482" s="4" t="s">
        <v>39</v>
      </c>
      <c r="C482" s="3" t="s">
        <v>234</v>
      </c>
      <c r="D482" s="4">
        <v>1.0</v>
      </c>
      <c r="E482" s="14">
        <v>45.0</v>
      </c>
      <c r="F482" s="5">
        <f t="shared" si="4"/>
        <v>45</v>
      </c>
      <c r="G482" s="6">
        <v>46224.0</v>
      </c>
      <c r="H482" s="22">
        <v>20.0</v>
      </c>
      <c r="I482" s="7">
        <f t="shared" si="5"/>
        <v>46364</v>
      </c>
      <c r="J482" s="4" t="s">
        <v>25</v>
      </c>
      <c r="K482" s="4" t="s">
        <v>31</v>
      </c>
      <c r="L482" s="24">
        <f>IF(A482="","",IF(OR(G482="",AND(G482&gt;=Dashboard!$C$18,G482&lt;=Dashboard!$C$19)),1,0))</f>
        <v>1</v>
      </c>
      <c r="M482" s="24">
        <f>IF(AND(L482=1,OR(Dashboard!$C$13="All",A482=Dashboard!$C$13),OR(Dashboard!$C$14="All",B482=Dashboard!$C$14),OR(Dashboard!$C$15="All",C482=Dashboard!$C$15),OR(Dashboard!$C$16="All",K482=Dashboard!$C$16),OR(Dashboard!$C$17="All",J482=Dashboard!$C$17)),1,0)</f>
        <v>1</v>
      </c>
      <c r="N482" s="24">
        <f>IF(AND(L482=1,OR(Dashboard!$C$13="All",A482=Dashboard!$C$13),OR(Dashboard!$C$14="All",B482=Dashboard!$C$14),OR(Dashboard!$C$16="All",K482=Dashboard!$C$16),OR(Dashboard!$C$17="All",J482=Dashboard!$C$17)),1,0)</f>
        <v>1</v>
      </c>
      <c r="O482" s="24">
        <f>IF(AND(L482=1,OR(Dashboard!$C$13="All",A482=Dashboard!$C$13),OR(Dashboard!$C$15="All",C482=Dashboard!$C$15),OR(Dashboard!$C$16="All",K482=Dashboard!$C$16),OR(Dashboard!$C$17="All",J482=Dashboard!$C$17)),1,0)</f>
        <v>1</v>
      </c>
      <c r="P482" s="24">
        <f>IF(AND(L482=1,OR(Dashboard!$C$13="All",A482=Dashboard!$C$13),OR(Dashboard!$C$14="All",B482=Dashboard!$C$14),OR(Dashboard!$C$15="All",C482=Dashboard!$C$15),OR(Dashboard!$C$17="All",J482=Dashboard!$C$17)),1,0)</f>
        <v>1</v>
      </c>
      <c r="Q482" s="24">
        <f>IF(AND(L482=1,OR(Dashboard!$C$14="All",B482=Dashboard!$C$14),OR(Dashboard!$C$15="All",C482=Dashboard!$C$15),OR(Dashboard!$C$16="All",K482=Dashboard!$C$16),OR(Dashboard!$C$17="All",J482=Dashboard!$C$17)),1,0)</f>
        <v>1</v>
      </c>
      <c r="R482" s="24">
        <f>IF(AND(L482=1,OR(Dashboard!$C$13="All",A482=Dashboard!$C$13),OR(Dashboard!$C$14="All",B482=Dashboard!$C$14),OR(Dashboard!$C$15="All",C482=Dashboard!$C$15),OR(Dashboard!$C$16="All",K482=Dashboard!$C$16)),1,0)</f>
        <v>1</v>
      </c>
      <c r="S482" s="24">
        <f t="shared" si="3"/>
        <v>481</v>
      </c>
    </row>
    <row r="483" ht="15.75" customHeight="1">
      <c r="A483" s="10" t="s">
        <v>455</v>
      </c>
      <c r="B483" s="13" t="s">
        <v>103</v>
      </c>
      <c r="C483" s="10" t="s">
        <v>178</v>
      </c>
      <c r="D483" s="13">
        <v>3.0</v>
      </c>
      <c r="E483" s="17">
        <v>5554.0</v>
      </c>
      <c r="F483" s="15">
        <f t="shared" si="4"/>
        <v>16662</v>
      </c>
      <c r="G483" s="6">
        <v>46225.0</v>
      </c>
      <c r="H483" s="22">
        <v>23.0</v>
      </c>
      <c r="I483" s="16">
        <f t="shared" si="5"/>
        <v>46386</v>
      </c>
      <c r="J483" s="13" t="s">
        <v>25</v>
      </c>
      <c r="K483" s="13" t="s">
        <v>31</v>
      </c>
      <c r="L483" s="24">
        <f>IF(A483="","",IF(OR(G483="",AND(G483&gt;=Dashboard!$C$18,G483&lt;=Dashboard!$C$19)),1,0))</f>
        <v>1</v>
      </c>
      <c r="M483" s="24">
        <f>IF(AND(L483=1,OR(Dashboard!$C$13="All",A483=Dashboard!$C$13),OR(Dashboard!$C$14="All",B483=Dashboard!$C$14),OR(Dashboard!$C$15="All",C483=Dashboard!$C$15),OR(Dashboard!$C$16="All",K483=Dashboard!$C$16),OR(Dashboard!$C$17="All",J483=Dashboard!$C$17)),1,0)</f>
        <v>1</v>
      </c>
      <c r="N483" s="24">
        <f>IF(AND(L483=1,OR(Dashboard!$C$13="All",A483=Dashboard!$C$13),OR(Dashboard!$C$14="All",B483=Dashboard!$C$14),OR(Dashboard!$C$16="All",K483=Dashboard!$C$16),OR(Dashboard!$C$17="All",J483=Dashboard!$C$17)),1,0)</f>
        <v>1</v>
      </c>
      <c r="O483" s="24">
        <f>IF(AND(L483=1,OR(Dashboard!$C$13="All",A483=Dashboard!$C$13),OR(Dashboard!$C$15="All",C483=Dashboard!$C$15),OR(Dashboard!$C$16="All",K483=Dashboard!$C$16),OR(Dashboard!$C$17="All",J483=Dashboard!$C$17)),1,0)</f>
        <v>1</v>
      </c>
      <c r="P483" s="24">
        <f>IF(AND(L483=1,OR(Dashboard!$C$13="All",A483=Dashboard!$C$13),OR(Dashboard!$C$14="All",B483=Dashboard!$C$14),OR(Dashboard!$C$15="All",C483=Dashboard!$C$15),OR(Dashboard!$C$17="All",J483=Dashboard!$C$17)),1,0)</f>
        <v>1</v>
      </c>
      <c r="Q483" s="24">
        <f>IF(AND(L483=1,OR(Dashboard!$C$14="All",B483=Dashboard!$C$14),OR(Dashboard!$C$15="All",C483=Dashboard!$C$15),OR(Dashboard!$C$16="All",K483=Dashboard!$C$16),OR(Dashboard!$C$17="All",J483=Dashboard!$C$17)),1,0)</f>
        <v>1</v>
      </c>
      <c r="R483" s="24">
        <f>IF(AND(L483=1,OR(Dashboard!$C$13="All",A483=Dashboard!$C$13),OR(Dashboard!$C$14="All",B483=Dashboard!$C$14),OR(Dashboard!$C$15="All",C483=Dashboard!$C$15),OR(Dashboard!$C$16="All",K483=Dashboard!$C$16)),1,0)</f>
        <v>1</v>
      </c>
      <c r="S483" s="24">
        <f t="shared" si="3"/>
        <v>482</v>
      </c>
    </row>
    <row r="484" ht="15.75" customHeight="1">
      <c r="A484" s="3" t="s">
        <v>456</v>
      </c>
      <c r="B484" s="4" t="s">
        <v>103</v>
      </c>
      <c r="C484" s="3" t="s">
        <v>666</v>
      </c>
      <c r="D484" s="4">
        <v>1.0</v>
      </c>
      <c r="E484" s="14">
        <v>41.0</v>
      </c>
      <c r="F484" s="5">
        <f t="shared" si="4"/>
        <v>41</v>
      </c>
      <c r="G484" s="6">
        <v>46226.0</v>
      </c>
      <c r="H484" s="22">
        <v>24.0</v>
      </c>
      <c r="I484" s="7">
        <f t="shared" si="5"/>
        <v>46394</v>
      </c>
      <c r="J484" s="4" t="s">
        <v>25</v>
      </c>
      <c r="K484" s="4" t="s">
        <v>31</v>
      </c>
      <c r="L484" s="24">
        <f>IF(A484="","",IF(OR(G484="",AND(G484&gt;=Dashboard!$C$18,G484&lt;=Dashboard!$C$19)),1,0))</f>
        <v>1</v>
      </c>
      <c r="M484" s="24">
        <f>IF(AND(L484=1,OR(Dashboard!$C$13="All",A484=Dashboard!$C$13),OR(Dashboard!$C$14="All",B484=Dashboard!$C$14),OR(Dashboard!$C$15="All",C484=Dashboard!$C$15),OR(Dashboard!$C$16="All",K484=Dashboard!$C$16),OR(Dashboard!$C$17="All",J484=Dashboard!$C$17)),1,0)</f>
        <v>1</v>
      </c>
      <c r="N484" s="24">
        <f>IF(AND(L484=1,OR(Dashboard!$C$13="All",A484=Dashboard!$C$13),OR(Dashboard!$C$14="All",B484=Dashboard!$C$14),OR(Dashboard!$C$16="All",K484=Dashboard!$C$16),OR(Dashboard!$C$17="All",J484=Dashboard!$C$17)),1,0)</f>
        <v>1</v>
      </c>
      <c r="O484" s="24">
        <f>IF(AND(L484=1,OR(Dashboard!$C$13="All",A484=Dashboard!$C$13),OR(Dashboard!$C$15="All",C484=Dashboard!$C$15),OR(Dashboard!$C$16="All",K484=Dashboard!$C$16),OR(Dashboard!$C$17="All",J484=Dashboard!$C$17)),1,0)</f>
        <v>1</v>
      </c>
      <c r="P484" s="24">
        <f>IF(AND(L484=1,OR(Dashboard!$C$13="All",A484=Dashboard!$C$13),OR(Dashboard!$C$14="All",B484=Dashboard!$C$14),OR(Dashboard!$C$15="All",C484=Dashboard!$C$15),OR(Dashboard!$C$17="All",J484=Dashboard!$C$17)),1,0)</f>
        <v>1</v>
      </c>
      <c r="Q484" s="24">
        <f>IF(AND(L484=1,OR(Dashboard!$C$14="All",B484=Dashboard!$C$14),OR(Dashboard!$C$15="All",C484=Dashboard!$C$15),OR(Dashboard!$C$16="All",K484=Dashboard!$C$16),OR(Dashboard!$C$17="All",J484=Dashboard!$C$17)),1,0)</f>
        <v>1</v>
      </c>
      <c r="R484" s="24">
        <f>IF(AND(L484=1,OR(Dashboard!$C$13="All",A484=Dashboard!$C$13),OR(Dashboard!$C$14="All",B484=Dashboard!$C$14),OR(Dashboard!$C$15="All",C484=Dashboard!$C$15),OR(Dashboard!$C$16="All",K484=Dashboard!$C$16)),1,0)</f>
        <v>1</v>
      </c>
      <c r="S484" s="24">
        <f t="shared" si="3"/>
        <v>483</v>
      </c>
    </row>
    <row r="485" ht="15.75" customHeight="1">
      <c r="A485" s="10" t="s">
        <v>458</v>
      </c>
      <c r="B485" s="13"/>
      <c r="C485" s="10" t="s">
        <v>394</v>
      </c>
      <c r="D485" s="13">
        <v>5.0</v>
      </c>
      <c r="E485" s="17">
        <v>231.0</v>
      </c>
      <c r="F485" s="15">
        <f t="shared" si="4"/>
        <v>1155</v>
      </c>
      <c r="G485" s="6">
        <v>46227.0</v>
      </c>
      <c r="H485" s="22">
        <v>23.0</v>
      </c>
      <c r="I485" s="16">
        <f t="shared" si="5"/>
        <v>46388</v>
      </c>
      <c r="J485" s="13" t="s">
        <v>25</v>
      </c>
      <c r="K485" s="13" t="s">
        <v>31</v>
      </c>
      <c r="L485" s="24">
        <f>IF(A485="","",IF(OR(G485="",AND(G485&gt;=Dashboard!$C$18,G485&lt;=Dashboard!$C$19)),1,0))</f>
        <v>1</v>
      </c>
      <c r="M485" s="24">
        <f>IF(AND(L485=1,OR(Dashboard!$C$13="All",A485=Dashboard!$C$13),OR(Dashboard!$C$14="All",B485=Dashboard!$C$14),OR(Dashboard!$C$15="All",C485=Dashboard!$C$15),OR(Dashboard!$C$16="All",K485=Dashboard!$C$16),OR(Dashboard!$C$17="All",J485=Dashboard!$C$17)),1,0)</f>
        <v>1</v>
      </c>
      <c r="N485" s="24">
        <f>IF(AND(L485=1,OR(Dashboard!$C$13="All",A485=Dashboard!$C$13),OR(Dashboard!$C$14="All",B485=Dashboard!$C$14),OR(Dashboard!$C$16="All",K485=Dashboard!$C$16),OR(Dashboard!$C$17="All",J485=Dashboard!$C$17)),1,0)</f>
        <v>1</v>
      </c>
      <c r="O485" s="24">
        <f>IF(AND(L485=1,OR(Dashboard!$C$13="All",A485=Dashboard!$C$13),OR(Dashboard!$C$15="All",C485=Dashboard!$C$15),OR(Dashboard!$C$16="All",K485=Dashboard!$C$16),OR(Dashboard!$C$17="All",J485=Dashboard!$C$17)),1,0)</f>
        <v>1</v>
      </c>
      <c r="P485" s="24">
        <f>IF(AND(L485=1,OR(Dashboard!$C$13="All",A485=Dashboard!$C$13),OR(Dashboard!$C$14="All",B485=Dashboard!$C$14),OR(Dashboard!$C$15="All",C485=Dashboard!$C$15),OR(Dashboard!$C$17="All",J485=Dashboard!$C$17)),1,0)</f>
        <v>1</v>
      </c>
      <c r="Q485" s="24">
        <f>IF(AND(L485=1,OR(Dashboard!$C$14="All",B485=Dashboard!$C$14),OR(Dashboard!$C$15="All",C485=Dashboard!$C$15),OR(Dashboard!$C$16="All",K485=Dashboard!$C$16),OR(Dashboard!$C$17="All",J485=Dashboard!$C$17)),1,0)</f>
        <v>1</v>
      </c>
      <c r="R485" s="24">
        <f>IF(AND(L485=1,OR(Dashboard!$C$13="All",A485=Dashboard!$C$13),OR(Dashboard!$C$14="All",B485=Dashboard!$C$14),OR(Dashboard!$C$15="All",C485=Dashboard!$C$15),OR(Dashboard!$C$16="All",K485=Dashboard!$C$16)),1,0)</f>
        <v>1</v>
      </c>
      <c r="S485" s="24">
        <f t="shared" si="3"/>
        <v>484</v>
      </c>
    </row>
    <row r="486" ht="15.75" customHeight="1">
      <c r="A486" s="3" t="s">
        <v>458</v>
      </c>
      <c r="B486" s="4"/>
      <c r="C486" s="3" t="s">
        <v>602</v>
      </c>
      <c r="D486" s="4">
        <v>15.0</v>
      </c>
      <c r="E486" s="14">
        <v>25.0</v>
      </c>
      <c r="F486" s="5">
        <f t="shared" si="4"/>
        <v>375</v>
      </c>
      <c r="G486" s="6">
        <v>46228.0</v>
      </c>
      <c r="H486" s="22">
        <v>21.0</v>
      </c>
      <c r="I486" s="7">
        <f t="shared" si="5"/>
        <v>46375</v>
      </c>
      <c r="J486" s="4" t="s">
        <v>25</v>
      </c>
      <c r="K486" s="4" t="s">
        <v>31</v>
      </c>
      <c r="L486" s="24">
        <f>IF(A486="","",IF(OR(G486="",AND(G486&gt;=Dashboard!$C$18,G486&lt;=Dashboard!$C$19)),1,0))</f>
        <v>1</v>
      </c>
      <c r="M486" s="24">
        <f>IF(AND(L486=1,OR(Dashboard!$C$13="All",A486=Dashboard!$C$13),OR(Dashboard!$C$14="All",B486=Dashboard!$C$14),OR(Dashboard!$C$15="All",C486=Dashboard!$C$15),OR(Dashboard!$C$16="All",K486=Dashboard!$C$16),OR(Dashboard!$C$17="All",J486=Dashboard!$C$17)),1,0)</f>
        <v>1</v>
      </c>
      <c r="N486" s="24">
        <f>IF(AND(L486=1,OR(Dashboard!$C$13="All",A486=Dashboard!$C$13),OR(Dashboard!$C$14="All",B486=Dashboard!$C$14),OR(Dashboard!$C$16="All",K486=Dashboard!$C$16),OR(Dashboard!$C$17="All",J486=Dashboard!$C$17)),1,0)</f>
        <v>1</v>
      </c>
      <c r="O486" s="24">
        <f>IF(AND(L486=1,OR(Dashboard!$C$13="All",A486=Dashboard!$C$13),OR(Dashboard!$C$15="All",C486=Dashboard!$C$15),OR(Dashboard!$C$16="All",K486=Dashboard!$C$16),OR(Dashboard!$C$17="All",J486=Dashboard!$C$17)),1,0)</f>
        <v>1</v>
      </c>
      <c r="P486" s="24">
        <f>IF(AND(L486=1,OR(Dashboard!$C$13="All",A486=Dashboard!$C$13),OR(Dashboard!$C$14="All",B486=Dashboard!$C$14),OR(Dashboard!$C$15="All",C486=Dashboard!$C$15),OR(Dashboard!$C$17="All",J486=Dashboard!$C$17)),1,0)</f>
        <v>1</v>
      </c>
      <c r="Q486" s="24">
        <f>IF(AND(L486=1,OR(Dashboard!$C$14="All",B486=Dashboard!$C$14),OR(Dashboard!$C$15="All",C486=Dashboard!$C$15),OR(Dashboard!$C$16="All",K486=Dashboard!$C$16),OR(Dashboard!$C$17="All",J486=Dashboard!$C$17)),1,0)</f>
        <v>1</v>
      </c>
      <c r="R486" s="24">
        <f>IF(AND(L486=1,OR(Dashboard!$C$13="All",A486=Dashboard!$C$13),OR(Dashboard!$C$14="All",B486=Dashboard!$C$14),OR(Dashboard!$C$15="All",C486=Dashboard!$C$15),OR(Dashboard!$C$16="All",K486=Dashboard!$C$16)),1,0)</f>
        <v>1</v>
      </c>
      <c r="S486" s="24">
        <f t="shared" si="3"/>
        <v>485</v>
      </c>
    </row>
    <row r="487" ht="15.75" customHeight="1">
      <c r="A487" s="10" t="s">
        <v>458</v>
      </c>
      <c r="B487" s="13"/>
      <c r="C487" s="10" t="s">
        <v>546</v>
      </c>
      <c r="D487" s="13">
        <v>2.0</v>
      </c>
      <c r="E487" s="17">
        <v>245.0</v>
      </c>
      <c r="F487" s="15">
        <f t="shared" si="4"/>
        <v>490</v>
      </c>
      <c r="G487" s="6">
        <v>46229.0</v>
      </c>
      <c r="H487" s="22">
        <v>24.0</v>
      </c>
      <c r="I487" s="16">
        <f t="shared" si="5"/>
        <v>46397</v>
      </c>
      <c r="J487" s="13" t="s">
        <v>25</v>
      </c>
      <c r="K487" s="13" t="s">
        <v>31</v>
      </c>
      <c r="L487" s="24">
        <f>IF(A487="","",IF(OR(G487="",AND(G487&gt;=Dashboard!$C$18,G487&lt;=Dashboard!$C$19)),1,0))</f>
        <v>1</v>
      </c>
      <c r="M487" s="24">
        <f>IF(AND(L487=1,OR(Dashboard!$C$13="All",A487=Dashboard!$C$13),OR(Dashboard!$C$14="All",B487=Dashboard!$C$14),OR(Dashboard!$C$15="All",C487=Dashboard!$C$15),OR(Dashboard!$C$16="All",K487=Dashboard!$C$16),OR(Dashboard!$C$17="All",J487=Dashboard!$C$17)),1,0)</f>
        <v>1</v>
      </c>
      <c r="N487" s="24">
        <f>IF(AND(L487=1,OR(Dashboard!$C$13="All",A487=Dashboard!$C$13),OR(Dashboard!$C$14="All",B487=Dashboard!$C$14),OR(Dashboard!$C$16="All",K487=Dashboard!$C$16),OR(Dashboard!$C$17="All",J487=Dashboard!$C$17)),1,0)</f>
        <v>1</v>
      </c>
      <c r="O487" s="24">
        <f>IF(AND(L487=1,OR(Dashboard!$C$13="All",A487=Dashboard!$C$13),OR(Dashboard!$C$15="All",C487=Dashboard!$C$15),OR(Dashboard!$C$16="All",K487=Dashboard!$C$16),OR(Dashboard!$C$17="All",J487=Dashboard!$C$17)),1,0)</f>
        <v>1</v>
      </c>
      <c r="P487" s="24">
        <f>IF(AND(L487=1,OR(Dashboard!$C$13="All",A487=Dashboard!$C$13),OR(Dashboard!$C$14="All",B487=Dashboard!$C$14),OR(Dashboard!$C$15="All",C487=Dashboard!$C$15),OR(Dashboard!$C$17="All",J487=Dashboard!$C$17)),1,0)</f>
        <v>1</v>
      </c>
      <c r="Q487" s="24">
        <f>IF(AND(L487=1,OR(Dashboard!$C$14="All",B487=Dashboard!$C$14),OR(Dashboard!$C$15="All",C487=Dashboard!$C$15),OR(Dashboard!$C$16="All",K487=Dashboard!$C$16),OR(Dashboard!$C$17="All",J487=Dashboard!$C$17)),1,0)</f>
        <v>1</v>
      </c>
      <c r="R487" s="24">
        <f>IF(AND(L487=1,OR(Dashboard!$C$13="All",A487=Dashboard!$C$13),OR(Dashboard!$C$14="All",B487=Dashboard!$C$14),OR(Dashboard!$C$15="All",C487=Dashboard!$C$15),OR(Dashboard!$C$16="All",K487=Dashboard!$C$16)),1,0)</f>
        <v>1</v>
      </c>
      <c r="S487" s="24">
        <f t="shared" si="3"/>
        <v>486</v>
      </c>
    </row>
    <row r="488" ht="15.75" customHeight="1">
      <c r="A488" s="3" t="s">
        <v>458</v>
      </c>
      <c r="B488" s="4"/>
      <c r="C488" s="3" t="s">
        <v>556</v>
      </c>
      <c r="D488" s="4">
        <v>3.0</v>
      </c>
      <c r="E488" s="14">
        <v>2555.0</v>
      </c>
      <c r="F488" s="5">
        <f t="shared" si="4"/>
        <v>7665</v>
      </c>
      <c r="G488" s="6">
        <v>46230.0</v>
      </c>
      <c r="H488" s="22">
        <v>22.0</v>
      </c>
      <c r="I488" s="7">
        <f t="shared" si="5"/>
        <v>46384</v>
      </c>
      <c r="J488" s="4" t="s">
        <v>25</v>
      </c>
      <c r="K488" s="4" t="s">
        <v>31</v>
      </c>
      <c r="L488" s="24">
        <f>IF(A488="","",IF(OR(G488="",AND(G488&gt;=Dashboard!$C$18,G488&lt;=Dashboard!$C$19)),1,0))</f>
        <v>1</v>
      </c>
      <c r="M488" s="24">
        <f>IF(AND(L488=1,OR(Dashboard!$C$13="All",A488=Dashboard!$C$13),OR(Dashboard!$C$14="All",B488=Dashboard!$C$14),OR(Dashboard!$C$15="All",C488=Dashboard!$C$15),OR(Dashboard!$C$16="All",K488=Dashboard!$C$16),OR(Dashboard!$C$17="All",J488=Dashboard!$C$17)),1,0)</f>
        <v>1</v>
      </c>
      <c r="N488" s="24">
        <f>IF(AND(L488=1,OR(Dashboard!$C$13="All",A488=Dashboard!$C$13),OR(Dashboard!$C$14="All",B488=Dashboard!$C$14),OR(Dashboard!$C$16="All",K488=Dashboard!$C$16),OR(Dashboard!$C$17="All",J488=Dashboard!$C$17)),1,0)</f>
        <v>1</v>
      </c>
      <c r="O488" s="24">
        <f>IF(AND(L488=1,OR(Dashboard!$C$13="All",A488=Dashboard!$C$13),OR(Dashboard!$C$15="All",C488=Dashboard!$C$15),OR(Dashboard!$C$16="All",K488=Dashboard!$C$16),OR(Dashboard!$C$17="All",J488=Dashboard!$C$17)),1,0)</f>
        <v>1</v>
      </c>
      <c r="P488" s="24">
        <f>IF(AND(L488=1,OR(Dashboard!$C$13="All",A488=Dashboard!$C$13),OR(Dashboard!$C$14="All",B488=Dashboard!$C$14),OR(Dashboard!$C$15="All",C488=Dashboard!$C$15),OR(Dashboard!$C$17="All",J488=Dashboard!$C$17)),1,0)</f>
        <v>1</v>
      </c>
      <c r="Q488" s="24">
        <f>IF(AND(L488=1,OR(Dashboard!$C$14="All",B488=Dashboard!$C$14),OR(Dashboard!$C$15="All",C488=Dashboard!$C$15),OR(Dashboard!$C$16="All",K488=Dashboard!$C$16),OR(Dashboard!$C$17="All",J488=Dashboard!$C$17)),1,0)</f>
        <v>1</v>
      </c>
      <c r="R488" s="24">
        <f>IF(AND(L488=1,OR(Dashboard!$C$13="All",A488=Dashboard!$C$13),OR(Dashboard!$C$14="All",B488=Dashboard!$C$14),OR(Dashboard!$C$15="All",C488=Dashboard!$C$15),OR(Dashboard!$C$16="All",K488=Dashboard!$C$16)),1,0)</f>
        <v>1</v>
      </c>
      <c r="S488" s="24">
        <f t="shared" si="3"/>
        <v>487</v>
      </c>
    </row>
    <row r="489" ht="15.75" customHeight="1">
      <c r="A489" s="10" t="s">
        <v>458</v>
      </c>
      <c r="B489" s="13"/>
      <c r="C489" s="10" t="s">
        <v>448</v>
      </c>
      <c r="D489" s="13">
        <v>1.0</v>
      </c>
      <c r="E489" s="17">
        <v>255.0</v>
      </c>
      <c r="F489" s="15">
        <f t="shared" si="4"/>
        <v>255</v>
      </c>
      <c r="G489" s="6">
        <v>46231.0</v>
      </c>
      <c r="H489" s="22">
        <v>23.0</v>
      </c>
      <c r="I489" s="16">
        <f t="shared" si="5"/>
        <v>46392</v>
      </c>
      <c r="J489" s="13" t="s">
        <v>25</v>
      </c>
      <c r="K489" s="13" t="s">
        <v>31</v>
      </c>
      <c r="L489" s="24">
        <f>IF(A489="","",IF(OR(G489="",AND(G489&gt;=Dashboard!$C$18,G489&lt;=Dashboard!$C$19)),1,0))</f>
        <v>1</v>
      </c>
      <c r="M489" s="24">
        <f>IF(AND(L489=1,OR(Dashboard!$C$13="All",A489=Dashboard!$C$13),OR(Dashboard!$C$14="All",B489=Dashboard!$C$14),OR(Dashboard!$C$15="All",C489=Dashboard!$C$15),OR(Dashboard!$C$16="All",K489=Dashboard!$C$16),OR(Dashboard!$C$17="All",J489=Dashboard!$C$17)),1,0)</f>
        <v>1</v>
      </c>
      <c r="N489" s="24">
        <f>IF(AND(L489=1,OR(Dashboard!$C$13="All",A489=Dashboard!$C$13),OR(Dashboard!$C$14="All",B489=Dashboard!$C$14),OR(Dashboard!$C$16="All",K489=Dashboard!$C$16),OR(Dashboard!$C$17="All",J489=Dashboard!$C$17)),1,0)</f>
        <v>1</v>
      </c>
      <c r="O489" s="24">
        <f>IF(AND(L489=1,OR(Dashboard!$C$13="All",A489=Dashboard!$C$13),OR(Dashboard!$C$15="All",C489=Dashboard!$C$15),OR(Dashboard!$C$16="All",K489=Dashboard!$C$16),OR(Dashboard!$C$17="All",J489=Dashboard!$C$17)),1,0)</f>
        <v>1</v>
      </c>
      <c r="P489" s="24">
        <f>IF(AND(L489=1,OR(Dashboard!$C$13="All",A489=Dashboard!$C$13),OR(Dashboard!$C$14="All",B489=Dashboard!$C$14),OR(Dashboard!$C$15="All",C489=Dashboard!$C$15),OR(Dashboard!$C$17="All",J489=Dashboard!$C$17)),1,0)</f>
        <v>1</v>
      </c>
      <c r="Q489" s="24">
        <f>IF(AND(L489=1,OR(Dashboard!$C$14="All",B489=Dashboard!$C$14),OR(Dashboard!$C$15="All",C489=Dashboard!$C$15),OR(Dashboard!$C$16="All",K489=Dashboard!$C$16),OR(Dashboard!$C$17="All",J489=Dashboard!$C$17)),1,0)</f>
        <v>1</v>
      </c>
      <c r="R489" s="24">
        <f>IF(AND(L489=1,OR(Dashboard!$C$13="All",A489=Dashboard!$C$13),OR(Dashboard!$C$14="All",B489=Dashboard!$C$14),OR(Dashboard!$C$15="All",C489=Dashboard!$C$15),OR(Dashboard!$C$16="All",K489=Dashboard!$C$16)),1,0)</f>
        <v>1</v>
      </c>
      <c r="S489" s="24">
        <f t="shared" si="3"/>
        <v>488</v>
      </c>
    </row>
    <row r="490" ht="15.75" customHeight="1">
      <c r="A490" s="3" t="s">
        <v>459</v>
      </c>
      <c r="B490" s="4"/>
      <c r="C490" s="3" t="s">
        <v>347</v>
      </c>
      <c r="D490" s="4">
        <v>3700.0</v>
      </c>
      <c r="E490" s="14">
        <v>45.0</v>
      </c>
      <c r="F490" s="5">
        <f t="shared" si="4"/>
        <v>166500</v>
      </c>
      <c r="G490" s="6">
        <v>46232.0</v>
      </c>
      <c r="H490" s="22">
        <v>21.0</v>
      </c>
      <c r="I490" s="7">
        <f t="shared" si="5"/>
        <v>46379</v>
      </c>
      <c r="J490" s="4" t="s">
        <v>25</v>
      </c>
      <c r="K490" s="4" t="s">
        <v>31</v>
      </c>
      <c r="L490" s="24">
        <f>IF(A490="","",IF(OR(G490="",AND(G490&gt;=Dashboard!$C$18,G490&lt;=Dashboard!$C$19)),1,0))</f>
        <v>1</v>
      </c>
      <c r="M490" s="24">
        <f>IF(AND(L490=1,OR(Dashboard!$C$13="All",A490=Dashboard!$C$13),OR(Dashboard!$C$14="All",B490=Dashboard!$C$14),OR(Dashboard!$C$15="All",C490=Dashboard!$C$15),OR(Dashboard!$C$16="All",K490=Dashboard!$C$16),OR(Dashboard!$C$17="All",J490=Dashboard!$C$17)),1,0)</f>
        <v>1</v>
      </c>
      <c r="N490" s="24">
        <f>IF(AND(L490=1,OR(Dashboard!$C$13="All",A490=Dashboard!$C$13),OR(Dashboard!$C$14="All",B490=Dashboard!$C$14),OR(Dashboard!$C$16="All",K490=Dashboard!$C$16),OR(Dashboard!$C$17="All",J490=Dashboard!$C$17)),1,0)</f>
        <v>1</v>
      </c>
      <c r="O490" s="24">
        <f>IF(AND(L490=1,OR(Dashboard!$C$13="All",A490=Dashboard!$C$13),OR(Dashboard!$C$15="All",C490=Dashboard!$C$15),OR(Dashboard!$C$16="All",K490=Dashboard!$C$16),OR(Dashboard!$C$17="All",J490=Dashboard!$C$17)),1,0)</f>
        <v>1</v>
      </c>
      <c r="P490" s="24">
        <f>IF(AND(L490=1,OR(Dashboard!$C$13="All",A490=Dashboard!$C$13),OR(Dashboard!$C$14="All",B490=Dashboard!$C$14),OR(Dashboard!$C$15="All",C490=Dashboard!$C$15),OR(Dashboard!$C$17="All",J490=Dashboard!$C$17)),1,0)</f>
        <v>1</v>
      </c>
      <c r="Q490" s="24">
        <f>IF(AND(L490=1,OR(Dashboard!$C$14="All",B490=Dashboard!$C$14),OR(Dashboard!$C$15="All",C490=Dashboard!$C$15),OR(Dashboard!$C$16="All",K490=Dashboard!$C$16),OR(Dashboard!$C$17="All",J490=Dashboard!$C$17)),1,0)</f>
        <v>1</v>
      </c>
      <c r="R490" s="24">
        <f>IF(AND(L490=1,OR(Dashboard!$C$13="All",A490=Dashboard!$C$13),OR(Dashboard!$C$14="All",B490=Dashboard!$C$14),OR(Dashboard!$C$15="All",C490=Dashboard!$C$15),OR(Dashboard!$C$16="All",K490=Dashboard!$C$16)),1,0)</f>
        <v>1</v>
      </c>
      <c r="S490" s="24">
        <f t="shared" si="3"/>
        <v>489</v>
      </c>
    </row>
    <row r="491" ht="15.75" customHeight="1">
      <c r="A491" s="10" t="s">
        <v>459</v>
      </c>
      <c r="B491" s="13"/>
      <c r="C491" s="10" t="s">
        <v>373</v>
      </c>
      <c r="D491" s="13">
        <v>1000.0</v>
      </c>
      <c r="E491" s="17">
        <v>36.0</v>
      </c>
      <c r="F491" s="15">
        <f t="shared" si="4"/>
        <v>36000</v>
      </c>
      <c r="G491" s="6">
        <v>46233.0</v>
      </c>
      <c r="H491" s="22">
        <v>24.0</v>
      </c>
      <c r="I491" s="16">
        <f t="shared" si="5"/>
        <v>46401</v>
      </c>
      <c r="J491" s="13" t="s">
        <v>25</v>
      </c>
      <c r="K491" s="13" t="s">
        <v>31</v>
      </c>
      <c r="L491" s="24">
        <f>IF(A491="","",IF(OR(G491="",AND(G491&gt;=Dashboard!$C$18,G491&lt;=Dashboard!$C$19)),1,0))</f>
        <v>1</v>
      </c>
      <c r="M491" s="24">
        <f>IF(AND(L491=1,OR(Dashboard!$C$13="All",A491=Dashboard!$C$13),OR(Dashboard!$C$14="All",B491=Dashboard!$C$14),OR(Dashboard!$C$15="All",C491=Dashboard!$C$15),OR(Dashboard!$C$16="All",K491=Dashboard!$C$16),OR(Dashboard!$C$17="All",J491=Dashboard!$C$17)),1,0)</f>
        <v>1</v>
      </c>
      <c r="N491" s="24">
        <f>IF(AND(L491=1,OR(Dashboard!$C$13="All",A491=Dashboard!$C$13),OR(Dashboard!$C$14="All",B491=Dashboard!$C$14),OR(Dashboard!$C$16="All",K491=Dashboard!$C$16),OR(Dashboard!$C$17="All",J491=Dashboard!$C$17)),1,0)</f>
        <v>1</v>
      </c>
      <c r="O491" s="24">
        <f>IF(AND(L491=1,OR(Dashboard!$C$13="All",A491=Dashboard!$C$13),OR(Dashboard!$C$15="All",C491=Dashboard!$C$15),OR(Dashboard!$C$16="All",K491=Dashboard!$C$16),OR(Dashboard!$C$17="All",J491=Dashboard!$C$17)),1,0)</f>
        <v>1</v>
      </c>
      <c r="P491" s="24">
        <f>IF(AND(L491=1,OR(Dashboard!$C$13="All",A491=Dashboard!$C$13),OR(Dashboard!$C$14="All",B491=Dashboard!$C$14),OR(Dashboard!$C$15="All",C491=Dashboard!$C$15),OR(Dashboard!$C$17="All",J491=Dashboard!$C$17)),1,0)</f>
        <v>1</v>
      </c>
      <c r="Q491" s="24">
        <f>IF(AND(L491=1,OR(Dashboard!$C$14="All",B491=Dashboard!$C$14),OR(Dashboard!$C$15="All",C491=Dashboard!$C$15),OR(Dashboard!$C$16="All",K491=Dashboard!$C$16),OR(Dashboard!$C$17="All",J491=Dashboard!$C$17)),1,0)</f>
        <v>1</v>
      </c>
      <c r="R491" s="24">
        <f>IF(AND(L491=1,OR(Dashboard!$C$13="All",A491=Dashboard!$C$13),OR(Dashboard!$C$14="All",B491=Dashboard!$C$14),OR(Dashboard!$C$15="All",C491=Dashboard!$C$15),OR(Dashboard!$C$16="All",K491=Dashboard!$C$16)),1,0)</f>
        <v>1</v>
      </c>
      <c r="S491" s="24">
        <f t="shared" si="3"/>
        <v>490</v>
      </c>
    </row>
    <row r="492" ht="15.75" customHeight="1">
      <c r="A492" s="3" t="s">
        <v>459</v>
      </c>
      <c r="B492" s="4"/>
      <c r="C492" s="3" t="s">
        <v>535</v>
      </c>
      <c r="D492" s="4">
        <v>300.0</v>
      </c>
      <c r="E492" s="14">
        <v>96.0</v>
      </c>
      <c r="F492" s="5">
        <f t="shared" si="4"/>
        <v>28800</v>
      </c>
      <c r="G492" s="6">
        <v>46234.0</v>
      </c>
      <c r="H492" s="22">
        <v>20.0</v>
      </c>
      <c r="I492" s="7">
        <f t="shared" si="5"/>
        <v>46374</v>
      </c>
      <c r="J492" s="4" t="s">
        <v>25</v>
      </c>
      <c r="K492" s="4" t="s">
        <v>31</v>
      </c>
      <c r="L492" s="24">
        <f>IF(A492="","",IF(OR(G492="",AND(G492&gt;=Dashboard!$C$18,G492&lt;=Dashboard!$C$19)),1,0))</f>
        <v>1</v>
      </c>
      <c r="M492" s="24">
        <f>IF(AND(L492=1,OR(Dashboard!$C$13="All",A492=Dashboard!$C$13),OR(Dashboard!$C$14="All",B492=Dashboard!$C$14),OR(Dashboard!$C$15="All",C492=Dashboard!$C$15),OR(Dashboard!$C$16="All",K492=Dashboard!$C$16),OR(Dashboard!$C$17="All",J492=Dashboard!$C$17)),1,0)</f>
        <v>1</v>
      </c>
      <c r="N492" s="24">
        <f>IF(AND(L492=1,OR(Dashboard!$C$13="All",A492=Dashboard!$C$13),OR(Dashboard!$C$14="All",B492=Dashboard!$C$14),OR(Dashboard!$C$16="All",K492=Dashboard!$C$16),OR(Dashboard!$C$17="All",J492=Dashboard!$C$17)),1,0)</f>
        <v>1</v>
      </c>
      <c r="O492" s="24">
        <f>IF(AND(L492=1,OR(Dashboard!$C$13="All",A492=Dashboard!$C$13),OR(Dashboard!$C$15="All",C492=Dashboard!$C$15),OR(Dashboard!$C$16="All",K492=Dashboard!$C$16),OR(Dashboard!$C$17="All",J492=Dashboard!$C$17)),1,0)</f>
        <v>1</v>
      </c>
      <c r="P492" s="24">
        <f>IF(AND(L492=1,OR(Dashboard!$C$13="All",A492=Dashboard!$C$13),OR(Dashboard!$C$14="All",B492=Dashboard!$C$14),OR(Dashboard!$C$15="All",C492=Dashboard!$C$15),OR(Dashboard!$C$17="All",J492=Dashboard!$C$17)),1,0)</f>
        <v>1</v>
      </c>
      <c r="Q492" s="24">
        <f>IF(AND(L492=1,OR(Dashboard!$C$14="All",B492=Dashboard!$C$14),OR(Dashboard!$C$15="All",C492=Dashboard!$C$15),OR(Dashboard!$C$16="All",K492=Dashboard!$C$16),OR(Dashboard!$C$17="All",J492=Dashboard!$C$17)),1,0)</f>
        <v>1</v>
      </c>
      <c r="R492" s="24">
        <f>IF(AND(L492=1,OR(Dashboard!$C$13="All",A492=Dashboard!$C$13),OR(Dashboard!$C$14="All",B492=Dashboard!$C$14),OR(Dashboard!$C$15="All",C492=Dashboard!$C$15),OR(Dashboard!$C$16="All",K492=Dashboard!$C$16)),1,0)</f>
        <v>1</v>
      </c>
      <c r="S492" s="24">
        <f t="shared" si="3"/>
        <v>491</v>
      </c>
    </row>
    <row r="493" ht="15.75" customHeight="1">
      <c r="A493" s="10" t="s">
        <v>459</v>
      </c>
      <c r="B493" s="13"/>
      <c r="C493" s="10" t="s">
        <v>230</v>
      </c>
      <c r="D493" s="13">
        <v>2.0</v>
      </c>
      <c r="E493" s="17">
        <v>8.0</v>
      </c>
      <c r="F493" s="15">
        <f t="shared" si="4"/>
        <v>16</v>
      </c>
      <c r="G493" s="6">
        <v>46235.0</v>
      </c>
      <c r="H493" s="22">
        <v>16.0</v>
      </c>
      <c r="I493" s="16">
        <f t="shared" si="5"/>
        <v>46347</v>
      </c>
      <c r="J493" s="13" t="s">
        <v>25</v>
      </c>
      <c r="K493" s="13" t="s">
        <v>31</v>
      </c>
      <c r="L493" s="24">
        <f>IF(A493="","",IF(OR(G493="",AND(G493&gt;=Dashboard!$C$18,G493&lt;=Dashboard!$C$19)),1,0))</f>
        <v>1</v>
      </c>
      <c r="M493" s="24">
        <f>IF(AND(L493=1,OR(Dashboard!$C$13="All",A493=Dashboard!$C$13),OR(Dashboard!$C$14="All",B493=Dashboard!$C$14),OR(Dashboard!$C$15="All",C493=Dashboard!$C$15),OR(Dashboard!$C$16="All",K493=Dashboard!$C$16),OR(Dashboard!$C$17="All",J493=Dashboard!$C$17)),1,0)</f>
        <v>1</v>
      </c>
      <c r="N493" s="24">
        <f>IF(AND(L493=1,OR(Dashboard!$C$13="All",A493=Dashboard!$C$13),OR(Dashboard!$C$14="All",B493=Dashboard!$C$14),OR(Dashboard!$C$16="All",K493=Dashboard!$C$16),OR(Dashboard!$C$17="All",J493=Dashboard!$C$17)),1,0)</f>
        <v>1</v>
      </c>
      <c r="O493" s="24">
        <f>IF(AND(L493=1,OR(Dashboard!$C$13="All",A493=Dashboard!$C$13),OR(Dashboard!$C$15="All",C493=Dashboard!$C$15),OR(Dashboard!$C$16="All",K493=Dashboard!$C$16),OR(Dashboard!$C$17="All",J493=Dashboard!$C$17)),1,0)</f>
        <v>1</v>
      </c>
      <c r="P493" s="24">
        <f>IF(AND(L493=1,OR(Dashboard!$C$13="All",A493=Dashboard!$C$13),OR(Dashboard!$C$14="All",B493=Dashboard!$C$14),OR(Dashboard!$C$15="All",C493=Dashboard!$C$15),OR(Dashboard!$C$17="All",J493=Dashboard!$C$17)),1,0)</f>
        <v>1</v>
      </c>
      <c r="Q493" s="24">
        <f>IF(AND(L493=1,OR(Dashboard!$C$14="All",B493=Dashboard!$C$14),OR(Dashboard!$C$15="All",C493=Dashboard!$C$15),OR(Dashboard!$C$16="All",K493=Dashboard!$C$16),OR(Dashboard!$C$17="All",J493=Dashboard!$C$17)),1,0)</f>
        <v>1</v>
      </c>
      <c r="R493" s="24">
        <f>IF(AND(L493=1,OR(Dashboard!$C$13="All",A493=Dashboard!$C$13),OR(Dashboard!$C$14="All",B493=Dashboard!$C$14),OR(Dashboard!$C$15="All",C493=Dashboard!$C$15),OR(Dashboard!$C$16="All",K493=Dashboard!$C$16)),1,0)</f>
        <v>1</v>
      </c>
      <c r="S493" s="24">
        <f t="shared" si="3"/>
        <v>492</v>
      </c>
    </row>
    <row r="494" ht="15.75" customHeight="1">
      <c r="A494" s="3" t="s">
        <v>461</v>
      </c>
      <c r="B494" s="4"/>
      <c r="C494" s="3" t="s">
        <v>450</v>
      </c>
      <c r="D494" s="4">
        <v>100.0</v>
      </c>
      <c r="E494" s="14">
        <v>5.0</v>
      </c>
      <c r="F494" s="5">
        <f t="shared" si="4"/>
        <v>500</v>
      </c>
      <c r="G494" s="6">
        <v>46236.0</v>
      </c>
      <c r="H494" s="22">
        <v>16.0</v>
      </c>
      <c r="I494" s="7">
        <f t="shared" si="5"/>
        <v>46348</v>
      </c>
      <c r="J494" s="4" t="s">
        <v>25</v>
      </c>
      <c r="K494" s="4" t="s">
        <v>31</v>
      </c>
      <c r="L494" s="24">
        <f>IF(A494="","",IF(OR(G494="",AND(G494&gt;=Dashboard!$C$18,G494&lt;=Dashboard!$C$19)),1,0))</f>
        <v>1</v>
      </c>
      <c r="M494" s="24">
        <f>IF(AND(L494=1,OR(Dashboard!$C$13="All",A494=Dashboard!$C$13),OR(Dashboard!$C$14="All",B494=Dashboard!$C$14),OR(Dashboard!$C$15="All",C494=Dashboard!$C$15),OR(Dashboard!$C$16="All",K494=Dashboard!$C$16),OR(Dashboard!$C$17="All",J494=Dashboard!$C$17)),1,0)</f>
        <v>1</v>
      </c>
      <c r="N494" s="24">
        <f>IF(AND(L494=1,OR(Dashboard!$C$13="All",A494=Dashboard!$C$13),OR(Dashboard!$C$14="All",B494=Dashboard!$C$14),OR(Dashboard!$C$16="All",K494=Dashboard!$C$16),OR(Dashboard!$C$17="All",J494=Dashboard!$C$17)),1,0)</f>
        <v>1</v>
      </c>
      <c r="O494" s="24">
        <f>IF(AND(L494=1,OR(Dashboard!$C$13="All",A494=Dashboard!$C$13),OR(Dashboard!$C$15="All",C494=Dashboard!$C$15),OR(Dashboard!$C$16="All",K494=Dashboard!$C$16),OR(Dashboard!$C$17="All",J494=Dashboard!$C$17)),1,0)</f>
        <v>1</v>
      </c>
      <c r="P494" s="24">
        <f>IF(AND(L494=1,OR(Dashboard!$C$13="All",A494=Dashboard!$C$13),OR(Dashboard!$C$14="All",B494=Dashboard!$C$14),OR(Dashboard!$C$15="All",C494=Dashboard!$C$15),OR(Dashboard!$C$17="All",J494=Dashboard!$C$17)),1,0)</f>
        <v>1</v>
      </c>
      <c r="Q494" s="24">
        <f>IF(AND(L494=1,OR(Dashboard!$C$14="All",B494=Dashboard!$C$14),OR(Dashboard!$C$15="All",C494=Dashboard!$C$15),OR(Dashboard!$C$16="All",K494=Dashboard!$C$16),OR(Dashboard!$C$17="All",J494=Dashboard!$C$17)),1,0)</f>
        <v>1</v>
      </c>
      <c r="R494" s="24">
        <f>IF(AND(L494=1,OR(Dashboard!$C$13="All",A494=Dashboard!$C$13),OR(Dashboard!$C$14="All",B494=Dashboard!$C$14),OR(Dashboard!$C$15="All",C494=Dashboard!$C$15),OR(Dashboard!$C$16="All",K494=Dashboard!$C$16)),1,0)</f>
        <v>1</v>
      </c>
      <c r="S494" s="24">
        <f t="shared" si="3"/>
        <v>493</v>
      </c>
    </row>
    <row r="495" ht="15.75" customHeight="1">
      <c r="A495" s="10" t="s">
        <v>463</v>
      </c>
      <c r="B495" s="13" t="s">
        <v>34</v>
      </c>
      <c r="C495" s="10" t="s">
        <v>325</v>
      </c>
      <c r="D495" s="13">
        <v>3000.0</v>
      </c>
      <c r="E495" s="17">
        <v>4.0</v>
      </c>
      <c r="F495" s="15">
        <f t="shared" si="4"/>
        <v>12000</v>
      </c>
      <c r="G495" s="6">
        <v>46237.0</v>
      </c>
      <c r="H495" s="22">
        <v>19.0</v>
      </c>
      <c r="I495" s="16">
        <f t="shared" si="5"/>
        <v>46370</v>
      </c>
      <c r="J495" s="13" t="s">
        <v>25</v>
      </c>
      <c r="K495" s="13" t="s">
        <v>31</v>
      </c>
      <c r="L495" s="24">
        <f>IF(A495="","",IF(OR(G495="",AND(G495&gt;=Dashboard!$C$18,G495&lt;=Dashboard!$C$19)),1,0))</f>
        <v>1</v>
      </c>
      <c r="M495" s="24">
        <f>IF(AND(L495=1,OR(Dashboard!$C$13="All",A495=Dashboard!$C$13),OR(Dashboard!$C$14="All",B495=Dashboard!$C$14),OR(Dashboard!$C$15="All",C495=Dashboard!$C$15),OR(Dashboard!$C$16="All",K495=Dashboard!$C$16),OR(Dashboard!$C$17="All",J495=Dashboard!$C$17)),1,0)</f>
        <v>1</v>
      </c>
      <c r="N495" s="24">
        <f>IF(AND(L495=1,OR(Dashboard!$C$13="All",A495=Dashboard!$C$13),OR(Dashboard!$C$14="All",B495=Dashboard!$C$14),OR(Dashboard!$C$16="All",K495=Dashboard!$C$16),OR(Dashboard!$C$17="All",J495=Dashboard!$C$17)),1,0)</f>
        <v>1</v>
      </c>
      <c r="O495" s="24">
        <f>IF(AND(L495=1,OR(Dashboard!$C$13="All",A495=Dashboard!$C$13),OR(Dashboard!$C$15="All",C495=Dashboard!$C$15),OR(Dashboard!$C$16="All",K495=Dashboard!$C$16),OR(Dashboard!$C$17="All",J495=Dashboard!$C$17)),1,0)</f>
        <v>1</v>
      </c>
      <c r="P495" s="24">
        <f>IF(AND(L495=1,OR(Dashboard!$C$13="All",A495=Dashboard!$C$13),OR(Dashboard!$C$14="All",B495=Dashboard!$C$14),OR(Dashboard!$C$15="All",C495=Dashboard!$C$15),OR(Dashboard!$C$17="All",J495=Dashboard!$C$17)),1,0)</f>
        <v>1</v>
      </c>
      <c r="Q495" s="24">
        <f>IF(AND(L495=1,OR(Dashboard!$C$14="All",B495=Dashboard!$C$14),OR(Dashboard!$C$15="All",C495=Dashboard!$C$15),OR(Dashboard!$C$16="All",K495=Dashboard!$C$16),OR(Dashboard!$C$17="All",J495=Dashboard!$C$17)),1,0)</f>
        <v>1</v>
      </c>
      <c r="R495" s="24">
        <f>IF(AND(L495=1,OR(Dashboard!$C$13="All",A495=Dashboard!$C$13),OR(Dashboard!$C$14="All",B495=Dashboard!$C$14),OR(Dashboard!$C$15="All",C495=Dashboard!$C$15),OR(Dashboard!$C$16="All",K495=Dashboard!$C$16)),1,0)</f>
        <v>1</v>
      </c>
      <c r="S495" s="24">
        <f t="shared" si="3"/>
        <v>494</v>
      </c>
    </row>
    <row r="496" ht="15.75" customHeight="1">
      <c r="A496" s="3" t="s">
        <v>464</v>
      </c>
      <c r="B496" s="4"/>
      <c r="C496" s="3" t="s">
        <v>160</v>
      </c>
      <c r="D496" s="4">
        <v>5000.0</v>
      </c>
      <c r="E496" s="14">
        <v>2.0</v>
      </c>
      <c r="F496" s="5">
        <f t="shared" si="4"/>
        <v>10000</v>
      </c>
      <c r="G496" s="6">
        <v>46238.0</v>
      </c>
      <c r="H496" s="22">
        <v>20.0</v>
      </c>
      <c r="I496" s="7">
        <f t="shared" si="5"/>
        <v>46378</v>
      </c>
      <c r="J496" s="4" t="s">
        <v>25</v>
      </c>
      <c r="K496" s="4" t="s">
        <v>31</v>
      </c>
      <c r="L496" s="24">
        <f>IF(A496="","",IF(OR(G496="",AND(G496&gt;=Dashboard!$C$18,G496&lt;=Dashboard!$C$19)),1,0))</f>
        <v>1</v>
      </c>
      <c r="M496" s="24">
        <f>IF(AND(L496=1,OR(Dashboard!$C$13="All",A496=Dashboard!$C$13),OR(Dashboard!$C$14="All",B496=Dashboard!$C$14),OR(Dashboard!$C$15="All",C496=Dashboard!$C$15),OR(Dashboard!$C$16="All",K496=Dashboard!$C$16),OR(Dashboard!$C$17="All",J496=Dashboard!$C$17)),1,0)</f>
        <v>1</v>
      </c>
      <c r="N496" s="24">
        <f>IF(AND(L496=1,OR(Dashboard!$C$13="All",A496=Dashboard!$C$13),OR(Dashboard!$C$14="All",B496=Dashboard!$C$14),OR(Dashboard!$C$16="All",K496=Dashboard!$C$16),OR(Dashboard!$C$17="All",J496=Dashboard!$C$17)),1,0)</f>
        <v>1</v>
      </c>
      <c r="O496" s="24">
        <f>IF(AND(L496=1,OR(Dashboard!$C$13="All",A496=Dashboard!$C$13),OR(Dashboard!$C$15="All",C496=Dashboard!$C$15),OR(Dashboard!$C$16="All",K496=Dashboard!$C$16),OR(Dashboard!$C$17="All",J496=Dashboard!$C$17)),1,0)</f>
        <v>1</v>
      </c>
      <c r="P496" s="24">
        <f>IF(AND(L496=1,OR(Dashboard!$C$13="All",A496=Dashboard!$C$13),OR(Dashboard!$C$14="All",B496=Dashboard!$C$14),OR(Dashboard!$C$15="All",C496=Dashboard!$C$15),OR(Dashboard!$C$17="All",J496=Dashboard!$C$17)),1,0)</f>
        <v>1</v>
      </c>
      <c r="Q496" s="24">
        <f>IF(AND(L496=1,OR(Dashboard!$C$14="All",B496=Dashboard!$C$14),OR(Dashboard!$C$15="All",C496=Dashboard!$C$15),OR(Dashboard!$C$16="All",K496=Dashboard!$C$16),OR(Dashboard!$C$17="All",J496=Dashboard!$C$17)),1,0)</f>
        <v>1</v>
      </c>
      <c r="R496" s="24">
        <f>IF(AND(L496=1,OR(Dashboard!$C$13="All",A496=Dashboard!$C$13),OR(Dashboard!$C$14="All",B496=Dashboard!$C$14),OR(Dashboard!$C$15="All",C496=Dashboard!$C$15),OR(Dashboard!$C$16="All",K496=Dashboard!$C$16)),1,0)</f>
        <v>1</v>
      </c>
      <c r="S496" s="24">
        <f t="shared" si="3"/>
        <v>495</v>
      </c>
    </row>
    <row r="497" ht="15.75" customHeight="1">
      <c r="A497" s="10" t="s">
        <v>467</v>
      </c>
      <c r="B497" s="13"/>
      <c r="C497" s="10" t="s">
        <v>454</v>
      </c>
      <c r="D497" s="13">
        <v>150.0</v>
      </c>
      <c r="E497" s="17">
        <v>36.0</v>
      </c>
      <c r="F497" s="15">
        <f t="shared" si="4"/>
        <v>5400</v>
      </c>
      <c r="G497" s="6">
        <v>46239.0</v>
      </c>
      <c r="H497" s="22">
        <v>17.0</v>
      </c>
      <c r="I497" s="16">
        <f t="shared" si="5"/>
        <v>46358</v>
      </c>
      <c r="J497" s="13" t="s">
        <v>25</v>
      </c>
      <c r="K497" s="13" t="s">
        <v>31</v>
      </c>
      <c r="L497" s="24">
        <f>IF(A497="","",IF(OR(G497="",AND(G497&gt;=Dashboard!$C$18,G497&lt;=Dashboard!$C$19)),1,0))</f>
        <v>1</v>
      </c>
      <c r="M497" s="24">
        <f>IF(AND(L497=1,OR(Dashboard!$C$13="All",A497=Dashboard!$C$13),OR(Dashboard!$C$14="All",B497=Dashboard!$C$14),OR(Dashboard!$C$15="All",C497=Dashboard!$C$15),OR(Dashboard!$C$16="All",K497=Dashboard!$C$16),OR(Dashboard!$C$17="All",J497=Dashboard!$C$17)),1,0)</f>
        <v>1</v>
      </c>
      <c r="N497" s="24">
        <f>IF(AND(L497=1,OR(Dashboard!$C$13="All",A497=Dashboard!$C$13),OR(Dashboard!$C$14="All",B497=Dashboard!$C$14),OR(Dashboard!$C$16="All",K497=Dashboard!$C$16),OR(Dashboard!$C$17="All",J497=Dashboard!$C$17)),1,0)</f>
        <v>1</v>
      </c>
      <c r="O497" s="24">
        <f>IF(AND(L497=1,OR(Dashboard!$C$13="All",A497=Dashboard!$C$13),OR(Dashboard!$C$15="All",C497=Dashboard!$C$15),OR(Dashboard!$C$16="All",K497=Dashboard!$C$16),OR(Dashboard!$C$17="All",J497=Dashboard!$C$17)),1,0)</f>
        <v>1</v>
      </c>
      <c r="P497" s="24">
        <f>IF(AND(L497=1,OR(Dashboard!$C$13="All",A497=Dashboard!$C$13),OR(Dashboard!$C$14="All",B497=Dashboard!$C$14),OR(Dashboard!$C$15="All",C497=Dashboard!$C$15),OR(Dashboard!$C$17="All",J497=Dashboard!$C$17)),1,0)</f>
        <v>1</v>
      </c>
      <c r="Q497" s="24">
        <f>IF(AND(L497=1,OR(Dashboard!$C$14="All",B497=Dashboard!$C$14),OR(Dashboard!$C$15="All",C497=Dashboard!$C$15),OR(Dashboard!$C$16="All",K497=Dashboard!$C$16),OR(Dashboard!$C$17="All",J497=Dashboard!$C$17)),1,0)</f>
        <v>1</v>
      </c>
      <c r="R497" s="24">
        <f>IF(AND(L497=1,OR(Dashboard!$C$13="All",A497=Dashboard!$C$13),OR(Dashboard!$C$14="All",B497=Dashboard!$C$14),OR(Dashboard!$C$15="All",C497=Dashboard!$C$15),OR(Dashboard!$C$16="All",K497=Dashboard!$C$16)),1,0)</f>
        <v>1</v>
      </c>
      <c r="S497" s="24">
        <f t="shared" si="3"/>
        <v>496</v>
      </c>
    </row>
    <row r="498" ht="15.75" customHeight="1">
      <c r="A498" s="3" t="s">
        <v>469</v>
      </c>
      <c r="B498" s="4" t="s">
        <v>34</v>
      </c>
      <c r="C498" s="3" t="s">
        <v>163</v>
      </c>
      <c r="D498" s="4">
        <v>250.0</v>
      </c>
      <c r="E498" s="5">
        <v>2.0</v>
      </c>
      <c r="F498" s="5">
        <f t="shared" si="4"/>
        <v>500</v>
      </c>
      <c r="G498" s="6">
        <v>46240.0</v>
      </c>
      <c r="H498" s="22">
        <v>20.0</v>
      </c>
      <c r="I498" s="7">
        <f t="shared" si="5"/>
        <v>46380</v>
      </c>
      <c r="J498" s="4" t="s">
        <v>25</v>
      </c>
      <c r="K498" s="4" t="s">
        <v>31</v>
      </c>
      <c r="L498" s="24">
        <f>IF(A498="","",IF(OR(G498="",AND(G498&gt;=Dashboard!$C$18,G498&lt;=Dashboard!$C$19)),1,0))</f>
        <v>1</v>
      </c>
      <c r="M498" s="24">
        <f>IF(AND(L498=1,OR(Dashboard!$C$13="All",A498=Dashboard!$C$13),OR(Dashboard!$C$14="All",B498=Dashboard!$C$14),OR(Dashboard!$C$15="All",C498=Dashboard!$C$15),OR(Dashboard!$C$16="All",K498=Dashboard!$C$16),OR(Dashboard!$C$17="All",J498=Dashboard!$C$17)),1,0)</f>
        <v>1</v>
      </c>
      <c r="N498" s="24">
        <f>IF(AND(L498=1,OR(Dashboard!$C$13="All",A498=Dashboard!$C$13),OR(Dashboard!$C$14="All",B498=Dashboard!$C$14),OR(Dashboard!$C$16="All",K498=Dashboard!$C$16),OR(Dashboard!$C$17="All",J498=Dashboard!$C$17)),1,0)</f>
        <v>1</v>
      </c>
      <c r="O498" s="24">
        <f>IF(AND(L498=1,OR(Dashboard!$C$13="All",A498=Dashboard!$C$13),OR(Dashboard!$C$15="All",C498=Dashboard!$C$15),OR(Dashboard!$C$16="All",K498=Dashboard!$C$16),OR(Dashboard!$C$17="All",J498=Dashboard!$C$17)),1,0)</f>
        <v>1</v>
      </c>
      <c r="P498" s="24">
        <f>IF(AND(L498=1,OR(Dashboard!$C$13="All",A498=Dashboard!$C$13),OR(Dashboard!$C$14="All",B498=Dashboard!$C$14),OR(Dashboard!$C$15="All",C498=Dashboard!$C$15),OR(Dashboard!$C$17="All",J498=Dashboard!$C$17)),1,0)</f>
        <v>1</v>
      </c>
      <c r="Q498" s="24">
        <f>IF(AND(L498=1,OR(Dashboard!$C$14="All",B498=Dashboard!$C$14),OR(Dashboard!$C$15="All",C498=Dashboard!$C$15),OR(Dashboard!$C$16="All",K498=Dashboard!$C$16),OR(Dashboard!$C$17="All",J498=Dashboard!$C$17)),1,0)</f>
        <v>1</v>
      </c>
      <c r="R498" s="24">
        <f>IF(AND(L498=1,OR(Dashboard!$C$13="All",A498=Dashboard!$C$13),OR(Dashboard!$C$14="All",B498=Dashboard!$C$14),OR(Dashboard!$C$15="All",C498=Dashboard!$C$15),OR(Dashboard!$C$16="All",K498=Dashboard!$C$16)),1,0)</f>
        <v>1</v>
      </c>
      <c r="S498" s="24">
        <f t="shared" si="3"/>
        <v>497</v>
      </c>
    </row>
    <row r="499" ht="15.75" customHeight="1">
      <c r="A499" s="10" t="s">
        <v>472</v>
      </c>
      <c r="B499" s="13"/>
      <c r="C499" s="10" t="s">
        <v>129</v>
      </c>
      <c r="D499" s="13">
        <v>2700.0</v>
      </c>
      <c r="E499" s="14">
        <v>5.0</v>
      </c>
      <c r="F499" s="15">
        <f t="shared" si="4"/>
        <v>13500</v>
      </c>
      <c r="G499" s="6">
        <v>46241.0</v>
      </c>
      <c r="H499" s="22">
        <v>18.0</v>
      </c>
      <c r="I499" s="16">
        <f t="shared" si="5"/>
        <v>46367</v>
      </c>
      <c r="J499" s="13" t="s">
        <v>25</v>
      </c>
      <c r="K499" s="13" t="s">
        <v>31</v>
      </c>
      <c r="L499" s="24">
        <f>IF(A499="","",IF(OR(G499="",AND(G499&gt;=Dashboard!$C$18,G499&lt;=Dashboard!$C$19)),1,0))</f>
        <v>1</v>
      </c>
      <c r="M499" s="24">
        <f>IF(AND(L499=1,OR(Dashboard!$C$13="All",A499=Dashboard!$C$13),OR(Dashboard!$C$14="All",B499=Dashboard!$C$14),OR(Dashboard!$C$15="All",C499=Dashboard!$C$15),OR(Dashboard!$C$16="All",K499=Dashboard!$C$16),OR(Dashboard!$C$17="All",J499=Dashboard!$C$17)),1,0)</f>
        <v>1</v>
      </c>
      <c r="N499" s="24">
        <f>IF(AND(L499=1,OR(Dashboard!$C$13="All",A499=Dashboard!$C$13),OR(Dashboard!$C$14="All",B499=Dashboard!$C$14),OR(Dashboard!$C$16="All",K499=Dashboard!$C$16),OR(Dashboard!$C$17="All",J499=Dashboard!$C$17)),1,0)</f>
        <v>1</v>
      </c>
      <c r="O499" s="24">
        <f>IF(AND(L499=1,OR(Dashboard!$C$13="All",A499=Dashboard!$C$13),OR(Dashboard!$C$15="All",C499=Dashboard!$C$15),OR(Dashboard!$C$16="All",K499=Dashboard!$C$16),OR(Dashboard!$C$17="All",J499=Dashboard!$C$17)),1,0)</f>
        <v>1</v>
      </c>
      <c r="P499" s="24">
        <f>IF(AND(L499=1,OR(Dashboard!$C$13="All",A499=Dashboard!$C$13),OR(Dashboard!$C$14="All",B499=Dashboard!$C$14),OR(Dashboard!$C$15="All",C499=Dashboard!$C$15),OR(Dashboard!$C$17="All",J499=Dashboard!$C$17)),1,0)</f>
        <v>1</v>
      </c>
      <c r="Q499" s="24">
        <f>IF(AND(L499=1,OR(Dashboard!$C$14="All",B499=Dashboard!$C$14),OR(Dashboard!$C$15="All",C499=Dashboard!$C$15),OR(Dashboard!$C$16="All",K499=Dashboard!$C$16),OR(Dashboard!$C$17="All",J499=Dashboard!$C$17)),1,0)</f>
        <v>1</v>
      </c>
      <c r="R499" s="24">
        <f>IF(AND(L499=1,OR(Dashboard!$C$13="All",A499=Dashboard!$C$13),OR(Dashboard!$C$14="All",B499=Dashboard!$C$14),OR(Dashboard!$C$15="All",C499=Dashboard!$C$15),OR(Dashboard!$C$16="All",K499=Dashboard!$C$16)),1,0)</f>
        <v>1</v>
      </c>
      <c r="S499" s="24">
        <f t="shared" si="3"/>
        <v>498</v>
      </c>
    </row>
    <row r="500" ht="15.75" customHeight="1">
      <c r="A500" s="3" t="s">
        <v>475</v>
      </c>
      <c r="B500" s="4"/>
      <c r="C500" s="3" t="s">
        <v>538</v>
      </c>
      <c r="D500" s="4">
        <v>6.0</v>
      </c>
      <c r="E500" s="17">
        <v>6.0</v>
      </c>
      <c r="F500" s="5">
        <f t="shared" si="4"/>
        <v>36</v>
      </c>
      <c r="G500" s="6">
        <v>46242.0</v>
      </c>
      <c r="H500" s="22">
        <v>20.0</v>
      </c>
      <c r="I500" s="7">
        <f t="shared" si="5"/>
        <v>46382</v>
      </c>
      <c r="J500" s="4" t="s">
        <v>25</v>
      </c>
      <c r="K500" s="4" t="s">
        <v>31</v>
      </c>
      <c r="L500" s="24">
        <f>IF(A500="","",IF(OR(G500="",AND(G500&gt;=Dashboard!$C$18,G500&lt;=Dashboard!$C$19)),1,0))</f>
        <v>1</v>
      </c>
      <c r="M500" s="24">
        <f>IF(AND(L500=1,OR(Dashboard!$C$13="All",A500=Dashboard!$C$13),OR(Dashboard!$C$14="All",B500=Dashboard!$C$14),OR(Dashboard!$C$15="All",C500=Dashboard!$C$15),OR(Dashboard!$C$16="All",K500=Dashboard!$C$16),OR(Dashboard!$C$17="All",J500=Dashboard!$C$17)),1,0)</f>
        <v>1</v>
      </c>
      <c r="N500" s="24">
        <f>IF(AND(L500=1,OR(Dashboard!$C$13="All",A500=Dashboard!$C$13),OR(Dashboard!$C$14="All",B500=Dashboard!$C$14),OR(Dashboard!$C$16="All",K500=Dashboard!$C$16),OR(Dashboard!$C$17="All",J500=Dashboard!$C$17)),1,0)</f>
        <v>1</v>
      </c>
      <c r="O500" s="24">
        <f>IF(AND(L500=1,OR(Dashboard!$C$13="All",A500=Dashboard!$C$13),OR(Dashboard!$C$15="All",C500=Dashboard!$C$15),OR(Dashboard!$C$16="All",K500=Dashboard!$C$16),OR(Dashboard!$C$17="All",J500=Dashboard!$C$17)),1,0)</f>
        <v>1</v>
      </c>
      <c r="P500" s="24">
        <f>IF(AND(L500=1,OR(Dashboard!$C$13="All",A500=Dashboard!$C$13),OR(Dashboard!$C$14="All",B500=Dashboard!$C$14),OR(Dashboard!$C$15="All",C500=Dashboard!$C$15),OR(Dashboard!$C$17="All",J500=Dashboard!$C$17)),1,0)</f>
        <v>1</v>
      </c>
      <c r="Q500" s="24">
        <f>IF(AND(L500=1,OR(Dashboard!$C$14="All",B500=Dashboard!$C$14),OR(Dashboard!$C$15="All",C500=Dashboard!$C$15),OR(Dashboard!$C$16="All",K500=Dashboard!$C$16),OR(Dashboard!$C$17="All",J500=Dashboard!$C$17)),1,0)</f>
        <v>1</v>
      </c>
      <c r="R500" s="24">
        <f>IF(AND(L500=1,OR(Dashboard!$C$13="All",A500=Dashboard!$C$13),OR(Dashboard!$C$14="All",B500=Dashboard!$C$14),OR(Dashboard!$C$15="All",C500=Dashboard!$C$15),OR(Dashboard!$C$16="All",K500=Dashboard!$C$16)),1,0)</f>
        <v>1</v>
      </c>
      <c r="S500" s="24">
        <f t="shared" si="3"/>
        <v>499</v>
      </c>
    </row>
    <row r="501" ht="15.75" customHeight="1">
      <c r="A501" s="10" t="s">
        <v>475</v>
      </c>
      <c r="B501" s="13"/>
      <c r="C501" s="10" t="s">
        <v>527</v>
      </c>
      <c r="D501" s="13">
        <v>3.0</v>
      </c>
      <c r="E501" s="14">
        <v>7.0</v>
      </c>
      <c r="F501" s="15">
        <f t="shared" si="4"/>
        <v>21</v>
      </c>
      <c r="G501" s="6">
        <v>46243.0</v>
      </c>
      <c r="H501" s="22">
        <v>19.0</v>
      </c>
      <c r="I501" s="16">
        <f t="shared" si="5"/>
        <v>46376</v>
      </c>
      <c r="J501" s="13" t="s">
        <v>25</v>
      </c>
      <c r="K501" s="13" t="s">
        <v>31</v>
      </c>
      <c r="L501" s="24">
        <f>IF(A501="","",IF(OR(G501="",AND(G501&gt;=Dashboard!$C$18,G501&lt;=Dashboard!$C$19)),1,0))</f>
        <v>1</v>
      </c>
      <c r="M501" s="24">
        <f>IF(AND(L501=1,OR(Dashboard!$C$13="All",A501=Dashboard!$C$13),OR(Dashboard!$C$14="All",B501=Dashboard!$C$14),OR(Dashboard!$C$15="All",C501=Dashboard!$C$15),OR(Dashboard!$C$16="All",K501=Dashboard!$C$16),OR(Dashboard!$C$17="All",J501=Dashboard!$C$17)),1,0)</f>
        <v>1</v>
      </c>
      <c r="N501" s="24">
        <f>IF(AND(L501=1,OR(Dashboard!$C$13="All",A501=Dashboard!$C$13),OR(Dashboard!$C$14="All",B501=Dashboard!$C$14),OR(Dashboard!$C$16="All",K501=Dashboard!$C$16),OR(Dashboard!$C$17="All",J501=Dashboard!$C$17)),1,0)</f>
        <v>1</v>
      </c>
      <c r="O501" s="24">
        <f>IF(AND(L501=1,OR(Dashboard!$C$13="All",A501=Dashboard!$C$13),OR(Dashboard!$C$15="All",C501=Dashboard!$C$15),OR(Dashboard!$C$16="All",K501=Dashboard!$C$16),OR(Dashboard!$C$17="All",J501=Dashboard!$C$17)),1,0)</f>
        <v>1</v>
      </c>
      <c r="P501" s="24">
        <f>IF(AND(L501=1,OR(Dashboard!$C$13="All",A501=Dashboard!$C$13),OR(Dashboard!$C$14="All",B501=Dashboard!$C$14),OR(Dashboard!$C$15="All",C501=Dashboard!$C$15),OR(Dashboard!$C$17="All",J501=Dashboard!$C$17)),1,0)</f>
        <v>1</v>
      </c>
      <c r="Q501" s="24">
        <f>IF(AND(L501=1,OR(Dashboard!$C$14="All",B501=Dashboard!$C$14),OR(Dashboard!$C$15="All",C501=Dashboard!$C$15),OR(Dashboard!$C$16="All",K501=Dashboard!$C$16),OR(Dashboard!$C$17="All",J501=Dashboard!$C$17)),1,0)</f>
        <v>1</v>
      </c>
      <c r="R501" s="24">
        <f>IF(AND(L501=1,OR(Dashboard!$C$13="All",A501=Dashboard!$C$13),OR(Dashboard!$C$14="All",B501=Dashboard!$C$14),OR(Dashboard!$C$15="All",C501=Dashboard!$C$15),OR(Dashboard!$C$16="All",K501=Dashboard!$C$16)),1,0)</f>
        <v>1</v>
      </c>
      <c r="S501" s="24">
        <f t="shared" si="3"/>
        <v>500</v>
      </c>
    </row>
    <row r="502" ht="15.75" customHeight="1">
      <c r="A502" s="3" t="s">
        <v>475</v>
      </c>
      <c r="B502" s="4"/>
      <c r="C502" s="3" t="s">
        <v>163</v>
      </c>
      <c r="D502" s="4">
        <v>5000.0</v>
      </c>
      <c r="E502" s="17">
        <v>8.0</v>
      </c>
      <c r="F502" s="5">
        <f t="shared" si="4"/>
        <v>40000</v>
      </c>
      <c r="G502" s="6">
        <v>46244.0</v>
      </c>
      <c r="H502" s="22">
        <v>19.0</v>
      </c>
      <c r="I502" s="7">
        <f t="shared" si="5"/>
        <v>46377</v>
      </c>
      <c r="J502" s="4" t="s">
        <v>25</v>
      </c>
      <c r="K502" s="4" t="s">
        <v>31</v>
      </c>
      <c r="L502" s="24">
        <f>IF(A502="","",IF(OR(G502="",AND(G502&gt;=Dashboard!$C$18,G502&lt;=Dashboard!$C$19)),1,0))</f>
        <v>1</v>
      </c>
      <c r="M502" s="24">
        <f>IF(AND(L502=1,OR(Dashboard!$C$13="All",A502=Dashboard!$C$13),OR(Dashboard!$C$14="All",B502=Dashboard!$C$14),OR(Dashboard!$C$15="All",C502=Dashboard!$C$15),OR(Dashboard!$C$16="All",K502=Dashboard!$C$16),OR(Dashboard!$C$17="All",J502=Dashboard!$C$17)),1,0)</f>
        <v>1</v>
      </c>
      <c r="N502" s="24">
        <f>IF(AND(L502=1,OR(Dashboard!$C$13="All",A502=Dashboard!$C$13),OR(Dashboard!$C$14="All",B502=Dashboard!$C$14),OR(Dashboard!$C$16="All",K502=Dashboard!$C$16),OR(Dashboard!$C$17="All",J502=Dashboard!$C$17)),1,0)</f>
        <v>1</v>
      </c>
      <c r="O502" s="24">
        <f>IF(AND(L502=1,OR(Dashboard!$C$13="All",A502=Dashboard!$C$13),OR(Dashboard!$C$15="All",C502=Dashboard!$C$15),OR(Dashboard!$C$16="All",K502=Dashboard!$C$16),OR(Dashboard!$C$17="All",J502=Dashboard!$C$17)),1,0)</f>
        <v>1</v>
      </c>
      <c r="P502" s="24">
        <f>IF(AND(L502=1,OR(Dashboard!$C$13="All",A502=Dashboard!$C$13),OR(Dashboard!$C$14="All",B502=Dashboard!$C$14),OR(Dashboard!$C$15="All",C502=Dashboard!$C$15),OR(Dashboard!$C$17="All",J502=Dashboard!$C$17)),1,0)</f>
        <v>1</v>
      </c>
      <c r="Q502" s="24">
        <f>IF(AND(L502=1,OR(Dashboard!$C$14="All",B502=Dashboard!$C$14),OR(Dashboard!$C$15="All",C502=Dashboard!$C$15),OR(Dashboard!$C$16="All",K502=Dashboard!$C$16),OR(Dashboard!$C$17="All",J502=Dashboard!$C$17)),1,0)</f>
        <v>1</v>
      </c>
      <c r="R502" s="24">
        <f>IF(AND(L502=1,OR(Dashboard!$C$13="All",A502=Dashboard!$C$13),OR(Dashboard!$C$14="All",B502=Dashboard!$C$14),OR(Dashboard!$C$15="All",C502=Dashboard!$C$15),OR(Dashboard!$C$16="All",K502=Dashboard!$C$16)),1,0)</f>
        <v>1</v>
      </c>
      <c r="S502" s="24">
        <f t="shared" si="3"/>
        <v>501</v>
      </c>
    </row>
    <row r="503" ht="15.75" customHeight="1">
      <c r="A503" s="10" t="s">
        <v>478</v>
      </c>
      <c r="B503" s="13"/>
      <c r="C503" s="10" t="s">
        <v>547</v>
      </c>
      <c r="D503" s="13">
        <v>2.0</v>
      </c>
      <c r="E503" s="14">
        <v>2.0</v>
      </c>
      <c r="F503" s="15">
        <f t="shared" si="4"/>
        <v>4</v>
      </c>
      <c r="G503" s="6">
        <v>46245.0</v>
      </c>
      <c r="H503" s="22">
        <v>20.0</v>
      </c>
      <c r="I503" s="16">
        <f t="shared" si="5"/>
        <v>46385</v>
      </c>
      <c r="J503" s="13" t="s">
        <v>25</v>
      </c>
      <c r="K503" s="13" t="s">
        <v>31</v>
      </c>
      <c r="L503" s="24">
        <f>IF(A503="","",IF(OR(G503="",AND(G503&gt;=Dashboard!$C$18,G503&lt;=Dashboard!$C$19)),1,0))</f>
        <v>1</v>
      </c>
      <c r="M503" s="24">
        <f>IF(AND(L503=1,OR(Dashboard!$C$13="All",A503=Dashboard!$C$13),OR(Dashboard!$C$14="All",B503=Dashboard!$C$14),OR(Dashboard!$C$15="All",C503=Dashboard!$C$15),OR(Dashboard!$C$16="All",K503=Dashboard!$C$16),OR(Dashboard!$C$17="All",J503=Dashboard!$C$17)),1,0)</f>
        <v>1</v>
      </c>
      <c r="N503" s="24">
        <f>IF(AND(L503=1,OR(Dashboard!$C$13="All",A503=Dashboard!$C$13),OR(Dashboard!$C$14="All",B503=Dashboard!$C$14),OR(Dashboard!$C$16="All",K503=Dashboard!$C$16),OR(Dashboard!$C$17="All",J503=Dashboard!$C$17)),1,0)</f>
        <v>1</v>
      </c>
      <c r="O503" s="24">
        <f>IF(AND(L503=1,OR(Dashboard!$C$13="All",A503=Dashboard!$C$13),OR(Dashboard!$C$15="All",C503=Dashboard!$C$15),OR(Dashboard!$C$16="All",K503=Dashboard!$C$16),OR(Dashboard!$C$17="All",J503=Dashboard!$C$17)),1,0)</f>
        <v>1</v>
      </c>
      <c r="P503" s="24">
        <f>IF(AND(L503=1,OR(Dashboard!$C$13="All",A503=Dashboard!$C$13),OR(Dashboard!$C$14="All",B503=Dashboard!$C$14),OR(Dashboard!$C$15="All",C503=Dashboard!$C$15),OR(Dashboard!$C$17="All",J503=Dashboard!$C$17)),1,0)</f>
        <v>1</v>
      </c>
      <c r="Q503" s="24">
        <f>IF(AND(L503=1,OR(Dashboard!$C$14="All",B503=Dashboard!$C$14),OR(Dashboard!$C$15="All",C503=Dashboard!$C$15),OR(Dashboard!$C$16="All",K503=Dashboard!$C$16),OR(Dashboard!$C$17="All",J503=Dashboard!$C$17)),1,0)</f>
        <v>1</v>
      </c>
      <c r="R503" s="24">
        <f>IF(AND(L503=1,OR(Dashboard!$C$13="All",A503=Dashboard!$C$13),OR(Dashboard!$C$14="All",B503=Dashboard!$C$14),OR(Dashboard!$C$15="All",C503=Dashboard!$C$15),OR(Dashboard!$C$16="All",K503=Dashboard!$C$16)),1,0)</f>
        <v>1</v>
      </c>
      <c r="S503" s="24">
        <f t="shared" si="3"/>
        <v>502</v>
      </c>
    </row>
    <row r="504" ht="15.75" customHeight="1">
      <c r="A504" s="3" t="s">
        <v>478</v>
      </c>
      <c r="B504" s="4"/>
      <c r="C504" s="3" t="s">
        <v>196</v>
      </c>
      <c r="D504" s="4">
        <v>1.0</v>
      </c>
      <c r="E504" s="17">
        <v>15.0</v>
      </c>
      <c r="F504" s="5">
        <f t="shared" si="4"/>
        <v>15</v>
      </c>
      <c r="G504" s="6">
        <v>46246.0</v>
      </c>
      <c r="H504" s="22">
        <v>21.0</v>
      </c>
      <c r="I504" s="7">
        <f t="shared" si="5"/>
        <v>46393</v>
      </c>
      <c r="J504" s="4" t="s">
        <v>25</v>
      </c>
      <c r="K504" s="4" t="s">
        <v>31</v>
      </c>
      <c r="L504" s="24">
        <f>IF(A504="","",IF(OR(G504="",AND(G504&gt;=Dashboard!$C$18,G504&lt;=Dashboard!$C$19)),1,0))</f>
        <v>1</v>
      </c>
      <c r="M504" s="24">
        <f>IF(AND(L504=1,OR(Dashboard!$C$13="All",A504=Dashboard!$C$13),OR(Dashboard!$C$14="All",B504=Dashboard!$C$14),OR(Dashboard!$C$15="All",C504=Dashboard!$C$15),OR(Dashboard!$C$16="All",K504=Dashboard!$C$16),OR(Dashboard!$C$17="All",J504=Dashboard!$C$17)),1,0)</f>
        <v>1</v>
      </c>
      <c r="N504" s="24">
        <f>IF(AND(L504=1,OR(Dashboard!$C$13="All",A504=Dashboard!$C$13),OR(Dashboard!$C$14="All",B504=Dashboard!$C$14),OR(Dashboard!$C$16="All",K504=Dashboard!$C$16),OR(Dashboard!$C$17="All",J504=Dashboard!$C$17)),1,0)</f>
        <v>1</v>
      </c>
      <c r="O504" s="24">
        <f>IF(AND(L504=1,OR(Dashboard!$C$13="All",A504=Dashboard!$C$13),OR(Dashboard!$C$15="All",C504=Dashboard!$C$15),OR(Dashboard!$C$16="All",K504=Dashboard!$C$16),OR(Dashboard!$C$17="All",J504=Dashboard!$C$17)),1,0)</f>
        <v>1</v>
      </c>
      <c r="P504" s="24">
        <f>IF(AND(L504=1,OR(Dashboard!$C$13="All",A504=Dashboard!$C$13),OR(Dashboard!$C$14="All",B504=Dashboard!$C$14),OR(Dashboard!$C$15="All",C504=Dashboard!$C$15),OR(Dashboard!$C$17="All",J504=Dashboard!$C$17)),1,0)</f>
        <v>1</v>
      </c>
      <c r="Q504" s="24">
        <f>IF(AND(L504=1,OR(Dashboard!$C$14="All",B504=Dashboard!$C$14),OR(Dashboard!$C$15="All",C504=Dashboard!$C$15),OR(Dashboard!$C$16="All",K504=Dashboard!$C$16),OR(Dashboard!$C$17="All",J504=Dashboard!$C$17)),1,0)</f>
        <v>1</v>
      </c>
      <c r="R504" s="24">
        <f>IF(AND(L504=1,OR(Dashboard!$C$13="All",A504=Dashboard!$C$13),OR(Dashboard!$C$14="All",B504=Dashboard!$C$14),OR(Dashboard!$C$15="All",C504=Dashboard!$C$15),OR(Dashboard!$C$16="All",K504=Dashboard!$C$16)),1,0)</f>
        <v>1</v>
      </c>
      <c r="S504" s="24">
        <f t="shared" si="3"/>
        <v>503</v>
      </c>
    </row>
    <row r="505" ht="15.75" customHeight="1">
      <c r="A505" s="10" t="s">
        <v>478</v>
      </c>
      <c r="B505" s="13"/>
      <c r="C505" s="10" t="s">
        <v>555</v>
      </c>
      <c r="D505" s="13">
        <v>2.0</v>
      </c>
      <c r="E505" s="14">
        <v>45.0</v>
      </c>
      <c r="F505" s="15">
        <f t="shared" si="4"/>
        <v>90</v>
      </c>
      <c r="G505" s="6">
        <v>46247.0</v>
      </c>
      <c r="H505" s="22">
        <v>24.0</v>
      </c>
      <c r="I505" s="16">
        <f t="shared" si="5"/>
        <v>46415</v>
      </c>
      <c r="J505" s="13" t="s">
        <v>25</v>
      </c>
      <c r="K505" s="13" t="s">
        <v>31</v>
      </c>
      <c r="L505" s="24">
        <f>IF(A505="","",IF(OR(G505="",AND(G505&gt;=Dashboard!$C$18,G505&lt;=Dashboard!$C$19)),1,0))</f>
        <v>1</v>
      </c>
      <c r="M505" s="24">
        <f>IF(AND(L505=1,OR(Dashboard!$C$13="All",A505=Dashboard!$C$13),OR(Dashboard!$C$14="All",B505=Dashboard!$C$14),OR(Dashboard!$C$15="All",C505=Dashboard!$C$15),OR(Dashboard!$C$16="All",K505=Dashboard!$C$16),OR(Dashboard!$C$17="All",J505=Dashboard!$C$17)),1,0)</f>
        <v>1</v>
      </c>
      <c r="N505" s="24">
        <f>IF(AND(L505=1,OR(Dashboard!$C$13="All",A505=Dashboard!$C$13),OR(Dashboard!$C$14="All",B505=Dashboard!$C$14),OR(Dashboard!$C$16="All",K505=Dashboard!$C$16),OR(Dashboard!$C$17="All",J505=Dashboard!$C$17)),1,0)</f>
        <v>1</v>
      </c>
      <c r="O505" s="24">
        <f>IF(AND(L505=1,OR(Dashboard!$C$13="All",A505=Dashboard!$C$13),OR(Dashboard!$C$15="All",C505=Dashboard!$C$15),OR(Dashboard!$C$16="All",K505=Dashboard!$C$16),OR(Dashboard!$C$17="All",J505=Dashboard!$C$17)),1,0)</f>
        <v>1</v>
      </c>
      <c r="P505" s="24">
        <f>IF(AND(L505=1,OR(Dashboard!$C$13="All",A505=Dashboard!$C$13),OR(Dashboard!$C$14="All",B505=Dashboard!$C$14),OR(Dashboard!$C$15="All",C505=Dashboard!$C$15),OR(Dashboard!$C$17="All",J505=Dashboard!$C$17)),1,0)</f>
        <v>1</v>
      </c>
      <c r="Q505" s="24">
        <f>IF(AND(L505=1,OR(Dashboard!$C$14="All",B505=Dashboard!$C$14),OR(Dashboard!$C$15="All",C505=Dashboard!$C$15),OR(Dashboard!$C$16="All",K505=Dashboard!$C$16),OR(Dashboard!$C$17="All",J505=Dashboard!$C$17)),1,0)</f>
        <v>1</v>
      </c>
      <c r="R505" s="24">
        <f>IF(AND(L505=1,OR(Dashboard!$C$13="All",A505=Dashboard!$C$13),OR(Dashboard!$C$14="All",B505=Dashboard!$C$14),OR(Dashboard!$C$15="All",C505=Dashboard!$C$15),OR(Dashboard!$C$16="All",K505=Dashboard!$C$16)),1,0)</f>
        <v>1</v>
      </c>
      <c r="S505" s="24">
        <f t="shared" si="3"/>
        <v>504</v>
      </c>
    </row>
    <row r="506" ht="15.75" customHeight="1">
      <c r="A506" s="3" t="s">
        <v>478</v>
      </c>
      <c r="B506" s="4"/>
      <c r="C506" s="3" t="s">
        <v>452</v>
      </c>
      <c r="D506" s="4">
        <v>30.0</v>
      </c>
      <c r="E506" s="17">
        <v>24.0</v>
      </c>
      <c r="F506" s="5">
        <f t="shared" si="4"/>
        <v>720</v>
      </c>
      <c r="G506" s="6">
        <v>46248.0</v>
      </c>
      <c r="H506" s="22">
        <v>24.0</v>
      </c>
      <c r="I506" s="7">
        <f t="shared" si="5"/>
        <v>46416</v>
      </c>
      <c r="J506" s="4" t="s">
        <v>25</v>
      </c>
      <c r="K506" s="4" t="s">
        <v>31</v>
      </c>
      <c r="L506" s="24">
        <f>IF(A506="","",IF(OR(G506="",AND(G506&gt;=Dashboard!$C$18,G506&lt;=Dashboard!$C$19)),1,0))</f>
        <v>1</v>
      </c>
      <c r="M506" s="24">
        <f>IF(AND(L506=1,OR(Dashboard!$C$13="All",A506=Dashboard!$C$13),OR(Dashboard!$C$14="All",B506=Dashboard!$C$14),OR(Dashboard!$C$15="All",C506=Dashboard!$C$15),OR(Dashboard!$C$16="All",K506=Dashboard!$C$16),OR(Dashboard!$C$17="All",J506=Dashboard!$C$17)),1,0)</f>
        <v>1</v>
      </c>
      <c r="N506" s="24">
        <f>IF(AND(L506=1,OR(Dashboard!$C$13="All",A506=Dashboard!$C$13),OR(Dashboard!$C$14="All",B506=Dashboard!$C$14),OR(Dashboard!$C$16="All",K506=Dashboard!$C$16),OR(Dashboard!$C$17="All",J506=Dashboard!$C$17)),1,0)</f>
        <v>1</v>
      </c>
      <c r="O506" s="24">
        <f>IF(AND(L506=1,OR(Dashboard!$C$13="All",A506=Dashboard!$C$13),OR(Dashboard!$C$15="All",C506=Dashboard!$C$15),OR(Dashboard!$C$16="All",K506=Dashboard!$C$16),OR(Dashboard!$C$17="All",J506=Dashboard!$C$17)),1,0)</f>
        <v>1</v>
      </c>
      <c r="P506" s="24">
        <f>IF(AND(L506=1,OR(Dashboard!$C$13="All",A506=Dashboard!$C$13),OR(Dashboard!$C$14="All",B506=Dashboard!$C$14),OR(Dashboard!$C$15="All",C506=Dashboard!$C$15),OR(Dashboard!$C$17="All",J506=Dashboard!$C$17)),1,0)</f>
        <v>1</v>
      </c>
      <c r="Q506" s="24">
        <f>IF(AND(L506=1,OR(Dashboard!$C$14="All",B506=Dashboard!$C$14),OR(Dashboard!$C$15="All",C506=Dashboard!$C$15),OR(Dashboard!$C$16="All",K506=Dashboard!$C$16),OR(Dashboard!$C$17="All",J506=Dashboard!$C$17)),1,0)</f>
        <v>1</v>
      </c>
      <c r="R506" s="24">
        <f>IF(AND(L506=1,OR(Dashboard!$C$13="All",A506=Dashboard!$C$13),OR(Dashboard!$C$14="All",B506=Dashboard!$C$14),OR(Dashboard!$C$15="All",C506=Dashboard!$C$15),OR(Dashboard!$C$16="All",K506=Dashboard!$C$16)),1,0)</f>
        <v>1</v>
      </c>
      <c r="S506" s="24">
        <f t="shared" si="3"/>
        <v>505</v>
      </c>
    </row>
    <row r="507" ht="15.75" customHeight="1">
      <c r="A507" s="10" t="s">
        <v>464</v>
      </c>
      <c r="B507" s="13" t="s">
        <v>112</v>
      </c>
      <c r="C507" s="10" t="s">
        <v>579</v>
      </c>
      <c r="D507" s="13">
        <v>5000.0</v>
      </c>
      <c r="E507" s="14">
        <v>25.0</v>
      </c>
      <c r="F507" s="15">
        <f t="shared" si="4"/>
        <v>125000</v>
      </c>
      <c r="G507" s="6">
        <v>46249.0</v>
      </c>
      <c r="H507" s="22">
        <v>24.0</v>
      </c>
      <c r="I507" s="16">
        <f t="shared" si="5"/>
        <v>46417</v>
      </c>
      <c r="J507" s="13" t="s">
        <v>25</v>
      </c>
      <c r="K507" s="13" t="s">
        <v>31</v>
      </c>
      <c r="L507" s="24">
        <f>IF(A507="","",IF(OR(G507="",AND(G507&gt;=Dashboard!$C$18,G507&lt;=Dashboard!$C$19)),1,0))</f>
        <v>1</v>
      </c>
      <c r="M507" s="24">
        <f>IF(AND(L507=1,OR(Dashboard!$C$13="All",A507=Dashboard!$C$13),OR(Dashboard!$C$14="All",B507=Dashboard!$C$14),OR(Dashboard!$C$15="All",C507=Dashboard!$C$15),OR(Dashboard!$C$16="All",K507=Dashboard!$C$16),OR(Dashboard!$C$17="All",J507=Dashboard!$C$17)),1,0)</f>
        <v>1</v>
      </c>
      <c r="N507" s="24">
        <f>IF(AND(L507=1,OR(Dashboard!$C$13="All",A507=Dashboard!$C$13),OR(Dashboard!$C$14="All",B507=Dashboard!$C$14),OR(Dashboard!$C$16="All",K507=Dashboard!$C$16),OR(Dashboard!$C$17="All",J507=Dashboard!$C$17)),1,0)</f>
        <v>1</v>
      </c>
      <c r="O507" s="24">
        <f>IF(AND(L507=1,OR(Dashboard!$C$13="All",A507=Dashboard!$C$13),OR(Dashboard!$C$15="All",C507=Dashboard!$C$15),OR(Dashboard!$C$16="All",K507=Dashboard!$C$16),OR(Dashboard!$C$17="All",J507=Dashboard!$C$17)),1,0)</f>
        <v>1</v>
      </c>
      <c r="P507" s="24">
        <f>IF(AND(L507=1,OR(Dashboard!$C$13="All",A507=Dashboard!$C$13),OR(Dashboard!$C$14="All",B507=Dashboard!$C$14),OR(Dashboard!$C$15="All",C507=Dashboard!$C$15),OR(Dashboard!$C$17="All",J507=Dashboard!$C$17)),1,0)</f>
        <v>1</v>
      </c>
      <c r="Q507" s="24">
        <f>IF(AND(L507=1,OR(Dashboard!$C$14="All",B507=Dashboard!$C$14),OR(Dashboard!$C$15="All",C507=Dashboard!$C$15),OR(Dashboard!$C$16="All",K507=Dashboard!$C$16),OR(Dashboard!$C$17="All",J507=Dashboard!$C$17)),1,0)</f>
        <v>1</v>
      </c>
      <c r="R507" s="24">
        <f>IF(AND(L507=1,OR(Dashboard!$C$13="All",A507=Dashboard!$C$13),OR(Dashboard!$C$14="All",B507=Dashboard!$C$14),OR(Dashboard!$C$15="All",C507=Dashboard!$C$15),OR(Dashboard!$C$16="All",K507=Dashboard!$C$16)),1,0)</f>
        <v>1</v>
      </c>
      <c r="S507" s="24">
        <f t="shared" si="3"/>
        <v>506</v>
      </c>
    </row>
    <row r="508" ht="15.75" customHeight="1">
      <c r="A508" s="3" t="s">
        <v>480</v>
      </c>
      <c r="B508" s="4"/>
      <c r="C508" s="3" t="s">
        <v>668</v>
      </c>
      <c r="D508" s="4">
        <v>2.0</v>
      </c>
      <c r="E508" s="17">
        <v>36.0</v>
      </c>
      <c r="F508" s="5">
        <f t="shared" si="4"/>
        <v>72</v>
      </c>
      <c r="G508" s="6">
        <v>46250.0</v>
      </c>
      <c r="H508" s="22">
        <v>21.0</v>
      </c>
      <c r="I508" s="7">
        <f t="shared" si="5"/>
        <v>46397</v>
      </c>
      <c r="J508" s="4" t="s">
        <v>25</v>
      </c>
      <c r="K508" s="4" t="s">
        <v>31</v>
      </c>
      <c r="L508" s="24">
        <f>IF(A508="","",IF(OR(G508="",AND(G508&gt;=Dashboard!$C$18,G508&lt;=Dashboard!$C$19)),1,0))</f>
        <v>1</v>
      </c>
      <c r="M508" s="24">
        <f>IF(AND(L508=1,OR(Dashboard!$C$13="All",A508=Dashboard!$C$13),OR(Dashboard!$C$14="All",B508=Dashboard!$C$14),OR(Dashboard!$C$15="All",C508=Dashboard!$C$15),OR(Dashboard!$C$16="All",K508=Dashboard!$C$16),OR(Dashboard!$C$17="All",J508=Dashboard!$C$17)),1,0)</f>
        <v>1</v>
      </c>
      <c r="N508" s="24">
        <f>IF(AND(L508=1,OR(Dashboard!$C$13="All",A508=Dashboard!$C$13),OR(Dashboard!$C$14="All",B508=Dashboard!$C$14),OR(Dashboard!$C$16="All",K508=Dashboard!$C$16),OR(Dashboard!$C$17="All",J508=Dashboard!$C$17)),1,0)</f>
        <v>1</v>
      </c>
      <c r="O508" s="24">
        <f>IF(AND(L508=1,OR(Dashboard!$C$13="All",A508=Dashboard!$C$13),OR(Dashboard!$C$15="All",C508=Dashboard!$C$15),OR(Dashboard!$C$16="All",K508=Dashboard!$C$16),OR(Dashboard!$C$17="All",J508=Dashboard!$C$17)),1,0)</f>
        <v>1</v>
      </c>
      <c r="P508" s="24">
        <f>IF(AND(L508=1,OR(Dashboard!$C$13="All",A508=Dashboard!$C$13),OR(Dashboard!$C$14="All",B508=Dashboard!$C$14),OR(Dashboard!$C$15="All",C508=Dashboard!$C$15),OR(Dashboard!$C$17="All",J508=Dashboard!$C$17)),1,0)</f>
        <v>1</v>
      </c>
      <c r="Q508" s="24">
        <f>IF(AND(L508=1,OR(Dashboard!$C$14="All",B508=Dashboard!$C$14),OR(Dashboard!$C$15="All",C508=Dashboard!$C$15),OR(Dashboard!$C$16="All",K508=Dashboard!$C$16),OR(Dashboard!$C$17="All",J508=Dashboard!$C$17)),1,0)</f>
        <v>1</v>
      </c>
      <c r="R508" s="24">
        <f>IF(AND(L508=1,OR(Dashboard!$C$13="All",A508=Dashboard!$C$13),OR(Dashboard!$C$14="All",B508=Dashboard!$C$14),OR(Dashboard!$C$15="All",C508=Dashboard!$C$15),OR(Dashboard!$C$16="All",K508=Dashboard!$C$16)),1,0)</f>
        <v>1</v>
      </c>
      <c r="S508" s="24">
        <f t="shared" si="3"/>
        <v>507</v>
      </c>
    </row>
    <row r="509" ht="15.75" customHeight="1">
      <c r="A509" s="10" t="s">
        <v>482</v>
      </c>
      <c r="B509" s="13"/>
      <c r="C509" s="10" t="s">
        <v>234</v>
      </c>
      <c r="D509" s="13">
        <v>1.0</v>
      </c>
      <c r="E509" s="14">
        <v>95.0</v>
      </c>
      <c r="F509" s="15">
        <f t="shared" si="4"/>
        <v>95</v>
      </c>
      <c r="G509" s="6">
        <v>46251.0</v>
      </c>
      <c r="H509" s="22">
        <v>20.0</v>
      </c>
      <c r="I509" s="16">
        <f t="shared" si="5"/>
        <v>46391</v>
      </c>
      <c r="J509" s="13" t="s">
        <v>25</v>
      </c>
      <c r="K509" s="13" t="s">
        <v>31</v>
      </c>
      <c r="L509" s="24">
        <f>IF(A509="","",IF(OR(G509="",AND(G509&gt;=Dashboard!$C$18,G509&lt;=Dashboard!$C$19)),1,0))</f>
        <v>1</v>
      </c>
      <c r="M509" s="24">
        <f>IF(AND(L509=1,OR(Dashboard!$C$13="All",A509=Dashboard!$C$13),OR(Dashboard!$C$14="All",B509=Dashboard!$C$14),OR(Dashboard!$C$15="All",C509=Dashboard!$C$15),OR(Dashboard!$C$16="All",K509=Dashboard!$C$16),OR(Dashboard!$C$17="All",J509=Dashboard!$C$17)),1,0)</f>
        <v>1</v>
      </c>
      <c r="N509" s="24">
        <f>IF(AND(L509=1,OR(Dashboard!$C$13="All",A509=Dashboard!$C$13),OR(Dashboard!$C$14="All",B509=Dashboard!$C$14),OR(Dashboard!$C$16="All",K509=Dashboard!$C$16),OR(Dashboard!$C$17="All",J509=Dashboard!$C$17)),1,0)</f>
        <v>1</v>
      </c>
      <c r="O509" s="24">
        <f>IF(AND(L509=1,OR(Dashboard!$C$13="All",A509=Dashboard!$C$13),OR(Dashboard!$C$15="All",C509=Dashboard!$C$15),OR(Dashboard!$C$16="All",K509=Dashboard!$C$16),OR(Dashboard!$C$17="All",J509=Dashboard!$C$17)),1,0)</f>
        <v>1</v>
      </c>
      <c r="P509" s="24">
        <f>IF(AND(L509=1,OR(Dashboard!$C$13="All",A509=Dashboard!$C$13),OR(Dashboard!$C$14="All",B509=Dashboard!$C$14),OR(Dashboard!$C$15="All",C509=Dashboard!$C$15),OR(Dashboard!$C$17="All",J509=Dashboard!$C$17)),1,0)</f>
        <v>1</v>
      </c>
      <c r="Q509" s="24">
        <f>IF(AND(L509=1,OR(Dashboard!$C$14="All",B509=Dashboard!$C$14),OR(Dashboard!$C$15="All",C509=Dashboard!$C$15),OR(Dashboard!$C$16="All",K509=Dashboard!$C$16),OR(Dashboard!$C$17="All",J509=Dashboard!$C$17)),1,0)</f>
        <v>1</v>
      </c>
      <c r="R509" s="24">
        <f>IF(AND(L509=1,OR(Dashboard!$C$13="All",A509=Dashboard!$C$13),OR(Dashboard!$C$14="All",B509=Dashboard!$C$14),OR(Dashboard!$C$15="All",C509=Dashboard!$C$15),OR(Dashboard!$C$16="All",K509=Dashboard!$C$16)),1,0)</f>
        <v>1</v>
      </c>
      <c r="S509" s="24">
        <f t="shared" si="3"/>
        <v>508</v>
      </c>
    </row>
    <row r="510" ht="15.75" customHeight="1">
      <c r="A510" s="3" t="s">
        <v>483</v>
      </c>
      <c r="B510" s="4" t="s">
        <v>103</v>
      </c>
      <c r="C510" s="3" t="s">
        <v>664</v>
      </c>
      <c r="D510" s="4">
        <v>1.0</v>
      </c>
      <c r="E510" s="17">
        <v>574.0</v>
      </c>
      <c r="F510" s="5">
        <f t="shared" si="4"/>
        <v>574</v>
      </c>
      <c r="G510" s="6">
        <v>46252.0</v>
      </c>
      <c r="H510" s="22">
        <v>20.0</v>
      </c>
      <c r="I510" s="7">
        <f t="shared" si="5"/>
        <v>46392</v>
      </c>
      <c r="J510" s="4" t="s">
        <v>25</v>
      </c>
      <c r="K510" s="4" t="s">
        <v>31</v>
      </c>
      <c r="L510" s="24">
        <f>IF(A510="","",IF(OR(G510="",AND(G510&gt;=Dashboard!$C$18,G510&lt;=Dashboard!$C$19)),1,0))</f>
        <v>1</v>
      </c>
      <c r="M510" s="24">
        <f>IF(AND(L510=1,OR(Dashboard!$C$13="All",A510=Dashboard!$C$13),OR(Dashboard!$C$14="All",B510=Dashboard!$C$14),OR(Dashboard!$C$15="All",C510=Dashboard!$C$15),OR(Dashboard!$C$16="All",K510=Dashboard!$C$16),OR(Dashboard!$C$17="All",J510=Dashboard!$C$17)),1,0)</f>
        <v>1</v>
      </c>
      <c r="N510" s="24">
        <f>IF(AND(L510=1,OR(Dashboard!$C$13="All",A510=Dashboard!$C$13),OR(Dashboard!$C$14="All",B510=Dashboard!$C$14),OR(Dashboard!$C$16="All",K510=Dashboard!$C$16),OR(Dashboard!$C$17="All",J510=Dashboard!$C$17)),1,0)</f>
        <v>1</v>
      </c>
      <c r="O510" s="24">
        <f>IF(AND(L510=1,OR(Dashboard!$C$13="All",A510=Dashboard!$C$13),OR(Dashboard!$C$15="All",C510=Dashboard!$C$15),OR(Dashboard!$C$16="All",K510=Dashboard!$C$16),OR(Dashboard!$C$17="All",J510=Dashboard!$C$17)),1,0)</f>
        <v>1</v>
      </c>
      <c r="P510" s="24">
        <f>IF(AND(L510=1,OR(Dashboard!$C$13="All",A510=Dashboard!$C$13),OR(Dashboard!$C$14="All",B510=Dashboard!$C$14),OR(Dashboard!$C$15="All",C510=Dashboard!$C$15),OR(Dashboard!$C$17="All",J510=Dashboard!$C$17)),1,0)</f>
        <v>1</v>
      </c>
      <c r="Q510" s="24">
        <f>IF(AND(L510=1,OR(Dashboard!$C$14="All",B510=Dashboard!$C$14),OR(Dashboard!$C$15="All",C510=Dashboard!$C$15),OR(Dashboard!$C$16="All",K510=Dashboard!$C$16),OR(Dashboard!$C$17="All",J510=Dashboard!$C$17)),1,0)</f>
        <v>1</v>
      </c>
      <c r="R510" s="24">
        <f>IF(AND(L510=1,OR(Dashboard!$C$13="All",A510=Dashboard!$C$13),OR(Dashboard!$C$14="All",B510=Dashboard!$C$14),OR(Dashboard!$C$15="All",C510=Dashboard!$C$15),OR(Dashboard!$C$16="All",K510=Dashboard!$C$16)),1,0)</f>
        <v>1</v>
      </c>
      <c r="S510" s="24">
        <f t="shared" si="3"/>
        <v>509</v>
      </c>
    </row>
    <row r="511" ht="15.75" customHeight="1">
      <c r="A511" s="10" t="s">
        <v>483</v>
      </c>
      <c r="B511" s="13" t="s">
        <v>103</v>
      </c>
      <c r="C511" s="10" t="s">
        <v>665</v>
      </c>
      <c r="D511" s="13">
        <v>2.0</v>
      </c>
      <c r="E511" s="14">
        <v>558.0</v>
      </c>
      <c r="F511" s="15">
        <f t="shared" si="4"/>
        <v>1116</v>
      </c>
      <c r="G511" s="6">
        <v>46253.0</v>
      </c>
      <c r="H511" s="22">
        <v>21.0</v>
      </c>
      <c r="I511" s="16">
        <f t="shared" si="5"/>
        <v>46400</v>
      </c>
      <c r="J511" s="13" t="s">
        <v>25</v>
      </c>
      <c r="K511" s="13" t="s">
        <v>31</v>
      </c>
      <c r="L511" s="24">
        <f>IF(A511="","",IF(OR(G511="",AND(G511&gt;=Dashboard!$C$18,G511&lt;=Dashboard!$C$19)),1,0))</f>
        <v>1</v>
      </c>
      <c r="M511" s="24">
        <f>IF(AND(L511=1,OR(Dashboard!$C$13="All",A511=Dashboard!$C$13),OR(Dashboard!$C$14="All",B511=Dashboard!$C$14),OR(Dashboard!$C$15="All",C511=Dashboard!$C$15),OR(Dashboard!$C$16="All",K511=Dashboard!$C$16),OR(Dashboard!$C$17="All",J511=Dashboard!$C$17)),1,0)</f>
        <v>1</v>
      </c>
      <c r="N511" s="24">
        <f>IF(AND(L511=1,OR(Dashboard!$C$13="All",A511=Dashboard!$C$13),OR(Dashboard!$C$14="All",B511=Dashboard!$C$14),OR(Dashboard!$C$16="All",K511=Dashboard!$C$16),OR(Dashboard!$C$17="All",J511=Dashboard!$C$17)),1,0)</f>
        <v>1</v>
      </c>
      <c r="O511" s="24">
        <f>IF(AND(L511=1,OR(Dashboard!$C$13="All",A511=Dashboard!$C$13),OR(Dashboard!$C$15="All",C511=Dashboard!$C$15),OR(Dashboard!$C$16="All",K511=Dashboard!$C$16),OR(Dashboard!$C$17="All",J511=Dashboard!$C$17)),1,0)</f>
        <v>1</v>
      </c>
      <c r="P511" s="24">
        <f>IF(AND(L511=1,OR(Dashboard!$C$13="All",A511=Dashboard!$C$13),OR(Dashboard!$C$14="All",B511=Dashboard!$C$14),OR(Dashboard!$C$15="All",C511=Dashboard!$C$15),OR(Dashboard!$C$17="All",J511=Dashboard!$C$17)),1,0)</f>
        <v>1</v>
      </c>
      <c r="Q511" s="24">
        <f>IF(AND(L511=1,OR(Dashboard!$C$14="All",B511=Dashboard!$C$14),OR(Dashboard!$C$15="All",C511=Dashboard!$C$15),OR(Dashboard!$C$16="All",K511=Dashboard!$C$16),OR(Dashboard!$C$17="All",J511=Dashboard!$C$17)),1,0)</f>
        <v>1</v>
      </c>
      <c r="R511" s="24">
        <f>IF(AND(L511=1,OR(Dashboard!$C$13="All",A511=Dashboard!$C$13),OR(Dashboard!$C$14="All",B511=Dashboard!$C$14),OR(Dashboard!$C$15="All",C511=Dashboard!$C$15),OR(Dashboard!$C$16="All",K511=Dashboard!$C$16)),1,0)</f>
        <v>1</v>
      </c>
      <c r="S511" s="24">
        <f t="shared" si="3"/>
        <v>510</v>
      </c>
    </row>
    <row r="512" ht="15.75" customHeight="1">
      <c r="A512" s="3" t="s">
        <v>485</v>
      </c>
      <c r="B512" s="4" t="s">
        <v>144</v>
      </c>
      <c r="C512" s="3" t="s">
        <v>662</v>
      </c>
      <c r="D512" s="4">
        <v>121000.0</v>
      </c>
      <c r="E512" s="17">
        <v>2265.0</v>
      </c>
      <c r="F512" s="5">
        <f t="shared" si="4"/>
        <v>274065000</v>
      </c>
      <c r="G512" s="6">
        <v>46254.0</v>
      </c>
      <c r="H512" s="22">
        <v>21.0</v>
      </c>
      <c r="I512" s="7">
        <f t="shared" si="5"/>
        <v>46401</v>
      </c>
      <c r="J512" s="4" t="s">
        <v>25</v>
      </c>
      <c r="K512" s="4" t="s">
        <v>31</v>
      </c>
      <c r="L512" s="24">
        <f>IF(A512="","",IF(OR(G512="",AND(G512&gt;=Dashboard!$C$18,G512&lt;=Dashboard!$C$19)),1,0))</f>
        <v>1</v>
      </c>
      <c r="M512" s="24">
        <f>IF(AND(L512=1,OR(Dashboard!$C$13="All",A512=Dashboard!$C$13),OR(Dashboard!$C$14="All",B512=Dashboard!$C$14),OR(Dashboard!$C$15="All",C512=Dashboard!$C$15),OR(Dashboard!$C$16="All",K512=Dashboard!$C$16),OR(Dashboard!$C$17="All",J512=Dashboard!$C$17)),1,0)</f>
        <v>1</v>
      </c>
      <c r="N512" s="24">
        <f>IF(AND(L512=1,OR(Dashboard!$C$13="All",A512=Dashboard!$C$13),OR(Dashboard!$C$14="All",B512=Dashboard!$C$14),OR(Dashboard!$C$16="All",K512=Dashboard!$C$16),OR(Dashboard!$C$17="All",J512=Dashboard!$C$17)),1,0)</f>
        <v>1</v>
      </c>
      <c r="O512" s="24">
        <f>IF(AND(L512=1,OR(Dashboard!$C$13="All",A512=Dashboard!$C$13),OR(Dashboard!$C$15="All",C512=Dashboard!$C$15),OR(Dashboard!$C$16="All",K512=Dashboard!$C$16),OR(Dashboard!$C$17="All",J512=Dashboard!$C$17)),1,0)</f>
        <v>1</v>
      </c>
      <c r="P512" s="24">
        <f>IF(AND(L512=1,OR(Dashboard!$C$13="All",A512=Dashboard!$C$13),OR(Dashboard!$C$14="All",B512=Dashboard!$C$14),OR(Dashboard!$C$15="All",C512=Dashboard!$C$15),OR(Dashboard!$C$17="All",J512=Dashboard!$C$17)),1,0)</f>
        <v>1</v>
      </c>
      <c r="Q512" s="24">
        <f>IF(AND(L512=1,OR(Dashboard!$C$14="All",B512=Dashboard!$C$14),OR(Dashboard!$C$15="All",C512=Dashboard!$C$15),OR(Dashboard!$C$16="All",K512=Dashboard!$C$16),OR(Dashboard!$C$17="All",J512=Dashboard!$C$17)),1,0)</f>
        <v>1</v>
      </c>
      <c r="R512" s="24">
        <f>IF(AND(L512=1,OR(Dashboard!$C$13="All",A512=Dashboard!$C$13),OR(Dashboard!$C$14="All",B512=Dashboard!$C$14),OR(Dashboard!$C$15="All",C512=Dashboard!$C$15),OR(Dashboard!$C$16="All",K512=Dashboard!$C$16)),1,0)</f>
        <v>1</v>
      </c>
      <c r="S512" s="24">
        <f t="shared" si="3"/>
        <v>511</v>
      </c>
    </row>
    <row r="513" ht="15.75" customHeight="1">
      <c r="A513" s="10" t="s">
        <v>485</v>
      </c>
      <c r="B513" s="13" t="s">
        <v>44</v>
      </c>
      <c r="C513" s="10" t="s">
        <v>568</v>
      </c>
      <c r="D513" s="13">
        <v>9000.0</v>
      </c>
      <c r="E513" s="14">
        <v>45.0</v>
      </c>
      <c r="F513" s="15">
        <f t="shared" si="4"/>
        <v>405000</v>
      </c>
      <c r="G513" s="6">
        <v>46255.0</v>
      </c>
      <c r="H513" s="22">
        <v>14.0</v>
      </c>
      <c r="I513" s="16">
        <f t="shared" si="5"/>
        <v>46353</v>
      </c>
      <c r="J513" s="13" t="s">
        <v>25</v>
      </c>
      <c r="K513" s="13" t="s">
        <v>31</v>
      </c>
      <c r="L513" s="24">
        <f>IF(A513="","",IF(OR(G513="",AND(G513&gt;=Dashboard!$C$18,G513&lt;=Dashboard!$C$19)),1,0))</f>
        <v>1</v>
      </c>
      <c r="M513" s="24">
        <f>IF(AND(L513=1,OR(Dashboard!$C$13="All",A513=Dashboard!$C$13),OR(Dashboard!$C$14="All",B513=Dashboard!$C$14),OR(Dashboard!$C$15="All",C513=Dashboard!$C$15),OR(Dashboard!$C$16="All",K513=Dashboard!$C$16),OR(Dashboard!$C$17="All",J513=Dashboard!$C$17)),1,0)</f>
        <v>1</v>
      </c>
      <c r="N513" s="24">
        <f>IF(AND(L513=1,OR(Dashboard!$C$13="All",A513=Dashboard!$C$13),OR(Dashboard!$C$14="All",B513=Dashboard!$C$14),OR(Dashboard!$C$16="All",K513=Dashboard!$C$16),OR(Dashboard!$C$17="All",J513=Dashboard!$C$17)),1,0)</f>
        <v>1</v>
      </c>
      <c r="O513" s="24">
        <f>IF(AND(L513=1,OR(Dashboard!$C$13="All",A513=Dashboard!$C$13),OR(Dashboard!$C$15="All",C513=Dashboard!$C$15),OR(Dashboard!$C$16="All",K513=Dashboard!$C$16),OR(Dashboard!$C$17="All",J513=Dashboard!$C$17)),1,0)</f>
        <v>1</v>
      </c>
      <c r="P513" s="24">
        <f>IF(AND(L513=1,OR(Dashboard!$C$13="All",A513=Dashboard!$C$13),OR(Dashboard!$C$14="All",B513=Dashboard!$C$14),OR(Dashboard!$C$15="All",C513=Dashboard!$C$15),OR(Dashboard!$C$17="All",J513=Dashboard!$C$17)),1,0)</f>
        <v>1</v>
      </c>
      <c r="Q513" s="24">
        <f>IF(AND(L513=1,OR(Dashboard!$C$14="All",B513=Dashboard!$C$14),OR(Dashboard!$C$15="All",C513=Dashboard!$C$15),OR(Dashboard!$C$16="All",K513=Dashboard!$C$16),OR(Dashboard!$C$17="All",J513=Dashboard!$C$17)),1,0)</f>
        <v>1</v>
      </c>
      <c r="R513" s="24">
        <f>IF(AND(L513=1,OR(Dashboard!$C$13="All",A513=Dashboard!$C$13),OR(Dashboard!$C$14="All",B513=Dashboard!$C$14),OR(Dashboard!$C$15="All",C513=Dashboard!$C$15),OR(Dashboard!$C$16="All",K513=Dashboard!$C$16)),1,0)</f>
        <v>1</v>
      </c>
      <c r="S513" s="24">
        <f t="shared" si="3"/>
        <v>512</v>
      </c>
    </row>
    <row r="514" ht="15.75" customHeight="1">
      <c r="A514" s="3" t="s">
        <v>485</v>
      </c>
      <c r="B514" s="4"/>
      <c r="C514" s="3" t="s">
        <v>460</v>
      </c>
      <c r="D514" s="4">
        <v>1000.0</v>
      </c>
      <c r="E514" s="17">
        <v>5554.0</v>
      </c>
      <c r="F514" s="5">
        <f t="shared" si="4"/>
        <v>5554000</v>
      </c>
      <c r="G514" s="6">
        <v>46256.0</v>
      </c>
      <c r="H514" s="22">
        <v>14.0</v>
      </c>
      <c r="I514" s="7">
        <f t="shared" si="5"/>
        <v>46354</v>
      </c>
      <c r="J514" s="4" t="s">
        <v>25</v>
      </c>
      <c r="K514" s="4" t="s">
        <v>31</v>
      </c>
      <c r="L514" s="24">
        <f>IF(A514="","",IF(OR(G514="",AND(G514&gt;=Dashboard!$C$18,G514&lt;=Dashboard!$C$19)),1,0))</f>
        <v>1</v>
      </c>
      <c r="M514" s="24">
        <f>IF(AND(L514=1,OR(Dashboard!$C$13="All",A514=Dashboard!$C$13),OR(Dashboard!$C$14="All",B514=Dashboard!$C$14),OR(Dashboard!$C$15="All",C514=Dashboard!$C$15),OR(Dashboard!$C$16="All",K514=Dashboard!$C$16),OR(Dashboard!$C$17="All",J514=Dashboard!$C$17)),1,0)</f>
        <v>1</v>
      </c>
      <c r="N514" s="24">
        <f>IF(AND(L514=1,OR(Dashboard!$C$13="All",A514=Dashboard!$C$13),OR(Dashboard!$C$14="All",B514=Dashboard!$C$14),OR(Dashboard!$C$16="All",K514=Dashboard!$C$16),OR(Dashboard!$C$17="All",J514=Dashboard!$C$17)),1,0)</f>
        <v>1</v>
      </c>
      <c r="O514" s="24">
        <f>IF(AND(L514=1,OR(Dashboard!$C$13="All",A514=Dashboard!$C$13),OR(Dashboard!$C$15="All",C514=Dashboard!$C$15),OR(Dashboard!$C$16="All",K514=Dashboard!$C$16),OR(Dashboard!$C$17="All",J514=Dashboard!$C$17)),1,0)</f>
        <v>1</v>
      </c>
      <c r="P514" s="24">
        <f>IF(AND(L514=1,OR(Dashboard!$C$13="All",A514=Dashboard!$C$13),OR(Dashboard!$C$14="All",B514=Dashboard!$C$14),OR(Dashboard!$C$15="All",C514=Dashboard!$C$15),OR(Dashboard!$C$17="All",J514=Dashboard!$C$17)),1,0)</f>
        <v>1</v>
      </c>
      <c r="Q514" s="24">
        <f>IF(AND(L514=1,OR(Dashboard!$C$14="All",B514=Dashboard!$C$14),OR(Dashboard!$C$15="All",C514=Dashboard!$C$15),OR(Dashboard!$C$16="All",K514=Dashboard!$C$16),OR(Dashboard!$C$17="All",J514=Dashboard!$C$17)),1,0)</f>
        <v>1</v>
      </c>
      <c r="R514" s="24">
        <f>IF(AND(L514=1,OR(Dashboard!$C$13="All",A514=Dashboard!$C$13),OR(Dashboard!$C$14="All",B514=Dashboard!$C$14),OR(Dashboard!$C$15="All",C514=Dashboard!$C$15),OR(Dashboard!$C$16="All",K514=Dashboard!$C$16)),1,0)</f>
        <v>1</v>
      </c>
      <c r="S514" s="24">
        <f t="shared" si="3"/>
        <v>513</v>
      </c>
    </row>
    <row r="515" ht="15.75" customHeight="1">
      <c r="A515" s="10" t="s">
        <v>485</v>
      </c>
      <c r="B515" s="13" t="s">
        <v>71</v>
      </c>
      <c r="C515" s="10" t="s">
        <v>481</v>
      </c>
      <c r="D515" s="13">
        <v>3.0</v>
      </c>
      <c r="E515" s="14">
        <v>41.0</v>
      </c>
      <c r="F515" s="15">
        <f t="shared" si="4"/>
        <v>123</v>
      </c>
      <c r="G515" s="6">
        <v>46257.0</v>
      </c>
      <c r="H515" s="22">
        <v>12.0</v>
      </c>
      <c r="I515" s="16">
        <f t="shared" si="5"/>
        <v>46341</v>
      </c>
      <c r="J515" s="13" t="s">
        <v>25</v>
      </c>
      <c r="K515" s="13" t="s">
        <v>31</v>
      </c>
      <c r="L515" s="24">
        <f>IF(A515="","",IF(OR(G515="",AND(G515&gt;=Dashboard!$C$18,G515&lt;=Dashboard!$C$19)),1,0))</f>
        <v>1</v>
      </c>
      <c r="M515" s="24">
        <f>IF(AND(L515=1,OR(Dashboard!$C$13="All",A515=Dashboard!$C$13),OR(Dashboard!$C$14="All",B515=Dashboard!$C$14),OR(Dashboard!$C$15="All",C515=Dashboard!$C$15),OR(Dashboard!$C$16="All",K515=Dashboard!$C$16),OR(Dashboard!$C$17="All",J515=Dashboard!$C$17)),1,0)</f>
        <v>1</v>
      </c>
      <c r="N515" s="24">
        <f>IF(AND(L515=1,OR(Dashboard!$C$13="All",A515=Dashboard!$C$13),OR(Dashboard!$C$14="All",B515=Dashboard!$C$14),OR(Dashboard!$C$16="All",K515=Dashboard!$C$16),OR(Dashboard!$C$17="All",J515=Dashboard!$C$17)),1,0)</f>
        <v>1</v>
      </c>
      <c r="O515" s="24">
        <f>IF(AND(L515=1,OR(Dashboard!$C$13="All",A515=Dashboard!$C$13),OR(Dashboard!$C$15="All",C515=Dashboard!$C$15),OR(Dashboard!$C$16="All",K515=Dashboard!$C$16),OR(Dashboard!$C$17="All",J515=Dashboard!$C$17)),1,0)</f>
        <v>1</v>
      </c>
      <c r="P515" s="24">
        <f>IF(AND(L515=1,OR(Dashboard!$C$13="All",A515=Dashboard!$C$13),OR(Dashboard!$C$14="All",B515=Dashboard!$C$14),OR(Dashboard!$C$15="All",C515=Dashboard!$C$15),OR(Dashboard!$C$17="All",J515=Dashboard!$C$17)),1,0)</f>
        <v>1</v>
      </c>
      <c r="Q515" s="24">
        <f>IF(AND(L515=1,OR(Dashboard!$C$14="All",B515=Dashboard!$C$14),OR(Dashboard!$C$15="All",C515=Dashboard!$C$15),OR(Dashboard!$C$16="All",K515=Dashboard!$C$16),OR(Dashboard!$C$17="All",J515=Dashboard!$C$17)),1,0)</f>
        <v>1</v>
      </c>
      <c r="R515" s="24">
        <f>IF(AND(L515=1,OR(Dashboard!$C$13="All",A515=Dashboard!$C$13),OR(Dashboard!$C$14="All",B515=Dashboard!$C$14),OR(Dashboard!$C$15="All",C515=Dashboard!$C$15),OR(Dashboard!$C$16="All",K515=Dashboard!$C$16)),1,0)</f>
        <v>1</v>
      </c>
      <c r="S515" s="24">
        <f t="shared" si="3"/>
        <v>514</v>
      </c>
    </row>
    <row r="516" ht="15.75" customHeight="1">
      <c r="A516" s="3" t="s">
        <v>485</v>
      </c>
      <c r="B516" s="4"/>
      <c r="C516" s="3" t="s">
        <v>530</v>
      </c>
      <c r="D516" s="4">
        <v>3.0</v>
      </c>
      <c r="E516" s="17">
        <v>231.0</v>
      </c>
      <c r="F516" s="5">
        <f t="shared" si="4"/>
        <v>693</v>
      </c>
      <c r="G516" s="6">
        <v>46258.0</v>
      </c>
      <c r="H516" s="22">
        <v>11.0</v>
      </c>
      <c r="I516" s="7">
        <f t="shared" si="5"/>
        <v>46335</v>
      </c>
      <c r="J516" s="4" t="s">
        <v>25</v>
      </c>
      <c r="K516" s="4" t="s">
        <v>31</v>
      </c>
      <c r="L516" s="24">
        <f>IF(A516="","",IF(OR(G516="",AND(G516&gt;=Dashboard!$C$18,G516&lt;=Dashboard!$C$19)),1,0))</f>
        <v>1</v>
      </c>
      <c r="M516" s="24">
        <f>IF(AND(L516=1,OR(Dashboard!$C$13="All",A516=Dashboard!$C$13),OR(Dashboard!$C$14="All",B516=Dashboard!$C$14),OR(Dashboard!$C$15="All",C516=Dashboard!$C$15),OR(Dashboard!$C$16="All",K516=Dashboard!$C$16),OR(Dashboard!$C$17="All",J516=Dashboard!$C$17)),1,0)</f>
        <v>1</v>
      </c>
      <c r="N516" s="24">
        <f>IF(AND(L516=1,OR(Dashboard!$C$13="All",A516=Dashboard!$C$13),OR(Dashboard!$C$14="All",B516=Dashboard!$C$14),OR(Dashboard!$C$16="All",K516=Dashboard!$C$16),OR(Dashboard!$C$17="All",J516=Dashboard!$C$17)),1,0)</f>
        <v>1</v>
      </c>
      <c r="O516" s="24">
        <f>IF(AND(L516=1,OR(Dashboard!$C$13="All",A516=Dashboard!$C$13),OR(Dashboard!$C$15="All",C516=Dashboard!$C$15),OR(Dashboard!$C$16="All",K516=Dashboard!$C$16),OR(Dashboard!$C$17="All",J516=Dashboard!$C$17)),1,0)</f>
        <v>1</v>
      </c>
      <c r="P516" s="24">
        <f>IF(AND(L516=1,OR(Dashboard!$C$13="All",A516=Dashboard!$C$13),OR(Dashboard!$C$14="All",B516=Dashboard!$C$14),OR(Dashboard!$C$15="All",C516=Dashboard!$C$15),OR(Dashboard!$C$17="All",J516=Dashboard!$C$17)),1,0)</f>
        <v>1</v>
      </c>
      <c r="Q516" s="24">
        <f>IF(AND(L516=1,OR(Dashboard!$C$14="All",B516=Dashboard!$C$14),OR(Dashboard!$C$15="All",C516=Dashboard!$C$15),OR(Dashboard!$C$16="All",K516=Dashboard!$C$16),OR(Dashboard!$C$17="All",J516=Dashboard!$C$17)),1,0)</f>
        <v>1</v>
      </c>
      <c r="R516" s="24">
        <f>IF(AND(L516=1,OR(Dashboard!$C$13="All",A516=Dashboard!$C$13),OR(Dashboard!$C$14="All",B516=Dashboard!$C$14),OR(Dashboard!$C$15="All",C516=Dashboard!$C$15),OR(Dashboard!$C$16="All",K516=Dashboard!$C$16)),1,0)</f>
        <v>1</v>
      </c>
      <c r="S516" s="24">
        <f t="shared" si="3"/>
        <v>515</v>
      </c>
    </row>
    <row r="517" ht="15.75" customHeight="1">
      <c r="A517" s="10" t="s">
        <v>485</v>
      </c>
      <c r="B517" s="13" t="s">
        <v>39</v>
      </c>
      <c r="C517" s="10" t="s">
        <v>239</v>
      </c>
      <c r="D517" s="13">
        <v>3.0</v>
      </c>
      <c r="E517" s="14">
        <v>25.0</v>
      </c>
      <c r="F517" s="15">
        <f t="shared" si="4"/>
        <v>75</v>
      </c>
      <c r="G517" s="6">
        <v>46259.0</v>
      </c>
      <c r="H517" s="22">
        <v>15.0</v>
      </c>
      <c r="I517" s="16">
        <f t="shared" si="5"/>
        <v>46364</v>
      </c>
      <c r="J517" s="13" t="s">
        <v>25</v>
      </c>
      <c r="K517" s="13" t="s">
        <v>31</v>
      </c>
      <c r="L517" s="24">
        <f>IF(A517="","",IF(OR(G517="",AND(G517&gt;=Dashboard!$C$18,G517&lt;=Dashboard!$C$19)),1,0))</f>
        <v>1</v>
      </c>
      <c r="M517" s="24">
        <f>IF(AND(L517=1,OR(Dashboard!$C$13="All",A517=Dashboard!$C$13),OR(Dashboard!$C$14="All",B517=Dashboard!$C$14),OR(Dashboard!$C$15="All",C517=Dashboard!$C$15),OR(Dashboard!$C$16="All",K517=Dashboard!$C$16),OR(Dashboard!$C$17="All",J517=Dashboard!$C$17)),1,0)</f>
        <v>1</v>
      </c>
      <c r="N517" s="24">
        <f>IF(AND(L517=1,OR(Dashboard!$C$13="All",A517=Dashboard!$C$13),OR(Dashboard!$C$14="All",B517=Dashboard!$C$14),OR(Dashboard!$C$16="All",K517=Dashboard!$C$16),OR(Dashboard!$C$17="All",J517=Dashboard!$C$17)),1,0)</f>
        <v>1</v>
      </c>
      <c r="O517" s="24">
        <f>IF(AND(L517=1,OR(Dashboard!$C$13="All",A517=Dashboard!$C$13),OR(Dashboard!$C$15="All",C517=Dashboard!$C$15),OR(Dashboard!$C$16="All",K517=Dashboard!$C$16),OR(Dashboard!$C$17="All",J517=Dashboard!$C$17)),1,0)</f>
        <v>1</v>
      </c>
      <c r="P517" s="24">
        <f>IF(AND(L517=1,OR(Dashboard!$C$13="All",A517=Dashboard!$C$13),OR(Dashboard!$C$14="All",B517=Dashboard!$C$14),OR(Dashboard!$C$15="All",C517=Dashboard!$C$15),OR(Dashboard!$C$17="All",J517=Dashboard!$C$17)),1,0)</f>
        <v>1</v>
      </c>
      <c r="Q517" s="24">
        <f>IF(AND(L517=1,OR(Dashboard!$C$14="All",B517=Dashboard!$C$14),OR(Dashboard!$C$15="All",C517=Dashboard!$C$15),OR(Dashboard!$C$16="All",K517=Dashboard!$C$16),OR(Dashboard!$C$17="All",J517=Dashboard!$C$17)),1,0)</f>
        <v>1</v>
      </c>
      <c r="R517" s="24">
        <f>IF(AND(L517=1,OR(Dashboard!$C$13="All",A517=Dashboard!$C$13),OR(Dashboard!$C$14="All",B517=Dashboard!$C$14),OR(Dashboard!$C$15="All",C517=Dashboard!$C$15),OR(Dashboard!$C$16="All",K517=Dashboard!$C$16)),1,0)</f>
        <v>1</v>
      </c>
      <c r="S517" s="24">
        <f t="shared" si="3"/>
        <v>516</v>
      </c>
    </row>
    <row r="518" ht="15.75" customHeight="1">
      <c r="A518" s="3" t="s">
        <v>485</v>
      </c>
      <c r="B518" s="4" t="s">
        <v>155</v>
      </c>
      <c r="C518" s="3" t="s">
        <v>432</v>
      </c>
      <c r="D518" s="4">
        <v>1.0</v>
      </c>
      <c r="E518" s="17">
        <v>245.0</v>
      </c>
      <c r="F518" s="5">
        <f t="shared" si="4"/>
        <v>245</v>
      </c>
      <c r="G518" s="6">
        <v>46260.0</v>
      </c>
      <c r="H518" s="22">
        <v>12.0</v>
      </c>
      <c r="I518" s="7">
        <f t="shared" si="5"/>
        <v>46344</v>
      </c>
      <c r="J518" s="4" t="s">
        <v>25</v>
      </c>
      <c r="K518" s="4" t="s">
        <v>31</v>
      </c>
      <c r="L518" s="24">
        <f>IF(A518="","",IF(OR(G518="",AND(G518&gt;=Dashboard!$C$18,G518&lt;=Dashboard!$C$19)),1,0))</f>
        <v>1</v>
      </c>
      <c r="M518" s="24">
        <f>IF(AND(L518=1,OR(Dashboard!$C$13="All",A518=Dashboard!$C$13),OR(Dashboard!$C$14="All",B518=Dashboard!$C$14),OR(Dashboard!$C$15="All",C518=Dashboard!$C$15),OR(Dashboard!$C$16="All",K518=Dashboard!$C$16),OR(Dashboard!$C$17="All",J518=Dashboard!$C$17)),1,0)</f>
        <v>1</v>
      </c>
      <c r="N518" s="24">
        <f>IF(AND(L518=1,OR(Dashboard!$C$13="All",A518=Dashboard!$C$13),OR(Dashboard!$C$14="All",B518=Dashboard!$C$14),OR(Dashboard!$C$16="All",K518=Dashboard!$C$16),OR(Dashboard!$C$17="All",J518=Dashboard!$C$17)),1,0)</f>
        <v>1</v>
      </c>
      <c r="O518" s="24">
        <f>IF(AND(L518=1,OR(Dashboard!$C$13="All",A518=Dashboard!$C$13),OR(Dashboard!$C$15="All",C518=Dashboard!$C$15),OR(Dashboard!$C$16="All",K518=Dashboard!$C$16),OR(Dashboard!$C$17="All",J518=Dashboard!$C$17)),1,0)</f>
        <v>1</v>
      </c>
      <c r="P518" s="24">
        <f>IF(AND(L518=1,OR(Dashboard!$C$13="All",A518=Dashboard!$C$13),OR(Dashboard!$C$14="All",B518=Dashboard!$C$14),OR(Dashboard!$C$15="All",C518=Dashboard!$C$15),OR(Dashboard!$C$17="All",J518=Dashboard!$C$17)),1,0)</f>
        <v>1</v>
      </c>
      <c r="Q518" s="24">
        <f>IF(AND(L518=1,OR(Dashboard!$C$14="All",B518=Dashboard!$C$14),OR(Dashboard!$C$15="All",C518=Dashboard!$C$15),OR(Dashboard!$C$16="All",K518=Dashboard!$C$16),OR(Dashboard!$C$17="All",J518=Dashboard!$C$17)),1,0)</f>
        <v>1</v>
      </c>
      <c r="R518" s="24">
        <f>IF(AND(L518=1,OR(Dashboard!$C$13="All",A518=Dashboard!$C$13),OR(Dashboard!$C$14="All",B518=Dashboard!$C$14),OR(Dashboard!$C$15="All",C518=Dashboard!$C$15),OR(Dashboard!$C$16="All",K518=Dashboard!$C$16)),1,0)</f>
        <v>1</v>
      </c>
      <c r="S518" s="24">
        <f t="shared" si="3"/>
        <v>517</v>
      </c>
    </row>
    <row r="519" ht="15.75" customHeight="1">
      <c r="A519" s="10" t="s">
        <v>485</v>
      </c>
      <c r="B519" s="13" t="s">
        <v>117</v>
      </c>
      <c r="C519" s="10" t="s">
        <v>641</v>
      </c>
      <c r="D519" s="13">
        <v>6.0</v>
      </c>
      <c r="E519" s="14">
        <v>2555.0</v>
      </c>
      <c r="F519" s="15">
        <f t="shared" si="4"/>
        <v>15330</v>
      </c>
      <c r="G519" s="6">
        <v>46261.0</v>
      </c>
      <c r="H519" s="22">
        <v>13.0</v>
      </c>
      <c r="I519" s="16">
        <f t="shared" si="5"/>
        <v>46352</v>
      </c>
      <c r="J519" s="13" t="s">
        <v>25</v>
      </c>
      <c r="K519" s="13" t="s">
        <v>31</v>
      </c>
      <c r="L519" s="24">
        <f>IF(A519="","",IF(OR(G519="",AND(G519&gt;=Dashboard!$C$18,G519&lt;=Dashboard!$C$19)),1,0))</f>
        <v>1</v>
      </c>
      <c r="M519" s="24">
        <f>IF(AND(L519=1,OR(Dashboard!$C$13="All",A519=Dashboard!$C$13),OR(Dashboard!$C$14="All",B519=Dashboard!$C$14),OR(Dashboard!$C$15="All",C519=Dashboard!$C$15),OR(Dashboard!$C$16="All",K519=Dashboard!$C$16),OR(Dashboard!$C$17="All",J519=Dashboard!$C$17)),1,0)</f>
        <v>1</v>
      </c>
      <c r="N519" s="24">
        <f>IF(AND(L519=1,OR(Dashboard!$C$13="All",A519=Dashboard!$C$13),OR(Dashboard!$C$14="All",B519=Dashboard!$C$14),OR(Dashboard!$C$16="All",K519=Dashboard!$C$16),OR(Dashboard!$C$17="All",J519=Dashboard!$C$17)),1,0)</f>
        <v>1</v>
      </c>
      <c r="O519" s="24">
        <f>IF(AND(L519=1,OR(Dashboard!$C$13="All",A519=Dashboard!$C$13),OR(Dashboard!$C$15="All",C519=Dashboard!$C$15),OR(Dashboard!$C$16="All",K519=Dashboard!$C$16),OR(Dashboard!$C$17="All",J519=Dashboard!$C$17)),1,0)</f>
        <v>1</v>
      </c>
      <c r="P519" s="24">
        <f>IF(AND(L519=1,OR(Dashboard!$C$13="All",A519=Dashboard!$C$13),OR(Dashboard!$C$14="All",B519=Dashboard!$C$14),OR(Dashboard!$C$15="All",C519=Dashboard!$C$15),OR(Dashboard!$C$17="All",J519=Dashboard!$C$17)),1,0)</f>
        <v>1</v>
      </c>
      <c r="Q519" s="24">
        <f>IF(AND(L519=1,OR(Dashboard!$C$14="All",B519=Dashboard!$C$14),OR(Dashboard!$C$15="All",C519=Dashboard!$C$15),OR(Dashboard!$C$16="All",K519=Dashboard!$C$16),OR(Dashboard!$C$17="All",J519=Dashboard!$C$17)),1,0)</f>
        <v>1</v>
      </c>
      <c r="R519" s="24">
        <f>IF(AND(L519=1,OR(Dashboard!$C$13="All",A519=Dashboard!$C$13),OR(Dashboard!$C$14="All",B519=Dashboard!$C$14),OR(Dashboard!$C$15="All",C519=Dashboard!$C$15),OR(Dashboard!$C$16="All",K519=Dashboard!$C$16)),1,0)</f>
        <v>1</v>
      </c>
      <c r="S519" s="24">
        <f t="shared" si="3"/>
        <v>518</v>
      </c>
    </row>
    <row r="520" ht="15.75" customHeight="1">
      <c r="A520" s="3" t="s">
        <v>485</v>
      </c>
      <c r="B520" s="4" t="s">
        <v>71</v>
      </c>
      <c r="C520" s="3" t="s">
        <v>479</v>
      </c>
      <c r="D520" s="4">
        <v>10.0</v>
      </c>
      <c r="E520" s="17">
        <v>255.0</v>
      </c>
      <c r="F520" s="5">
        <f t="shared" si="4"/>
        <v>2550</v>
      </c>
      <c r="G520" s="6">
        <v>46262.0</v>
      </c>
      <c r="H520" s="22">
        <v>11.0</v>
      </c>
      <c r="I520" s="7">
        <f t="shared" si="5"/>
        <v>46339</v>
      </c>
      <c r="J520" s="4" t="s">
        <v>25</v>
      </c>
      <c r="K520" s="4" t="s">
        <v>31</v>
      </c>
      <c r="L520" s="24">
        <f>IF(A520="","",IF(OR(G520="",AND(G520&gt;=Dashboard!$C$18,G520&lt;=Dashboard!$C$19)),1,0))</f>
        <v>1</v>
      </c>
      <c r="M520" s="24">
        <f>IF(AND(L520=1,OR(Dashboard!$C$13="All",A520=Dashboard!$C$13),OR(Dashboard!$C$14="All",B520=Dashboard!$C$14),OR(Dashboard!$C$15="All",C520=Dashboard!$C$15),OR(Dashboard!$C$16="All",K520=Dashboard!$C$16),OR(Dashboard!$C$17="All",J520=Dashboard!$C$17)),1,0)</f>
        <v>1</v>
      </c>
      <c r="N520" s="24">
        <f>IF(AND(L520=1,OR(Dashboard!$C$13="All",A520=Dashboard!$C$13),OR(Dashboard!$C$14="All",B520=Dashboard!$C$14),OR(Dashboard!$C$16="All",K520=Dashboard!$C$16),OR(Dashboard!$C$17="All",J520=Dashboard!$C$17)),1,0)</f>
        <v>1</v>
      </c>
      <c r="O520" s="24">
        <f>IF(AND(L520=1,OR(Dashboard!$C$13="All",A520=Dashboard!$C$13),OR(Dashboard!$C$15="All",C520=Dashboard!$C$15),OR(Dashboard!$C$16="All",K520=Dashboard!$C$16),OR(Dashboard!$C$17="All",J520=Dashboard!$C$17)),1,0)</f>
        <v>1</v>
      </c>
      <c r="P520" s="24">
        <f>IF(AND(L520=1,OR(Dashboard!$C$13="All",A520=Dashboard!$C$13),OR(Dashboard!$C$14="All",B520=Dashboard!$C$14),OR(Dashboard!$C$15="All",C520=Dashboard!$C$15),OR(Dashboard!$C$17="All",J520=Dashboard!$C$17)),1,0)</f>
        <v>1</v>
      </c>
      <c r="Q520" s="24">
        <f>IF(AND(L520=1,OR(Dashboard!$C$14="All",B520=Dashboard!$C$14),OR(Dashboard!$C$15="All",C520=Dashboard!$C$15),OR(Dashboard!$C$16="All",K520=Dashboard!$C$16),OR(Dashboard!$C$17="All",J520=Dashboard!$C$17)),1,0)</f>
        <v>1</v>
      </c>
      <c r="R520" s="24">
        <f>IF(AND(L520=1,OR(Dashboard!$C$13="All",A520=Dashboard!$C$13),OR(Dashboard!$C$14="All",B520=Dashboard!$C$14),OR(Dashboard!$C$15="All",C520=Dashboard!$C$15),OR(Dashboard!$C$16="All",K520=Dashboard!$C$16)),1,0)</f>
        <v>1</v>
      </c>
      <c r="S520" s="24">
        <f t="shared" si="3"/>
        <v>519</v>
      </c>
    </row>
    <row r="521" ht="15.75" customHeight="1">
      <c r="A521" s="10" t="s">
        <v>486</v>
      </c>
      <c r="B521" s="13" t="s">
        <v>106</v>
      </c>
      <c r="C521" s="10" t="s">
        <v>375</v>
      </c>
      <c r="D521" s="13">
        <v>800.0</v>
      </c>
      <c r="E521" s="14">
        <v>45.0</v>
      </c>
      <c r="F521" s="15">
        <f t="shared" si="4"/>
        <v>36000</v>
      </c>
      <c r="G521" s="6">
        <v>46263.0</v>
      </c>
      <c r="H521" s="22">
        <v>11.0</v>
      </c>
      <c r="I521" s="16">
        <f t="shared" si="5"/>
        <v>46340</v>
      </c>
      <c r="J521" s="13" t="s">
        <v>25</v>
      </c>
      <c r="K521" s="13" t="s">
        <v>31</v>
      </c>
      <c r="L521" s="24">
        <f>IF(A521="","",IF(OR(G521="",AND(G521&gt;=Dashboard!$C$18,G521&lt;=Dashboard!$C$19)),1,0))</f>
        <v>1</v>
      </c>
      <c r="M521" s="24">
        <f>IF(AND(L521=1,OR(Dashboard!$C$13="All",A521=Dashboard!$C$13),OR(Dashboard!$C$14="All",B521=Dashboard!$C$14),OR(Dashboard!$C$15="All",C521=Dashboard!$C$15),OR(Dashboard!$C$16="All",K521=Dashboard!$C$16),OR(Dashboard!$C$17="All",J521=Dashboard!$C$17)),1,0)</f>
        <v>1</v>
      </c>
      <c r="N521" s="24">
        <f>IF(AND(L521=1,OR(Dashboard!$C$13="All",A521=Dashboard!$C$13),OR(Dashboard!$C$14="All",B521=Dashboard!$C$14),OR(Dashboard!$C$16="All",K521=Dashboard!$C$16),OR(Dashboard!$C$17="All",J521=Dashboard!$C$17)),1,0)</f>
        <v>1</v>
      </c>
      <c r="O521" s="24">
        <f>IF(AND(L521=1,OR(Dashboard!$C$13="All",A521=Dashboard!$C$13),OR(Dashboard!$C$15="All",C521=Dashboard!$C$15),OR(Dashboard!$C$16="All",K521=Dashboard!$C$16),OR(Dashboard!$C$17="All",J521=Dashboard!$C$17)),1,0)</f>
        <v>1</v>
      </c>
      <c r="P521" s="24">
        <f>IF(AND(L521=1,OR(Dashboard!$C$13="All",A521=Dashboard!$C$13),OR(Dashboard!$C$14="All",B521=Dashboard!$C$14),OR(Dashboard!$C$15="All",C521=Dashboard!$C$15),OR(Dashboard!$C$17="All",J521=Dashboard!$C$17)),1,0)</f>
        <v>1</v>
      </c>
      <c r="Q521" s="24">
        <f>IF(AND(L521=1,OR(Dashboard!$C$14="All",B521=Dashboard!$C$14),OR(Dashboard!$C$15="All",C521=Dashboard!$C$15),OR(Dashboard!$C$16="All",K521=Dashboard!$C$16),OR(Dashboard!$C$17="All",J521=Dashboard!$C$17)),1,0)</f>
        <v>1</v>
      </c>
      <c r="R521" s="24">
        <f>IF(AND(L521=1,OR(Dashboard!$C$13="All",A521=Dashboard!$C$13),OR(Dashboard!$C$14="All",B521=Dashboard!$C$14),OR(Dashboard!$C$15="All",C521=Dashboard!$C$15),OR(Dashboard!$C$16="All",K521=Dashboard!$C$16)),1,0)</f>
        <v>1</v>
      </c>
      <c r="S521" s="24">
        <f t="shared" si="3"/>
        <v>520</v>
      </c>
    </row>
    <row r="522" ht="15.75" customHeight="1">
      <c r="A522" s="3" t="s">
        <v>487</v>
      </c>
      <c r="B522" s="4"/>
      <c r="C522" s="3" t="s">
        <v>503</v>
      </c>
      <c r="D522" s="4">
        <v>1.0</v>
      </c>
      <c r="E522" s="17">
        <v>36.0</v>
      </c>
      <c r="F522" s="5">
        <f t="shared" si="4"/>
        <v>36</v>
      </c>
      <c r="G522" s="6">
        <v>46264.0</v>
      </c>
      <c r="H522" s="22">
        <v>12.0</v>
      </c>
      <c r="I522" s="7">
        <f t="shared" si="5"/>
        <v>46348</v>
      </c>
      <c r="J522" s="4" t="s">
        <v>25</v>
      </c>
      <c r="K522" s="4" t="s">
        <v>31</v>
      </c>
      <c r="L522" s="24">
        <f>IF(A522="","",IF(OR(G522="",AND(G522&gt;=Dashboard!$C$18,G522&lt;=Dashboard!$C$19)),1,0))</f>
        <v>1</v>
      </c>
      <c r="M522" s="24">
        <f>IF(AND(L522=1,OR(Dashboard!$C$13="All",A522=Dashboard!$C$13),OR(Dashboard!$C$14="All",B522=Dashboard!$C$14),OR(Dashboard!$C$15="All",C522=Dashboard!$C$15),OR(Dashboard!$C$16="All",K522=Dashboard!$C$16),OR(Dashboard!$C$17="All",J522=Dashboard!$C$17)),1,0)</f>
        <v>1</v>
      </c>
      <c r="N522" s="24">
        <f>IF(AND(L522=1,OR(Dashboard!$C$13="All",A522=Dashboard!$C$13),OR(Dashboard!$C$14="All",B522=Dashboard!$C$14),OR(Dashboard!$C$16="All",K522=Dashboard!$C$16),OR(Dashboard!$C$17="All",J522=Dashboard!$C$17)),1,0)</f>
        <v>1</v>
      </c>
      <c r="O522" s="24">
        <f>IF(AND(L522=1,OR(Dashboard!$C$13="All",A522=Dashboard!$C$13),OR(Dashboard!$C$15="All",C522=Dashboard!$C$15),OR(Dashboard!$C$16="All",K522=Dashboard!$C$16),OR(Dashboard!$C$17="All",J522=Dashboard!$C$17)),1,0)</f>
        <v>1</v>
      </c>
      <c r="P522" s="24">
        <f>IF(AND(L522=1,OR(Dashboard!$C$13="All",A522=Dashboard!$C$13),OR(Dashboard!$C$14="All",B522=Dashboard!$C$14),OR(Dashboard!$C$15="All",C522=Dashboard!$C$15),OR(Dashboard!$C$17="All",J522=Dashboard!$C$17)),1,0)</f>
        <v>1</v>
      </c>
      <c r="Q522" s="24">
        <f>IF(AND(L522=1,OR(Dashboard!$C$14="All",B522=Dashboard!$C$14),OR(Dashboard!$C$15="All",C522=Dashboard!$C$15),OR(Dashboard!$C$16="All",K522=Dashboard!$C$16),OR(Dashboard!$C$17="All",J522=Dashboard!$C$17)),1,0)</f>
        <v>1</v>
      </c>
      <c r="R522" s="24">
        <f>IF(AND(L522=1,OR(Dashboard!$C$13="All",A522=Dashboard!$C$13),OR(Dashboard!$C$14="All",B522=Dashboard!$C$14),OR(Dashboard!$C$15="All",C522=Dashboard!$C$15),OR(Dashboard!$C$16="All",K522=Dashboard!$C$16)),1,0)</f>
        <v>1</v>
      </c>
      <c r="S522" s="24">
        <f t="shared" si="3"/>
        <v>521</v>
      </c>
    </row>
    <row r="523" ht="15.75" customHeight="1">
      <c r="A523" s="10" t="s">
        <v>488</v>
      </c>
      <c r="B523" s="13" t="s">
        <v>112</v>
      </c>
      <c r="C523" s="10" t="s">
        <v>640</v>
      </c>
      <c r="D523" s="13">
        <v>2510.0</v>
      </c>
      <c r="E523" s="14">
        <v>96.0</v>
      </c>
      <c r="F523" s="15">
        <f t="shared" si="4"/>
        <v>240960</v>
      </c>
      <c r="G523" s="6">
        <v>46265.0</v>
      </c>
      <c r="H523" s="22">
        <v>16.0</v>
      </c>
      <c r="I523" s="16">
        <f t="shared" si="5"/>
        <v>46377</v>
      </c>
      <c r="J523" s="13" t="s">
        <v>25</v>
      </c>
      <c r="K523" s="13" t="s">
        <v>31</v>
      </c>
      <c r="L523" s="24">
        <f>IF(A523="","",IF(OR(G523="",AND(G523&gt;=Dashboard!$C$18,G523&lt;=Dashboard!$C$19)),1,0))</f>
        <v>1</v>
      </c>
      <c r="M523" s="24">
        <f>IF(AND(L523=1,OR(Dashboard!$C$13="All",A523=Dashboard!$C$13),OR(Dashboard!$C$14="All",B523=Dashboard!$C$14),OR(Dashboard!$C$15="All",C523=Dashboard!$C$15),OR(Dashboard!$C$16="All",K523=Dashboard!$C$16),OR(Dashboard!$C$17="All",J523=Dashboard!$C$17)),1,0)</f>
        <v>1</v>
      </c>
      <c r="N523" s="24">
        <f>IF(AND(L523=1,OR(Dashboard!$C$13="All",A523=Dashboard!$C$13),OR(Dashboard!$C$14="All",B523=Dashboard!$C$14),OR(Dashboard!$C$16="All",K523=Dashboard!$C$16),OR(Dashboard!$C$17="All",J523=Dashboard!$C$17)),1,0)</f>
        <v>1</v>
      </c>
      <c r="O523" s="24">
        <f>IF(AND(L523=1,OR(Dashboard!$C$13="All",A523=Dashboard!$C$13),OR(Dashboard!$C$15="All",C523=Dashboard!$C$15),OR(Dashboard!$C$16="All",K523=Dashboard!$C$16),OR(Dashboard!$C$17="All",J523=Dashboard!$C$17)),1,0)</f>
        <v>1</v>
      </c>
      <c r="P523" s="24">
        <f>IF(AND(L523=1,OR(Dashboard!$C$13="All",A523=Dashboard!$C$13),OR(Dashboard!$C$14="All",B523=Dashboard!$C$14),OR(Dashboard!$C$15="All",C523=Dashboard!$C$15),OR(Dashboard!$C$17="All",J523=Dashboard!$C$17)),1,0)</f>
        <v>1</v>
      </c>
      <c r="Q523" s="24">
        <f>IF(AND(L523=1,OR(Dashboard!$C$14="All",B523=Dashboard!$C$14),OR(Dashboard!$C$15="All",C523=Dashboard!$C$15),OR(Dashboard!$C$16="All",K523=Dashboard!$C$16),OR(Dashboard!$C$17="All",J523=Dashboard!$C$17)),1,0)</f>
        <v>1</v>
      </c>
      <c r="R523" s="24">
        <f>IF(AND(L523=1,OR(Dashboard!$C$13="All",A523=Dashboard!$C$13),OR(Dashboard!$C$14="All",B523=Dashboard!$C$14),OR(Dashboard!$C$15="All",C523=Dashboard!$C$15),OR(Dashboard!$C$16="All",K523=Dashboard!$C$16)),1,0)</f>
        <v>1</v>
      </c>
      <c r="S523" s="24">
        <f t="shared" si="3"/>
        <v>522</v>
      </c>
    </row>
    <row r="524" ht="15.75" customHeight="1">
      <c r="A524" s="3" t="s">
        <v>491</v>
      </c>
      <c r="B524" s="4" t="s">
        <v>85</v>
      </c>
      <c r="C524" s="3" t="s">
        <v>148</v>
      </c>
      <c r="D524" s="4">
        <v>2.0</v>
      </c>
      <c r="E524" s="17">
        <v>8.0</v>
      </c>
      <c r="F524" s="5">
        <f t="shared" si="4"/>
        <v>16</v>
      </c>
      <c r="G524" s="6">
        <v>46266.0</v>
      </c>
      <c r="H524" s="22">
        <v>17.0</v>
      </c>
      <c r="I524" s="7">
        <f t="shared" si="5"/>
        <v>46385</v>
      </c>
      <c r="J524" s="4" t="s">
        <v>25</v>
      </c>
      <c r="K524" s="4" t="s">
        <v>31</v>
      </c>
      <c r="L524" s="24">
        <f>IF(A524="","",IF(OR(G524="",AND(G524&gt;=Dashboard!$C$18,G524&lt;=Dashboard!$C$19)),1,0))</f>
        <v>1</v>
      </c>
      <c r="M524" s="24">
        <f>IF(AND(L524=1,OR(Dashboard!$C$13="All",A524=Dashboard!$C$13),OR(Dashboard!$C$14="All",B524=Dashboard!$C$14),OR(Dashboard!$C$15="All",C524=Dashboard!$C$15),OR(Dashboard!$C$16="All",K524=Dashboard!$C$16),OR(Dashboard!$C$17="All",J524=Dashboard!$C$17)),1,0)</f>
        <v>1</v>
      </c>
      <c r="N524" s="24">
        <f>IF(AND(L524=1,OR(Dashboard!$C$13="All",A524=Dashboard!$C$13),OR(Dashboard!$C$14="All",B524=Dashboard!$C$14),OR(Dashboard!$C$16="All",K524=Dashboard!$C$16),OR(Dashboard!$C$17="All",J524=Dashboard!$C$17)),1,0)</f>
        <v>1</v>
      </c>
      <c r="O524" s="24">
        <f>IF(AND(L524=1,OR(Dashboard!$C$13="All",A524=Dashboard!$C$13),OR(Dashboard!$C$15="All",C524=Dashboard!$C$15),OR(Dashboard!$C$16="All",K524=Dashboard!$C$16),OR(Dashboard!$C$17="All",J524=Dashboard!$C$17)),1,0)</f>
        <v>1</v>
      </c>
      <c r="P524" s="24">
        <f>IF(AND(L524=1,OR(Dashboard!$C$13="All",A524=Dashboard!$C$13),OR(Dashboard!$C$14="All",B524=Dashboard!$C$14),OR(Dashboard!$C$15="All",C524=Dashboard!$C$15),OR(Dashboard!$C$17="All",J524=Dashboard!$C$17)),1,0)</f>
        <v>1</v>
      </c>
      <c r="Q524" s="24">
        <f>IF(AND(L524=1,OR(Dashboard!$C$14="All",B524=Dashboard!$C$14),OR(Dashboard!$C$15="All",C524=Dashboard!$C$15),OR(Dashboard!$C$16="All",K524=Dashboard!$C$16),OR(Dashboard!$C$17="All",J524=Dashboard!$C$17)),1,0)</f>
        <v>1</v>
      </c>
      <c r="R524" s="24">
        <f>IF(AND(L524=1,OR(Dashboard!$C$13="All",A524=Dashboard!$C$13),OR(Dashboard!$C$14="All",B524=Dashboard!$C$14),OR(Dashboard!$C$15="All",C524=Dashboard!$C$15),OR(Dashboard!$C$16="All",K524=Dashboard!$C$16)),1,0)</f>
        <v>1</v>
      </c>
      <c r="S524" s="24">
        <f t="shared" si="3"/>
        <v>523</v>
      </c>
    </row>
    <row r="525" ht="15.75" customHeight="1">
      <c r="A525" s="10" t="s">
        <v>493</v>
      </c>
      <c r="B525" s="13"/>
      <c r="C525" s="10" t="s">
        <v>457</v>
      </c>
      <c r="D525" s="13">
        <v>200.0</v>
      </c>
      <c r="E525" s="14">
        <v>5.0</v>
      </c>
      <c r="F525" s="15">
        <f t="shared" si="4"/>
        <v>1000</v>
      </c>
      <c r="G525" s="6">
        <v>46267.0</v>
      </c>
      <c r="H525" s="22">
        <v>16.0</v>
      </c>
      <c r="I525" s="16">
        <f t="shared" si="5"/>
        <v>46379</v>
      </c>
      <c r="J525" s="13" t="s">
        <v>25</v>
      </c>
      <c r="K525" s="13" t="s">
        <v>31</v>
      </c>
      <c r="L525" s="24">
        <f>IF(A525="","",IF(OR(G525="",AND(G525&gt;=Dashboard!$C$18,G525&lt;=Dashboard!$C$19)),1,0))</f>
        <v>1</v>
      </c>
      <c r="M525" s="24">
        <f>IF(AND(L525=1,OR(Dashboard!$C$13="All",A525=Dashboard!$C$13),OR(Dashboard!$C$14="All",B525=Dashboard!$C$14),OR(Dashboard!$C$15="All",C525=Dashboard!$C$15),OR(Dashboard!$C$16="All",K525=Dashboard!$C$16),OR(Dashboard!$C$17="All",J525=Dashboard!$C$17)),1,0)</f>
        <v>1</v>
      </c>
      <c r="N525" s="24">
        <f>IF(AND(L525=1,OR(Dashboard!$C$13="All",A525=Dashboard!$C$13),OR(Dashboard!$C$14="All",B525=Dashboard!$C$14),OR(Dashboard!$C$16="All",K525=Dashboard!$C$16),OR(Dashboard!$C$17="All",J525=Dashboard!$C$17)),1,0)</f>
        <v>1</v>
      </c>
      <c r="O525" s="24">
        <f>IF(AND(L525=1,OR(Dashboard!$C$13="All",A525=Dashboard!$C$13),OR(Dashboard!$C$15="All",C525=Dashboard!$C$15),OR(Dashboard!$C$16="All",K525=Dashboard!$C$16),OR(Dashboard!$C$17="All",J525=Dashboard!$C$17)),1,0)</f>
        <v>1</v>
      </c>
      <c r="P525" s="24">
        <f>IF(AND(L525=1,OR(Dashboard!$C$13="All",A525=Dashboard!$C$13),OR(Dashboard!$C$14="All",B525=Dashboard!$C$14),OR(Dashboard!$C$15="All",C525=Dashboard!$C$15),OR(Dashboard!$C$17="All",J525=Dashboard!$C$17)),1,0)</f>
        <v>1</v>
      </c>
      <c r="Q525" s="24">
        <f>IF(AND(L525=1,OR(Dashboard!$C$14="All",B525=Dashboard!$C$14),OR(Dashboard!$C$15="All",C525=Dashboard!$C$15),OR(Dashboard!$C$16="All",K525=Dashboard!$C$16),OR(Dashboard!$C$17="All",J525=Dashboard!$C$17)),1,0)</f>
        <v>1</v>
      </c>
      <c r="R525" s="24">
        <f>IF(AND(L525=1,OR(Dashboard!$C$13="All",A525=Dashboard!$C$13),OR(Dashboard!$C$14="All",B525=Dashboard!$C$14),OR(Dashboard!$C$15="All",C525=Dashboard!$C$15),OR(Dashboard!$C$16="All",K525=Dashboard!$C$16)),1,0)</f>
        <v>1</v>
      </c>
      <c r="S525" s="24">
        <f t="shared" si="3"/>
        <v>524</v>
      </c>
    </row>
    <row r="526" ht="15.75" customHeight="1">
      <c r="A526" s="3" t="s">
        <v>496</v>
      </c>
      <c r="B526" s="4" t="s">
        <v>34</v>
      </c>
      <c r="C526" s="3" t="s">
        <v>325</v>
      </c>
      <c r="D526" s="4">
        <v>2000.0</v>
      </c>
      <c r="E526" s="17">
        <v>4.0</v>
      </c>
      <c r="F526" s="5">
        <f t="shared" si="4"/>
        <v>8000</v>
      </c>
      <c r="G526" s="6">
        <v>46268.0</v>
      </c>
      <c r="H526" s="22">
        <v>16.0</v>
      </c>
      <c r="I526" s="7">
        <f t="shared" si="5"/>
        <v>46380</v>
      </c>
      <c r="J526" s="4" t="s">
        <v>25</v>
      </c>
      <c r="K526" s="4" t="s">
        <v>31</v>
      </c>
      <c r="L526" s="24">
        <f>IF(A526="","",IF(OR(G526="",AND(G526&gt;=Dashboard!$C$18,G526&lt;=Dashboard!$C$19)),1,0))</f>
        <v>1</v>
      </c>
      <c r="M526" s="24">
        <f>IF(AND(L526=1,OR(Dashboard!$C$13="All",A526=Dashboard!$C$13),OR(Dashboard!$C$14="All",B526=Dashboard!$C$14),OR(Dashboard!$C$15="All",C526=Dashboard!$C$15),OR(Dashboard!$C$16="All",K526=Dashboard!$C$16),OR(Dashboard!$C$17="All",J526=Dashboard!$C$17)),1,0)</f>
        <v>1</v>
      </c>
      <c r="N526" s="24">
        <f>IF(AND(L526=1,OR(Dashboard!$C$13="All",A526=Dashboard!$C$13),OR(Dashboard!$C$14="All",B526=Dashboard!$C$14),OR(Dashboard!$C$16="All",K526=Dashboard!$C$16),OR(Dashboard!$C$17="All",J526=Dashboard!$C$17)),1,0)</f>
        <v>1</v>
      </c>
      <c r="O526" s="24">
        <f>IF(AND(L526=1,OR(Dashboard!$C$13="All",A526=Dashboard!$C$13),OR(Dashboard!$C$15="All",C526=Dashboard!$C$15),OR(Dashboard!$C$16="All",K526=Dashboard!$C$16),OR(Dashboard!$C$17="All",J526=Dashboard!$C$17)),1,0)</f>
        <v>1</v>
      </c>
      <c r="P526" s="24">
        <f>IF(AND(L526=1,OR(Dashboard!$C$13="All",A526=Dashboard!$C$13),OR(Dashboard!$C$14="All",B526=Dashboard!$C$14),OR(Dashboard!$C$15="All",C526=Dashboard!$C$15),OR(Dashboard!$C$17="All",J526=Dashboard!$C$17)),1,0)</f>
        <v>1</v>
      </c>
      <c r="Q526" s="24">
        <f>IF(AND(L526=1,OR(Dashboard!$C$14="All",B526=Dashboard!$C$14),OR(Dashboard!$C$15="All",C526=Dashboard!$C$15),OR(Dashboard!$C$16="All",K526=Dashboard!$C$16),OR(Dashboard!$C$17="All",J526=Dashboard!$C$17)),1,0)</f>
        <v>1</v>
      </c>
      <c r="R526" s="24">
        <f>IF(AND(L526=1,OR(Dashboard!$C$13="All",A526=Dashboard!$C$13),OR(Dashboard!$C$14="All",B526=Dashboard!$C$14),OR(Dashboard!$C$15="All",C526=Dashboard!$C$15),OR(Dashboard!$C$16="All",K526=Dashboard!$C$16)),1,0)</f>
        <v>1</v>
      </c>
      <c r="S526" s="24">
        <f t="shared" si="3"/>
        <v>525</v>
      </c>
    </row>
    <row r="527" ht="15.75" customHeight="1">
      <c r="A527" s="10" t="s">
        <v>497</v>
      </c>
      <c r="B527" s="13"/>
      <c r="C527" s="10" t="s">
        <v>292</v>
      </c>
      <c r="D527" s="13">
        <v>2.0</v>
      </c>
      <c r="E527" s="14">
        <v>2.0</v>
      </c>
      <c r="F527" s="15">
        <f t="shared" si="4"/>
        <v>4</v>
      </c>
      <c r="G527" s="6">
        <v>46269.0</v>
      </c>
      <c r="H527" s="22">
        <v>16.0</v>
      </c>
      <c r="I527" s="16">
        <f t="shared" si="5"/>
        <v>46381</v>
      </c>
      <c r="J527" s="13" t="s">
        <v>25</v>
      </c>
      <c r="K527" s="13" t="s">
        <v>31</v>
      </c>
      <c r="L527" s="24">
        <f>IF(A527="","",IF(OR(G527="",AND(G527&gt;=Dashboard!$C$18,G527&lt;=Dashboard!$C$19)),1,0))</f>
        <v>1</v>
      </c>
      <c r="M527" s="24">
        <f>IF(AND(L527=1,OR(Dashboard!$C$13="All",A527=Dashboard!$C$13),OR(Dashboard!$C$14="All",B527=Dashboard!$C$14),OR(Dashboard!$C$15="All",C527=Dashboard!$C$15),OR(Dashboard!$C$16="All",K527=Dashboard!$C$16),OR(Dashboard!$C$17="All",J527=Dashboard!$C$17)),1,0)</f>
        <v>1</v>
      </c>
      <c r="N527" s="24">
        <f>IF(AND(L527=1,OR(Dashboard!$C$13="All",A527=Dashboard!$C$13),OR(Dashboard!$C$14="All",B527=Dashboard!$C$14),OR(Dashboard!$C$16="All",K527=Dashboard!$C$16),OR(Dashboard!$C$17="All",J527=Dashboard!$C$17)),1,0)</f>
        <v>1</v>
      </c>
      <c r="O527" s="24">
        <f>IF(AND(L527=1,OR(Dashboard!$C$13="All",A527=Dashboard!$C$13),OR(Dashboard!$C$15="All",C527=Dashboard!$C$15),OR(Dashboard!$C$16="All",K527=Dashboard!$C$16),OR(Dashboard!$C$17="All",J527=Dashboard!$C$17)),1,0)</f>
        <v>1</v>
      </c>
      <c r="P527" s="24">
        <f>IF(AND(L527=1,OR(Dashboard!$C$13="All",A527=Dashboard!$C$13),OR(Dashboard!$C$14="All",B527=Dashboard!$C$14),OR(Dashboard!$C$15="All",C527=Dashboard!$C$15),OR(Dashboard!$C$17="All",J527=Dashboard!$C$17)),1,0)</f>
        <v>1</v>
      </c>
      <c r="Q527" s="24">
        <f>IF(AND(L527=1,OR(Dashboard!$C$14="All",B527=Dashboard!$C$14),OR(Dashboard!$C$15="All",C527=Dashboard!$C$15),OR(Dashboard!$C$16="All",K527=Dashboard!$C$16),OR(Dashboard!$C$17="All",J527=Dashboard!$C$17)),1,0)</f>
        <v>1</v>
      </c>
      <c r="R527" s="24">
        <f>IF(AND(L527=1,OR(Dashboard!$C$13="All",A527=Dashboard!$C$13),OR(Dashboard!$C$14="All",B527=Dashboard!$C$14),OR(Dashboard!$C$15="All",C527=Dashboard!$C$15),OR(Dashboard!$C$16="All",K527=Dashboard!$C$16)),1,0)</f>
        <v>1</v>
      </c>
      <c r="S527" s="24">
        <f t="shared" si="3"/>
        <v>526</v>
      </c>
    </row>
    <row r="528" ht="15.75" customHeight="1">
      <c r="A528" s="3" t="s">
        <v>497</v>
      </c>
      <c r="B528" s="4"/>
      <c r="C528" s="3" t="s">
        <v>583</v>
      </c>
      <c r="D528" s="4">
        <v>2.0</v>
      </c>
      <c r="E528" s="17">
        <v>36.0</v>
      </c>
      <c r="F528" s="5">
        <f t="shared" si="4"/>
        <v>72</v>
      </c>
      <c r="G528" s="6">
        <v>46270.0</v>
      </c>
      <c r="H528" s="22">
        <v>16.0</v>
      </c>
      <c r="I528" s="7">
        <f t="shared" si="5"/>
        <v>46382</v>
      </c>
      <c r="J528" s="4" t="s">
        <v>25</v>
      </c>
      <c r="K528" s="4" t="s">
        <v>31</v>
      </c>
      <c r="L528" s="24">
        <f>IF(A528="","",IF(OR(G528="",AND(G528&gt;=Dashboard!$C$18,G528&lt;=Dashboard!$C$19)),1,0))</f>
        <v>1</v>
      </c>
      <c r="M528" s="24">
        <f>IF(AND(L528=1,OR(Dashboard!$C$13="All",A528=Dashboard!$C$13),OR(Dashboard!$C$14="All",B528=Dashboard!$C$14),OR(Dashboard!$C$15="All",C528=Dashboard!$C$15),OR(Dashboard!$C$16="All",K528=Dashboard!$C$16),OR(Dashboard!$C$17="All",J528=Dashboard!$C$17)),1,0)</f>
        <v>1</v>
      </c>
      <c r="N528" s="24">
        <f>IF(AND(L528=1,OR(Dashboard!$C$13="All",A528=Dashboard!$C$13),OR(Dashboard!$C$14="All",B528=Dashboard!$C$14),OR(Dashboard!$C$16="All",K528=Dashboard!$C$16),OR(Dashboard!$C$17="All",J528=Dashboard!$C$17)),1,0)</f>
        <v>1</v>
      </c>
      <c r="O528" s="24">
        <f>IF(AND(L528=1,OR(Dashboard!$C$13="All",A528=Dashboard!$C$13),OR(Dashboard!$C$15="All",C528=Dashboard!$C$15),OR(Dashboard!$C$16="All",K528=Dashboard!$C$16),OR(Dashboard!$C$17="All",J528=Dashboard!$C$17)),1,0)</f>
        <v>1</v>
      </c>
      <c r="P528" s="24">
        <f>IF(AND(L528=1,OR(Dashboard!$C$13="All",A528=Dashboard!$C$13),OR(Dashboard!$C$14="All",B528=Dashboard!$C$14),OR(Dashboard!$C$15="All",C528=Dashboard!$C$15),OR(Dashboard!$C$17="All",J528=Dashboard!$C$17)),1,0)</f>
        <v>1</v>
      </c>
      <c r="Q528" s="24">
        <f>IF(AND(L528=1,OR(Dashboard!$C$14="All",B528=Dashboard!$C$14),OR(Dashboard!$C$15="All",C528=Dashboard!$C$15),OR(Dashboard!$C$16="All",K528=Dashboard!$C$16),OR(Dashboard!$C$17="All",J528=Dashboard!$C$17)),1,0)</f>
        <v>1</v>
      </c>
      <c r="R528" s="24">
        <f>IF(AND(L528=1,OR(Dashboard!$C$13="All",A528=Dashboard!$C$13),OR(Dashboard!$C$14="All",B528=Dashboard!$C$14),OR(Dashboard!$C$15="All",C528=Dashboard!$C$15),OR(Dashboard!$C$16="All",K528=Dashboard!$C$16)),1,0)</f>
        <v>1</v>
      </c>
      <c r="S528" s="24">
        <f t="shared" si="3"/>
        <v>527</v>
      </c>
    </row>
    <row r="529" ht="15.75" customHeight="1">
      <c r="A529" s="10" t="s">
        <v>497</v>
      </c>
      <c r="B529" s="13" t="s">
        <v>85</v>
      </c>
      <c r="C529" s="10" t="s">
        <v>148</v>
      </c>
      <c r="D529" s="13">
        <v>2.0</v>
      </c>
      <c r="E529" s="5">
        <v>2.0</v>
      </c>
      <c r="F529" s="15">
        <f t="shared" si="4"/>
        <v>4</v>
      </c>
      <c r="G529" s="6">
        <v>46271.0</v>
      </c>
      <c r="H529" s="22">
        <v>15.0</v>
      </c>
      <c r="I529" s="16">
        <f t="shared" si="5"/>
        <v>46376</v>
      </c>
      <c r="J529" s="13" t="s">
        <v>25</v>
      </c>
      <c r="K529" s="13" t="s">
        <v>31</v>
      </c>
      <c r="L529" s="24">
        <f>IF(A529="","",IF(OR(G529="",AND(G529&gt;=Dashboard!$C$18,G529&lt;=Dashboard!$C$19)),1,0))</f>
        <v>1</v>
      </c>
      <c r="M529" s="24">
        <f>IF(AND(L529=1,OR(Dashboard!$C$13="All",A529=Dashboard!$C$13),OR(Dashboard!$C$14="All",B529=Dashboard!$C$14),OR(Dashboard!$C$15="All",C529=Dashboard!$C$15),OR(Dashboard!$C$16="All",K529=Dashboard!$C$16),OR(Dashboard!$C$17="All",J529=Dashboard!$C$17)),1,0)</f>
        <v>1</v>
      </c>
      <c r="N529" s="24">
        <f>IF(AND(L529=1,OR(Dashboard!$C$13="All",A529=Dashboard!$C$13),OR(Dashboard!$C$14="All",B529=Dashboard!$C$14),OR(Dashboard!$C$16="All",K529=Dashboard!$C$16),OR(Dashboard!$C$17="All",J529=Dashboard!$C$17)),1,0)</f>
        <v>1</v>
      </c>
      <c r="O529" s="24">
        <f>IF(AND(L529=1,OR(Dashboard!$C$13="All",A529=Dashboard!$C$13),OR(Dashboard!$C$15="All",C529=Dashboard!$C$15),OR(Dashboard!$C$16="All",K529=Dashboard!$C$16),OR(Dashboard!$C$17="All",J529=Dashboard!$C$17)),1,0)</f>
        <v>1</v>
      </c>
      <c r="P529" s="24">
        <f>IF(AND(L529=1,OR(Dashboard!$C$13="All",A529=Dashboard!$C$13),OR(Dashboard!$C$14="All",B529=Dashboard!$C$14),OR(Dashboard!$C$15="All",C529=Dashboard!$C$15),OR(Dashboard!$C$17="All",J529=Dashboard!$C$17)),1,0)</f>
        <v>1</v>
      </c>
      <c r="Q529" s="24">
        <f>IF(AND(L529=1,OR(Dashboard!$C$14="All",B529=Dashboard!$C$14),OR(Dashboard!$C$15="All",C529=Dashboard!$C$15),OR(Dashboard!$C$16="All",K529=Dashboard!$C$16),OR(Dashboard!$C$17="All",J529=Dashboard!$C$17)),1,0)</f>
        <v>1</v>
      </c>
      <c r="R529" s="24">
        <f>IF(AND(L529=1,OR(Dashboard!$C$13="All",A529=Dashboard!$C$13),OR(Dashboard!$C$14="All",B529=Dashboard!$C$14),OR(Dashboard!$C$15="All",C529=Dashboard!$C$15),OR(Dashboard!$C$16="All",K529=Dashboard!$C$16)),1,0)</f>
        <v>1</v>
      </c>
      <c r="S529" s="24">
        <f t="shared" si="3"/>
        <v>528</v>
      </c>
    </row>
    <row r="530" ht="15.75" customHeight="1">
      <c r="A530" s="3" t="s">
        <v>498</v>
      </c>
      <c r="B530" s="4"/>
      <c r="C530" s="3" t="s">
        <v>301</v>
      </c>
      <c r="D530" s="4">
        <v>1.0</v>
      </c>
      <c r="E530" s="14">
        <v>5.0</v>
      </c>
      <c r="F530" s="5">
        <f t="shared" si="4"/>
        <v>5</v>
      </c>
      <c r="G530" s="6">
        <v>46272.0</v>
      </c>
      <c r="H530" s="22">
        <v>17.0</v>
      </c>
      <c r="I530" s="7">
        <f t="shared" si="5"/>
        <v>46391</v>
      </c>
      <c r="J530" s="4" t="s">
        <v>25</v>
      </c>
      <c r="K530" s="4" t="s">
        <v>31</v>
      </c>
      <c r="L530" s="24">
        <f>IF(A530="","",IF(OR(G530="",AND(G530&gt;=Dashboard!$C$18,G530&lt;=Dashboard!$C$19)),1,0))</f>
        <v>1</v>
      </c>
      <c r="M530" s="24">
        <f>IF(AND(L530=1,OR(Dashboard!$C$13="All",A530=Dashboard!$C$13),OR(Dashboard!$C$14="All",B530=Dashboard!$C$14),OR(Dashboard!$C$15="All",C530=Dashboard!$C$15),OR(Dashboard!$C$16="All",K530=Dashboard!$C$16),OR(Dashboard!$C$17="All",J530=Dashboard!$C$17)),1,0)</f>
        <v>1</v>
      </c>
      <c r="N530" s="24">
        <f>IF(AND(L530=1,OR(Dashboard!$C$13="All",A530=Dashboard!$C$13),OR(Dashboard!$C$14="All",B530=Dashboard!$C$14),OR(Dashboard!$C$16="All",K530=Dashboard!$C$16),OR(Dashboard!$C$17="All",J530=Dashboard!$C$17)),1,0)</f>
        <v>1</v>
      </c>
      <c r="O530" s="24">
        <f>IF(AND(L530=1,OR(Dashboard!$C$13="All",A530=Dashboard!$C$13),OR(Dashboard!$C$15="All",C530=Dashboard!$C$15),OR(Dashboard!$C$16="All",K530=Dashboard!$C$16),OR(Dashboard!$C$17="All",J530=Dashboard!$C$17)),1,0)</f>
        <v>1</v>
      </c>
      <c r="P530" s="24">
        <f>IF(AND(L530=1,OR(Dashboard!$C$13="All",A530=Dashboard!$C$13),OR(Dashboard!$C$14="All",B530=Dashboard!$C$14),OR(Dashboard!$C$15="All",C530=Dashboard!$C$15),OR(Dashboard!$C$17="All",J530=Dashboard!$C$17)),1,0)</f>
        <v>1</v>
      </c>
      <c r="Q530" s="24">
        <f>IF(AND(L530=1,OR(Dashboard!$C$14="All",B530=Dashboard!$C$14),OR(Dashboard!$C$15="All",C530=Dashboard!$C$15),OR(Dashboard!$C$16="All",K530=Dashboard!$C$16),OR(Dashboard!$C$17="All",J530=Dashboard!$C$17)),1,0)</f>
        <v>1</v>
      </c>
      <c r="R530" s="24">
        <f>IF(AND(L530=1,OR(Dashboard!$C$13="All",A530=Dashboard!$C$13),OR(Dashboard!$C$14="All",B530=Dashboard!$C$14),OR(Dashboard!$C$15="All",C530=Dashboard!$C$15),OR(Dashboard!$C$16="All",K530=Dashboard!$C$16)),1,0)</f>
        <v>1</v>
      </c>
      <c r="S530" s="24">
        <f t="shared" si="3"/>
        <v>529</v>
      </c>
    </row>
    <row r="531" ht="15.75" customHeight="1">
      <c r="A531" s="10" t="s">
        <v>500</v>
      </c>
      <c r="B531" s="13"/>
      <c r="C531" s="10" t="s">
        <v>547</v>
      </c>
      <c r="D531" s="13">
        <v>1.0</v>
      </c>
      <c r="E531" s="17">
        <v>6.0</v>
      </c>
      <c r="F531" s="15">
        <f t="shared" si="4"/>
        <v>6</v>
      </c>
      <c r="G531" s="6">
        <v>46273.0</v>
      </c>
      <c r="H531" s="22">
        <v>17.0</v>
      </c>
      <c r="I531" s="16">
        <f t="shared" si="5"/>
        <v>46392</v>
      </c>
      <c r="J531" s="13" t="s">
        <v>25</v>
      </c>
      <c r="K531" s="13" t="s">
        <v>31</v>
      </c>
      <c r="L531" s="24">
        <f>IF(A531="","",IF(OR(G531="",AND(G531&gt;=Dashboard!$C$18,G531&lt;=Dashboard!$C$19)),1,0))</f>
        <v>1</v>
      </c>
      <c r="M531" s="24">
        <f>IF(AND(L531=1,OR(Dashboard!$C$13="All",A531=Dashboard!$C$13),OR(Dashboard!$C$14="All",B531=Dashboard!$C$14),OR(Dashboard!$C$15="All",C531=Dashboard!$C$15),OR(Dashboard!$C$16="All",K531=Dashboard!$C$16),OR(Dashboard!$C$17="All",J531=Dashboard!$C$17)),1,0)</f>
        <v>1</v>
      </c>
      <c r="N531" s="24">
        <f>IF(AND(L531=1,OR(Dashboard!$C$13="All",A531=Dashboard!$C$13),OR(Dashboard!$C$14="All",B531=Dashboard!$C$14),OR(Dashboard!$C$16="All",K531=Dashboard!$C$16),OR(Dashboard!$C$17="All",J531=Dashboard!$C$17)),1,0)</f>
        <v>1</v>
      </c>
      <c r="O531" s="24">
        <f>IF(AND(L531=1,OR(Dashboard!$C$13="All",A531=Dashboard!$C$13),OR(Dashboard!$C$15="All",C531=Dashboard!$C$15),OR(Dashboard!$C$16="All",K531=Dashboard!$C$16),OR(Dashboard!$C$17="All",J531=Dashboard!$C$17)),1,0)</f>
        <v>1</v>
      </c>
      <c r="P531" s="24">
        <f>IF(AND(L531=1,OR(Dashboard!$C$13="All",A531=Dashboard!$C$13),OR(Dashboard!$C$14="All",B531=Dashboard!$C$14),OR(Dashboard!$C$15="All",C531=Dashboard!$C$15),OR(Dashboard!$C$17="All",J531=Dashboard!$C$17)),1,0)</f>
        <v>1</v>
      </c>
      <c r="Q531" s="24">
        <f>IF(AND(L531=1,OR(Dashboard!$C$14="All",B531=Dashboard!$C$14),OR(Dashboard!$C$15="All",C531=Dashboard!$C$15),OR(Dashboard!$C$16="All",K531=Dashboard!$C$16),OR(Dashboard!$C$17="All",J531=Dashboard!$C$17)),1,0)</f>
        <v>1</v>
      </c>
      <c r="R531" s="24">
        <f>IF(AND(L531=1,OR(Dashboard!$C$13="All",A531=Dashboard!$C$13),OR(Dashboard!$C$14="All",B531=Dashboard!$C$14),OR(Dashboard!$C$15="All",C531=Dashboard!$C$15),OR(Dashboard!$C$16="All",K531=Dashboard!$C$16)),1,0)</f>
        <v>1</v>
      </c>
      <c r="S531" s="24">
        <f t="shared" si="3"/>
        <v>530</v>
      </c>
    </row>
    <row r="532" ht="15.75" customHeight="1">
      <c r="A532" s="3" t="s">
        <v>502</v>
      </c>
      <c r="B532" s="4"/>
      <c r="C532" s="3" t="s">
        <v>646</v>
      </c>
      <c r="D532" s="4">
        <v>1335.0</v>
      </c>
      <c r="E532" s="14">
        <v>7.0</v>
      </c>
      <c r="F532" s="5">
        <f t="shared" si="4"/>
        <v>9345</v>
      </c>
      <c r="G532" s="6">
        <v>46274.0</v>
      </c>
      <c r="H532" s="22">
        <v>16.0</v>
      </c>
      <c r="I532" s="7">
        <f t="shared" si="5"/>
        <v>46386</v>
      </c>
      <c r="J532" s="4" t="s">
        <v>25</v>
      </c>
      <c r="K532" s="4" t="s">
        <v>31</v>
      </c>
      <c r="L532" s="24">
        <f>IF(A532="","",IF(OR(G532="",AND(G532&gt;=Dashboard!$C$18,G532&lt;=Dashboard!$C$19)),1,0))</f>
        <v>1</v>
      </c>
      <c r="M532" s="24">
        <f>IF(AND(L532=1,OR(Dashboard!$C$13="All",A532=Dashboard!$C$13),OR(Dashboard!$C$14="All",B532=Dashboard!$C$14),OR(Dashboard!$C$15="All",C532=Dashboard!$C$15),OR(Dashboard!$C$16="All",K532=Dashboard!$C$16),OR(Dashboard!$C$17="All",J532=Dashboard!$C$17)),1,0)</f>
        <v>1</v>
      </c>
      <c r="N532" s="24">
        <f>IF(AND(L532=1,OR(Dashboard!$C$13="All",A532=Dashboard!$C$13),OR(Dashboard!$C$14="All",B532=Dashboard!$C$14),OR(Dashboard!$C$16="All",K532=Dashboard!$C$16),OR(Dashboard!$C$17="All",J532=Dashboard!$C$17)),1,0)</f>
        <v>1</v>
      </c>
      <c r="O532" s="24">
        <f>IF(AND(L532=1,OR(Dashboard!$C$13="All",A532=Dashboard!$C$13),OR(Dashboard!$C$15="All",C532=Dashboard!$C$15),OR(Dashboard!$C$16="All",K532=Dashboard!$C$16),OR(Dashboard!$C$17="All",J532=Dashboard!$C$17)),1,0)</f>
        <v>1</v>
      </c>
      <c r="P532" s="24">
        <f>IF(AND(L532=1,OR(Dashboard!$C$13="All",A532=Dashboard!$C$13),OR(Dashboard!$C$14="All",B532=Dashboard!$C$14),OR(Dashboard!$C$15="All",C532=Dashboard!$C$15),OR(Dashboard!$C$17="All",J532=Dashboard!$C$17)),1,0)</f>
        <v>1</v>
      </c>
      <c r="Q532" s="24">
        <f>IF(AND(L532=1,OR(Dashboard!$C$14="All",B532=Dashboard!$C$14),OR(Dashboard!$C$15="All",C532=Dashboard!$C$15),OR(Dashboard!$C$16="All",K532=Dashboard!$C$16),OR(Dashboard!$C$17="All",J532=Dashboard!$C$17)),1,0)</f>
        <v>1</v>
      </c>
      <c r="R532" s="24">
        <f>IF(AND(L532=1,OR(Dashboard!$C$13="All",A532=Dashboard!$C$13),OR(Dashboard!$C$14="All",B532=Dashboard!$C$14),OR(Dashboard!$C$15="All",C532=Dashboard!$C$15),OR(Dashboard!$C$16="All",K532=Dashboard!$C$16)),1,0)</f>
        <v>1</v>
      </c>
      <c r="S532" s="24">
        <f t="shared" si="3"/>
        <v>531</v>
      </c>
    </row>
    <row r="533" ht="15.75" customHeight="1">
      <c r="A533" s="10" t="s">
        <v>502</v>
      </c>
      <c r="B533" s="13" t="s">
        <v>39</v>
      </c>
      <c r="C533" s="10" t="s">
        <v>234</v>
      </c>
      <c r="D533" s="13">
        <v>1.0</v>
      </c>
      <c r="E533" s="17">
        <v>8.0</v>
      </c>
      <c r="F533" s="15">
        <f t="shared" si="4"/>
        <v>8</v>
      </c>
      <c r="G533" s="6">
        <v>46275.0</v>
      </c>
      <c r="H533" s="22">
        <v>24.0</v>
      </c>
      <c r="I533" s="16">
        <f t="shared" si="5"/>
        <v>46443</v>
      </c>
      <c r="J533" s="13" t="s">
        <v>25</v>
      </c>
      <c r="K533" s="13" t="s">
        <v>31</v>
      </c>
      <c r="L533" s="24">
        <f>IF(A533="","",IF(OR(G533="",AND(G533&gt;=Dashboard!$C$18,G533&lt;=Dashboard!$C$19)),1,0))</f>
        <v>1</v>
      </c>
      <c r="M533" s="24">
        <f>IF(AND(L533=1,OR(Dashboard!$C$13="All",A533=Dashboard!$C$13),OR(Dashboard!$C$14="All",B533=Dashboard!$C$14),OR(Dashboard!$C$15="All",C533=Dashboard!$C$15),OR(Dashboard!$C$16="All",K533=Dashboard!$C$16),OR(Dashboard!$C$17="All",J533=Dashboard!$C$17)),1,0)</f>
        <v>1</v>
      </c>
      <c r="N533" s="24">
        <f>IF(AND(L533=1,OR(Dashboard!$C$13="All",A533=Dashboard!$C$13),OR(Dashboard!$C$14="All",B533=Dashboard!$C$14),OR(Dashboard!$C$16="All",K533=Dashboard!$C$16),OR(Dashboard!$C$17="All",J533=Dashboard!$C$17)),1,0)</f>
        <v>1</v>
      </c>
      <c r="O533" s="24">
        <f>IF(AND(L533=1,OR(Dashboard!$C$13="All",A533=Dashboard!$C$13),OR(Dashboard!$C$15="All",C533=Dashboard!$C$15),OR(Dashboard!$C$16="All",K533=Dashboard!$C$16),OR(Dashboard!$C$17="All",J533=Dashboard!$C$17)),1,0)</f>
        <v>1</v>
      </c>
      <c r="P533" s="24">
        <f>IF(AND(L533=1,OR(Dashboard!$C$13="All",A533=Dashboard!$C$13),OR(Dashboard!$C$14="All",B533=Dashboard!$C$14),OR(Dashboard!$C$15="All",C533=Dashboard!$C$15),OR(Dashboard!$C$17="All",J533=Dashboard!$C$17)),1,0)</f>
        <v>1</v>
      </c>
      <c r="Q533" s="24">
        <f>IF(AND(L533=1,OR(Dashboard!$C$14="All",B533=Dashboard!$C$14),OR(Dashboard!$C$15="All",C533=Dashboard!$C$15),OR(Dashboard!$C$16="All",K533=Dashboard!$C$16),OR(Dashboard!$C$17="All",J533=Dashboard!$C$17)),1,0)</f>
        <v>1</v>
      </c>
      <c r="R533" s="24">
        <f>IF(AND(L533=1,OR(Dashboard!$C$13="All",A533=Dashboard!$C$13),OR(Dashboard!$C$14="All",B533=Dashboard!$C$14),OR(Dashboard!$C$15="All",C533=Dashboard!$C$15),OR(Dashboard!$C$16="All",K533=Dashboard!$C$16)),1,0)</f>
        <v>1</v>
      </c>
      <c r="S533" s="24">
        <f t="shared" si="3"/>
        <v>532</v>
      </c>
    </row>
    <row r="534" ht="15.75" customHeight="1">
      <c r="A534" s="3" t="s">
        <v>502</v>
      </c>
      <c r="B534" s="4" t="s">
        <v>112</v>
      </c>
      <c r="C534" s="3" t="s">
        <v>617</v>
      </c>
      <c r="D534" s="4">
        <v>6500.0</v>
      </c>
      <c r="E534" s="14">
        <v>2.0</v>
      </c>
      <c r="F534" s="5">
        <f t="shared" si="4"/>
        <v>13000</v>
      </c>
      <c r="G534" s="6">
        <v>46276.0</v>
      </c>
      <c r="H534" s="22">
        <v>24.0</v>
      </c>
      <c r="I534" s="7">
        <f t="shared" si="5"/>
        <v>46444</v>
      </c>
      <c r="J534" s="4" t="s">
        <v>25</v>
      </c>
      <c r="K534" s="4" t="s">
        <v>31</v>
      </c>
      <c r="L534" s="24">
        <f>IF(A534="","",IF(OR(G534="",AND(G534&gt;=Dashboard!$C$18,G534&lt;=Dashboard!$C$19)),1,0))</f>
        <v>1</v>
      </c>
      <c r="M534" s="24">
        <f>IF(AND(L534=1,OR(Dashboard!$C$13="All",A534=Dashboard!$C$13),OR(Dashboard!$C$14="All",B534=Dashboard!$C$14),OR(Dashboard!$C$15="All",C534=Dashboard!$C$15),OR(Dashboard!$C$16="All",K534=Dashboard!$C$16),OR(Dashboard!$C$17="All",J534=Dashboard!$C$17)),1,0)</f>
        <v>1</v>
      </c>
      <c r="N534" s="24">
        <f>IF(AND(L534=1,OR(Dashboard!$C$13="All",A534=Dashboard!$C$13),OR(Dashboard!$C$14="All",B534=Dashboard!$C$14),OR(Dashboard!$C$16="All",K534=Dashboard!$C$16),OR(Dashboard!$C$17="All",J534=Dashboard!$C$17)),1,0)</f>
        <v>1</v>
      </c>
      <c r="O534" s="24">
        <f>IF(AND(L534=1,OR(Dashboard!$C$13="All",A534=Dashboard!$C$13),OR(Dashboard!$C$15="All",C534=Dashboard!$C$15),OR(Dashboard!$C$16="All",K534=Dashboard!$C$16),OR(Dashboard!$C$17="All",J534=Dashboard!$C$17)),1,0)</f>
        <v>1</v>
      </c>
      <c r="P534" s="24">
        <f>IF(AND(L534=1,OR(Dashboard!$C$13="All",A534=Dashboard!$C$13),OR(Dashboard!$C$14="All",B534=Dashboard!$C$14),OR(Dashboard!$C$15="All",C534=Dashboard!$C$15),OR(Dashboard!$C$17="All",J534=Dashboard!$C$17)),1,0)</f>
        <v>1</v>
      </c>
      <c r="Q534" s="24">
        <f>IF(AND(L534=1,OR(Dashboard!$C$14="All",B534=Dashboard!$C$14),OR(Dashboard!$C$15="All",C534=Dashboard!$C$15),OR(Dashboard!$C$16="All",K534=Dashboard!$C$16),OR(Dashboard!$C$17="All",J534=Dashboard!$C$17)),1,0)</f>
        <v>1</v>
      </c>
      <c r="R534" s="24">
        <f>IF(AND(L534=1,OR(Dashboard!$C$13="All",A534=Dashboard!$C$13),OR(Dashboard!$C$14="All",B534=Dashboard!$C$14),OR(Dashboard!$C$15="All",C534=Dashboard!$C$15),OR(Dashboard!$C$16="All",K534=Dashboard!$C$16)),1,0)</f>
        <v>1</v>
      </c>
      <c r="S534" s="24">
        <f t="shared" si="3"/>
        <v>533</v>
      </c>
    </row>
    <row r="535" ht="15.75" customHeight="1">
      <c r="A535" s="10" t="s">
        <v>505</v>
      </c>
      <c r="B535" s="13"/>
      <c r="C535" s="10" t="s">
        <v>227</v>
      </c>
      <c r="D535" s="13">
        <v>2.0</v>
      </c>
      <c r="E535" s="17">
        <v>15.0</v>
      </c>
      <c r="F535" s="15">
        <f t="shared" si="4"/>
        <v>30</v>
      </c>
      <c r="G535" s="6">
        <v>46277.0</v>
      </c>
      <c r="H535" s="22">
        <v>23.0</v>
      </c>
      <c r="I535" s="16">
        <f t="shared" si="5"/>
        <v>46438</v>
      </c>
      <c r="J535" s="13" t="s">
        <v>25</v>
      </c>
      <c r="K535" s="13" t="s">
        <v>31</v>
      </c>
      <c r="L535" s="24">
        <f>IF(A535="","",IF(OR(G535="",AND(G535&gt;=Dashboard!$C$18,G535&lt;=Dashboard!$C$19)),1,0))</f>
        <v>1</v>
      </c>
      <c r="M535" s="24">
        <f>IF(AND(L535=1,OR(Dashboard!$C$13="All",A535=Dashboard!$C$13),OR(Dashboard!$C$14="All",B535=Dashboard!$C$14),OR(Dashboard!$C$15="All",C535=Dashboard!$C$15),OR(Dashboard!$C$16="All",K535=Dashboard!$C$16),OR(Dashboard!$C$17="All",J535=Dashboard!$C$17)),1,0)</f>
        <v>1</v>
      </c>
      <c r="N535" s="24">
        <f>IF(AND(L535=1,OR(Dashboard!$C$13="All",A535=Dashboard!$C$13),OR(Dashboard!$C$14="All",B535=Dashboard!$C$14),OR(Dashboard!$C$16="All",K535=Dashboard!$C$16),OR(Dashboard!$C$17="All",J535=Dashboard!$C$17)),1,0)</f>
        <v>1</v>
      </c>
      <c r="O535" s="24">
        <f>IF(AND(L535=1,OR(Dashboard!$C$13="All",A535=Dashboard!$C$13),OR(Dashboard!$C$15="All",C535=Dashboard!$C$15),OR(Dashboard!$C$16="All",K535=Dashboard!$C$16),OR(Dashboard!$C$17="All",J535=Dashboard!$C$17)),1,0)</f>
        <v>1</v>
      </c>
      <c r="P535" s="24">
        <f>IF(AND(L535=1,OR(Dashboard!$C$13="All",A535=Dashboard!$C$13),OR(Dashboard!$C$14="All",B535=Dashboard!$C$14),OR(Dashboard!$C$15="All",C535=Dashboard!$C$15),OR(Dashboard!$C$17="All",J535=Dashboard!$C$17)),1,0)</f>
        <v>1</v>
      </c>
      <c r="Q535" s="24">
        <f>IF(AND(L535=1,OR(Dashboard!$C$14="All",B535=Dashboard!$C$14),OR(Dashboard!$C$15="All",C535=Dashboard!$C$15),OR(Dashboard!$C$16="All",K535=Dashboard!$C$16),OR(Dashboard!$C$17="All",J535=Dashboard!$C$17)),1,0)</f>
        <v>1</v>
      </c>
      <c r="R535" s="24">
        <f>IF(AND(L535=1,OR(Dashboard!$C$13="All",A535=Dashboard!$C$13),OR(Dashboard!$C$14="All",B535=Dashboard!$C$14),OR(Dashboard!$C$15="All",C535=Dashboard!$C$15),OR(Dashboard!$C$16="All",K535=Dashboard!$C$16)),1,0)</f>
        <v>1</v>
      </c>
      <c r="S535" s="24">
        <f t="shared" si="3"/>
        <v>534</v>
      </c>
    </row>
    <row r="536" ht="15.75" customHeight="1">
      <c r="A536" s="3" t="s">
        <v>507</v>
      </c>
      <c r="B536" s="4" t="s">
        <v>71</v>
      </c>
      <c r="C536" s="3" t="s">
        <v>527</v>
      </c>
      <c r="D536" s="4">
        <v>2.0</v>
      </c>
      <c r="E536" s="14">
        <v>45.0</v>
      </c>
      <c r="F536" s="5">
        <f t="shared" si="4"/>
        <v>90</v>
      </c>
      <c r="G536" s="6">
        <v>46278.0</v>
      </c>
      <c r="H536" s="22">
        <v>23.0</v>
      </c>
      <c r="I536" s="7">
        <f t="shared" si="5"/>
        <v>46439</v>
      </c>
      <c r="J536" s="4" t="s">
        <v>25</v>
      </c>
      <c r="K536" s="4" t="s">
        <v>31</v>
      </c>
      <c r="L536" s="24">
        <f>IF(A536="","",IF(OR(G536="",AND(G536&gt;=Dashboard!$C$18,G536&lt;=Dashboard!$C$19)),1,0))</f>
        <v>1</v>
      </c>
      <c r="M536" s="24">
        <f>IF(AND(L536=1,OR(Dashboard!$C$13="All",A536=Dashboard!$C$13),OR(Dashboard!$C$14="All",B536=Dashboard!$C$14),OR(Dashboard!$C$15="All",C536=Dashboard!$C$15),OR(Dashboard!$C$16="All",K536=Dashboard!$C$16),OR(Dashboard!$C$17="All",J536=Dashboard!$C$17)),1,0)</f>
        <v>1</v>
      </c>
      <c r="N536" s="24">
        <f>IF(AND(L536=1,OR(Dashboard!$C$13="All",A536=Dashboard!$C$13),OR(Dashboard!$C$14="All",B536=Dashboard!$C$14),OR(Dashboard!$C$16="All",K536=Dashboard!$C$16),OR(Dashboard!$C$17="All",J536=Dashboard!$C$17)),1,0)</f>
        <v>1</v>
      </c>
      <c r="O536" s="24">
        <f>IF(AND(L536=1,OR(Dashboard!$C$13="All",A536=Dashboard!$C$13),OR(Dashboard!$C$15="All",C536=Dashboard!$C$15),OR(Dashboard!$C$16="All",K536=Dashboard!$C$16),OR(Dashboard!$C$17="All",J536=Dashboard!$C$17)),1,0)</f>
        <v>1</v>
      </c>
      <c r="P536" s="24">
        <f>IF(AND(L536=1,OR(Dashboard!$C$13="All",A536=Dashboard!$C$13),OR(Dashboard!$C$14="All",B536=Dashboard!$C$14),OR(Dashboard!$C$15="All",C536=Dashboard!$C$15),OR(Dashboard!$C$17="All",J536=Dashboard!$C$17)),1,0)</f>
        <v>1</v>
      </c>
      <c r="Q536" s="24">
        <f>IF(AND(L536=1,OR(Dashboard!$C$14="All",B536=Dashboard!$C$14),OR(Dashboard!$C$15="All",C536=Dashboard!$C$15),OR(Dashboard!$C$16="All",K536=Dashboard!$C$16),OR(Dashboard!$C$17="All",J536=Dashboard!$C$17)),1,0)</f>
        <v>1</v>
      </c>
      <c r="R536" s="24">
        <f>IF(AND(L536=1,OR(Dashboard!$C$13="All",A536=Dashboard!$C$13),OR(Dashboard!$C$14="All",B536=Dashboard!$C$14),OR(Dashboard!$C$15="All",C536=Dashboard!$C$15),OR(Dashboard!$C$16="All",K536=Dashboard!$C$16)),1,0)</f>
        <v>1</v>
      </c>
      <c r="S536" s="24">
        <f t="shared" si="3"/>
        <v>535</v>
      </c>
    </row>
    <row r="537" ht="15.75" customHeight="1">
      <c r="A537" s="10" t="s">
        <v>507</v>
      </c>
      <c r="B537" s="13" t="s">
        <v>34</v>
      </c>
      <c r="C537" s="10" t="s">
        <v>325</v>
      </c>
      <c r="D537" s="13">
        <v>5000.0</v>
      </c>
      <c r="E537" s="17">
        <v>24.0</v>
      </c>
      <c r="F537" s="15">
        <f t="shared" si="4"/>
        <v>120000</v>
      </c>
      <c r="G537" s="6">
        <v>46279.0</v>
      </c>
      <c r="H537" s="22">
        <v>23.0</v>
      </c>
      <c r="I537" s="16">
        <f t="shared" si="5"/>
        <v>46440</v>
      </c>
      <c r="J537" s="13" t="s">
        <v>25</v>
      </c>
      <c r="K537" s="13" t="s">
        <v>31</v>
      </c>
      <c r="L537" s="24">
        <f>IF(A537="","",IF(OR(G537="",AND(G537&gt;=Dashboard!$C$18,G537&lt;=Dashboard!$C$19)),1,0))</f>
        <v>1</v>
      </c>
      <c r="M537" s="24">
        <f>IF(AND(L537=1,OR(Dashboard!$C$13="All",A537=Dashboard!$C$13),OR(Dashboard!$C$14="All",B537=Dashboard!$C$14),OR(Dashboard!$C$15="All",C537=Dashboard!$C$15),OR(Dashboard!$C$16="All",K537=Dashboard!$C$16),OR(Dashboard!$C$17="All",J537=Dashboard!$C$17)),1,0)</f>
        <v>1</v>
      </c>
      <c r="N537" s="24">
        <f>IF(AND(L537=1,OR(Dashboard!$C$13="All",A537=Dashboard!$C$13),OR(Dashboard!$C$14="All",B537=Dashboard!$C$14),OR(Dashboard!$C$16="All",K537=Dashboard!$C$16),OR(Dashboard!$C$17="All",J537=Dashboard!$C$17)),1,0)</f>
        <v>1</v>
      </c>
      <c r="O537" s="24">
        <f>IF(AND(L537=1,OR(Dashboard!$C$13="All",A537=Dashboard!$C$13),OR(Dashboard!$C$15="All",C537=Dashboard!$C$15),OR(Dashboard!$C$16="All",K537=Dashboard!$C$16),OR(Dashboard!$C$17="All",J537=Dashboard!$C$17)),1,0)</f>
        <v>1</v>
      </c>
      <c r="P537" s="24">
        <f>IF(AND(L537=1,OR(Dashboard!$C$13="All",A537=Dashboard!$C$13),OR(Dashboard!$C$14="All",B537=Dashboard!$C$14),OR(Dashboard!$C$15="All",C537=Dashboard!$C$15),OR(Dashboard!$C$17="All",J537=Dashboard!$C$17)),1,0)</f>
        <v>1</v>
      </c>
      <c r="Q537" s="24">
        <f>IF(AND(L537=1,OR(Dashboard!$C$14="All",B537=Dashboard!$C$14),OR(Dashboard!$C$15="All",C537=Dashboard!$C$15),OR(Dashboard!$C$16="All",K537=Dashboard!$C$16),OR(Dashboard!$C$17="All",J537=Dashboard!$C$17)),1,0)</f>
        <v>1</v>
      </c>
      <c r="R537" s="24">
        <f>IF(AND(L537=1,OR(Dashboard!$C$13="All",A537=Dashboard!$C$13),OR(Dashboard!$C$14="All",B537=Dashboard!$C$14),OR(Dashboard!$C$15="All",C537=Dashboard!$C$15),OR(Dashboard!$C$16="All",K537=Dashboard!$C$16)),1,0)</f>
        <v>1</v>
      </c>
      <c r="S537" s="24">
        <f t="shared" si="3"/>
        <v>536</v>
      </c>
    </row>
    <row r="538" ht="15.75" customHeight="1">
      <c r="A538" s="3" t="s">
        <v>510</v>
      </c>
      <c r="B538" s="4"/>
      <c r="C538" s="3" t="s">
        <v>282</v>
      </c>
      <c r="D538" s="4">
        <v>1.0</v>
      </c>
      <c r="E538" s="14">
        <v>25.0</v>
      </c>
      <c r="F538" s="5">
        <f t="shared" si="4"/>
        <v>25</v>
      </c>
      <c r="G538" s="6">
        <v>46280.0</v>
      </c>
      <c r="H538" s="22">
        <v>24.0</v>
      </c>
      <c r="I538" s="7">
        <f t="shared" si="5"/>
        <v>46448</v>
      </c>
      <c r="J538" s="4" t="s">
        <v>25</v>
      </c>
      <c r="K538" s="4" t="s">
        <v>31</v>
      </c>
      <c r="L538" s="24">
        <f>IF(A538="","",IF(OR(G538="",AND(G538&gt;=Dashboard!$C$18,G538&lt;=Dashboard!$C$19)),1,0))</f>
        <v>1</v>
      </c>
      <c r="M538" s="24">
        <f>IF(AND(L538=1,OR(Dashboard!$C$13="All",A538=Dashboard!$C$13),OR(Dashboard!$C$14="All",B538=Dashboard!$C$14),OR(Dashboard!$C$15="All",C538=Dashboard!$C$15),OR(Dashboard!$C$16="All",K538=Dashboard!$C$16),OR(Dashboard!$C$17="All",J538=Dashboard!$C$17)),1,0)</f>
        <v>1</v>
      </c>
      <c r="N538" s="24">
        <f>IF(AND(L538=1,OR(Dashboard!$C$13="All",A538=Dashboard!$C$13),OR(Dashboard!$C$14="All",B538=Dashboard!$C$14),OR(Dashboard!$C$16="All",K538=Dashboard!$C$16),OR(Dashboard!$C$17="All",J538=Dashboard!$C$17)),1,0)</f>
        <v>1</v>
      </c>
      <c r="O538" s="24">
        <f>IF(AND(L538=1,OR(Dashboard!$C$13="All",A538=Dashboard!$C$13),OR(Dashboard!$C$15="All",C538=Dashboard!$C$15),OR(Dashboard!$C$16="All",K538=Dashboard!$C$16),OR(Dashboard!$C$17="All",J538=Dashboard!$C$17)),1,0)</f>
        <v>1</v>
      </c>
      <c r="P538" s="24">
        <f>IF(AND(L538=1,OR(Dashboard!$C$13="All",A538=Dashboard!$C$13),OR(Dashboard!$C$14="All",B538=Dashboard!$C$14),OR(Dashboard!$C$15="All",C538=Dashboard!$C$15),OR(Dashboard!$C$17="All",J538=Dashboard!$C$17)),1,0)</f>
        <v>1</v>
      </c>
      <c r="Q538" s="24">
        <f>IF(AND(L538=1,OR(Dashboard!$C$14="All",B538=Dashboard!$C$14),OR(Dashboard!$C$15="All",C538=Dashboard!$C$15),OR(Dashboard!$C$16="All",K538=Dashboard!$C$16),OR(Dashboard!$C$17="All",J538=Dashboard!$C$17)),1,0)</f>
        <v>1</v>
      </c>
      <c r="R538" s="24">
        <f>IF(AND(L538=1,OR(Dashboard!$C$13="All",A538=Dashboard!$C$13),OR(Dashboard!$C$14="All",B538=Dashboard!$C$14),OR(Dashboard!$C$15="All",C538=Dashboard!$C$15),OR(Dashboard!$C$16="All",K538=Dashboard!$C$16)),1,0)</f>
        <v>1</v>
      </c>
      <c r="S538" s="24">
        <f t="shared" si="3"/>
        <v>537</v>
      </c>
    </row>
    <row r="539" ht="15.75" customHeight="1">
      <c r="A539" s="10" t="s">
        <v>512</v>
      </c>
      <c r="B539" s="13"/>
      <c r="C539" s="10" t="s">
        <v>460</v>
      </c>
      <c r="D539" s="13">
        <v>300.0</v>
      </c>
      <c r="E539" s="17">
        <v>36.0</v>
      </c>
      <c r="F539" s="15">
        <f t="shared" si="4"/>
        <v>10800</v>
      </c>
      <c r="G539" s="6">
        <v>46281.0</v>
      </c>
      <c r="H539" s="22">
        <v>24.0</v>
      </c>
      <c r="I539" s="16">
        <f t="shared" si="5"/>
        <v>46449</v>
      </c>
      <c r="J539" s="13" t="s">
        <v>25</v>
      </c>
      <c r="K539" s="13" t="s">
        <v>31</v>
      </c>
      <c r="L539" s="24">
        <f>IF(A539="","",IF(OR(G539="",AND(G539&gt;=Dashboard!$C$18,G539&lt;=Dashboard!$C$19)),1,0))</f>
        <v>1</v>
      </c>
      <c r="M539" s="24">
        <f>IF(AND(L539=1,OR(Dashboard!$C$13="All",A539=Dashboard!$C$13),OR(Dashboard!$C$14="All",B539=Dashboard!$C$14),OR(Dashboard!$C$15="All",C539=Dashboard!$C$15),OR(Dashboard!$C$16="All",K539=Dashboard!$C$16),OR(Dashboard!$C$17="All",J539=Dashboard!$C$17)),1,0)</f>
        <v>1</v>
      </c>
      <c r="N539" s="24">
        <f>IF(AND(L539=1,OR(Dashboard!$C$13="All",A539=Dashboard!$C$13),OR(Dashboard!$C$14="All",B539=Dashboard!$C$14),OR(Dashboard!$C$16="All",K539=Dashboard!$C$16),OR(Dashboard!$C$17="All",J539=Dashboard!$C$17)),1,0)</f>
        <v>1</v>
      </c>
      <c r="O539" s="24">
        <f>IF(AND(L539=1,OR(Dashboard!$C$13="All",A539=Dashboard!$C$13),OR(Dashboard!$C$15="All",C539=Dashboard!$C$15),OR(Dashboard!$C$16="All",K539=Dashboard!$C$16),OR(Dashboard!$C$17="All",J539=Dashboard!$C$17)),1,0)</f>
        <v>1</v>
      </c>
      <c r="P539" s="24">
        <f>IF(AND(L539=1,OR(Dashboard!$C$13="All",A539=Dashboard!$C$13),OR(Dashboard!$C$14="All",B539=Dashboard!$C$14),OR(Dashboard!$C$15="All",C539=Dashboard!$C$15),OR(Dashboard!$C$17="All",J539=Dashboard!$C$17)),1,0)</f>
        <v>1</v>
      </c>
      <c r="Q539" s="24">
        <f>IF(AND(L539=1,OR(Dashboard!$C$14="All",B539=Dashboard!$C$14),OR(Dashboard!$C$15="All",C539=Dashboard!$C$15),OR(Dashboard!$C$16="All",K539=Dashboard!$C$16),OR(Dashboard!$C$17="All",J539=Dashboard!$C$17)),1,0)</f>
        <v>1</v>
      </c>
      <c r="R539" s="24">
        <f>IF(AND(L539=1,OR(Dashboard!$C$13="All",A539=Dashboard!$C$13),OR(Dashboard!$C$14="All",B539=Dashboard!$C$14),OR(Dashboard!$C$15="All",C539=Dashboard!$C$15),OR(Dashboard!$C$16="All",K539=Dashboard!$C$16)),1,0)</f>
        <v>1</v>
      </c>
      <c r="S539" s="24">
        <f t="shared" si="3"/>
        <v>538</v>
      </c>
    </row>
    <row r="540" ht="15.75" customHeight="1">
      <c r="A540" s="3" t="s">
        <v>512</v>
      </c>
      <c r="B540" s="4"/>
      <c r="C540" s="3" t="s">
        <v>665</v>
      </c>
      <c r="D540" s="4">
        <v>1.0</v>
      </c>
      <c r="E540" s="14">
        <v>95.0</v>
      </c>
      <c r="F540" s="5">
        <f t="shared" si="4"/>
        <v>95</v>
      </c>
      <c r="G540" s="6">
        <v>46282.0</v>
      </c>
      <c r="H540" s="22">
        <v>24.0</v>
      </c>
      <c r="I540" s="7">
        <f t="shared" si="5"/>
        <v>46450</v>
      </c>
      <c r="J540" s="4" t="s">
        <v>25</v>
      </c>
      <c r="K540" s="4" t="s">
        <v>31</v>
      </c>
      <c r="L540" s="24">
        <f>IF(A540="","",IF(OR(G540="",AND(G540&gt;=Dashboard!$C$18,G540&lt;=Dashboard!$C$19)),1,0))</f>
        <v>1</v>
      </c>
      <c r="M540" s="24">
        <f>IF(AND(L540=1,OR(Dashboard!$C$13="All",A540=Dashboard!$C$13),OR(Dashboard!$C$14="All",B540=Dashboard!$C$14),OR(Dashboard!$C$15="All",C540=Dashboard!$C$15),OR(Dashboard!$C$16="All",K540=Dashboard!$C$16),OR(Dashboard!$C$17="All",J540=Dashboard!$C$17)),1,0)</f>
        <v>1</v>
      </c>
      <c r="N540" s="24">
        <f>IF(AND(L540=1,OR(Dashboard!$C$13="All",A540=Dashboard!$C$13),OR(Dashboard!$C$14="All",B540=Dashboard!$C$14),OR(Dashboard!$C$16="All",K540=Dashboard!$C$16),OR(Dashboard!$C$17="All",J540=Dashboard!$C$17)),1,0)</f>
        <v>1</v>
      </c>
      <c r="O540" s="24">
        <f>IF(AND(L540=1,OR(Dashboard!$C$13="All",A540=Dashboard!$C$13),OR(Dashboard!$C$15="All",C540=Dashboard!$C$15),OR(Dashboard!$C$16="All",K540=Dashboard!$C$16),OR(Dashboard!$C$17="All",J540=Dashboard!$C$17)),1,0)</f>
        <v>1</v>
      </c>
      <c r="P540" s="24">
        <f>IF(AND(L540=1,OR(Dashboard!$C$13="All",A540=Dashboard!$C$13),OR(Dashboard!$C$14="All",B540=Dashboard!$C$14),OR(Dashboard!$C$15="All",C540=Dashboard!$C$15),OR(Dashboard!$C$17="All",J540=Dashboard!$C$17)),1,0)</f>
        <v>1</v>
      </c>
      <c r="Q540" s="24">
        <f>IF(AND(L540=1,OR(Dashboard!$C$14="All",B540=Dashboard!$C$14),OR(Dashboard!$C$15="All",C540=Dashboard!$C$15),OR(Dashboard!$C$16="All",K540=Dashboard!$C$16),OR(Dashboard!$C$17="All",J540=Dashboard!$C$17)),1,0)</f>
        <v>1</v>
      </c>
      <c r="R540" s="24">
        <f>IF(AND(L540=1,OR(Dashboard!$C$13="All",A540=Dashboard!$C$13),OR(Dashboard!$C$14="All",B540=Dashboard!$C$14),OR(Dashboard!$C$15="All",C540=Dashboard!$C$15),OR(Dashboard!$C$16="All",K540=Dashboard!$C$16)),1,0)</f>
        <v>1</v>
      </c>
      <c r="S540" s="24">
        <f t="shared" si="3"/>
        <v>539</v>
      </c>
    </row>
    <row r="541" ht="15.75" customHeight="1">
      <c r="A541" s="10" t="s">
        <v>512</v>
      </c>
      <c r="B541" s="13"/>
      <c r="C541" s="10" t="s">
        <v>594</v>
      </c>
      <c r="D541" s="13">
        <v>1.0</v>
      </c>
      <c r="E541" s="17">
        <v>574.0</v>
      </c>
      <c r="F541" s="15">
        <f t="shared" si="4"/>
        <v>574</v>
      </c>
      <c r="G541" s="6">
        <v>46283.0</v>
      </c>
      <c r="H541" s="22">
        <v>22.0</v>
      </c>
      <c r="I541" s="16">
        <f t="shared" si="5"/>
        <v>46437</v>
      </c>
      <c r="J541" s="13" t="s">
        <v>25</v>
      </c>
      <c r="K541" s="13" t="s">
        <v>31</v>
      </c>
      <c r="L541" s="24">
        <f>IF(A541="","",IF(OR(G541="",AND(G541&gt;=Dashboard!$C$18,G541&lt;=Dashboard!$C$19)),1,0))</f>
        <v>1</v>
      </c>
      <c r="M541" s="24">
        <f>IF(AND(L541=1,OR(Dashboard!$C$13="All",A541=Dashboard!$C$13),OR(Dashboard!$C$14="All",B541=Dashboard!$C$14),OR(Dashboard!$C$15="All",C541=Dashboard!$C$15),OR(Dashboard!$C$16="All",K541=Dashboard!$C$16),OR(Dashboard!$C$17="All",J541=Dashboard!$C$17)),1,0)</f>
        <v>1</v>
      </c>
      <c r="N541" s="24">
        <f>IF(AND(L541=1,OR(Dashboard!$C$13="All",A541=Dashboard!$C$13),OR(Dashboard!$C$14="All",B541=Dashboard!$C$14),OR(Dashboard!$C$16="All",K541=Dashboard!$C$16),OR(Dashboard!$C$17="All",J541=Dashboard!$C$17)),1,0)</f>
        <v>1</v>
      </c>
      <c r="O541" s="24">
        <f>IF(AND(L541=1,OR(Dashboard!$C$13="All",A541=Dashboard!$C$13),OR(Dashboard!$C$15="All",C541=Dashboard!$C$15),OR(Dashboard!$C$16="All",K541=Dashboard!$C$16),OR(Dashboard!$C$17="All",J541=Dashboard!$C$17)),1,0)</f>
        <v>1</v>
      </c>
      <c r="P541" s="24">
        <f>IF(AND(L541=1,OR(Dashboard!$C$13="All",A541=Dashboard!$C$13),OR(Dashboard!$C$14="All",B541=Dashboard!$C$14),OR(Dashboard!$C$15="All",C541=Dashboard!$C$15),OR(Dashboard!$C$17="All",J541=Dashboard!$C$17)),1,0)</f>
        <v>1</v>
      </c>
      <c r="Q541" s="24">
        <f>IF(AND(L541=1,OR(Dashboard!$C$14="All",B541=Dashboard!$C$14),OR(Dashboard!$C$15="All",C541=Dashboard!$C$15),OR(Dashboard!$C$16="All",K541=Dashboard!$C$16),OR(Dashboard!$C$17="All",J541=Dashboard!$C$17)),1,0)</f>
        <v>1</v>
      </c>
      <c r="R541" s="24">
        <f>IF(AND(L541=1,OR(Dashboard!$C$13="All",A541=Dashboard!$C$13),OR(Dashboard!$C$14="All",B541=Dashboard!$C$14),OR(Dashboard!$C$15="All",C541=Dashboard!$C$15),OR(Dashboard!$C$16="All",K541=Dashboard!$C$16)),1,0)</f>
        <v>1</v>
      </c>
      <c r="S541" s="24">
        <f t="shared" si="3"/>
        <v>540</v>
      </c>
    </row>
    <row r="542" ht="15.75" customHeight="1">
      <c r="A542" s="3" t="s">
        <v>514</v>
      </c>
      <c r="B542" s="4" t="s">
        <v>71</v>
      </c>
      <c r="C542" s="3" t="s">
        <v>525</v>
      </c>
      <c r="D542" s="4">
        <v>6.0</v>
      </c>
      <c r="E542" s="14">
        <v>558.0</v>
      </c>
      <c r="F542" s="5">
        <f t="shared" si="4"/>
        <v>3348</v>
      </c>
      <c r="G542" s="6">
        <v>46284.0</v>
      </c>
      <c r="H542" s="22">
        <v>22.0</v>
      </c>
      <c r="I542" s="7">
        <f t="shared" si="5"/>
        <v>46438</v>
      </c>
      <c r="J542" s="4" t="s">
        <v>25</v>
      </c>
      <c r="K542" s="4" t="s">
        <v>31</v>
      </c>
      <c r="L542" s="24">
        <f>IF(A542="","",IF(OR(G542="",AND(G542&gt;=Dashboard!$C$18,G542&lt;=Dashboard!$C$19)),1,0))</f>
        <v>1</v>
      </c>
      <c r="M542" s="24">
        <f>IF(AND(L542=1,OR(Dashboard!$C$13="All",A542=Dashboard!$C$13),OR(Dashboard!$C$14="All",B542=Dashboard!$C$14),OR(Dashboard!$C$15="All",C542=Dashboard!$C$15),OR(Dashboard!$C$16="All",K542=Dashboard!$C$16),OR(Dashboard!$C$17="All",J542=Dashboard!$C$17)),1,0)</f>
        <v>1</v>
      </c>
      <c r="N542" s="24">
        <f>IF(AND(L542=1,OR(Dashboard!$C$13="All",A542=Dashboard!$C$13),OR(Dashboard!$C$14="All",B542=Dashboard!$C$14),OR(Dashboard!$C$16="All",K542=Dashboard!$C$16),OR(Dashboard!$C$17="All",J542=Dashboard!$C$17)),1,0)</f>
        <v>1</v>
      </c>
      <c r="O542" s="24">
        <f>IF(AND(L542=1,OR(Dashboard!$C$13="All",A542=Dashboard!$C$13),OR(Dashboard!$C$15="All",C542=Dashboard!$C$15),OR(Dashboard!$C$16="All",K542=Dashboard!$C$16),OR(Dashboard!$C$17="All",J542=Dashboard!$C$17)),1,0)</f>
        <v>1</v>
      </c>
      <c r="P542" s="24">
        <f>IF(AND(L542=1,OR(Dashboard!$C$13="All",A542=Dashboard!$C$13),OR(Dashboard!$C$14="All",B542=Dashboard!$C$14),OR(Dashboard!$C$15="All",C542=Dashboard!$C$15),OR(Dashboard!$C$17="All",J542=Dashboard!$C$17)),1,0)</f>
        <v>1</v>
      </c>
      <c r="Q542" s="24">
        <f>IF(AND(L542=1,OR(Dashboard!$C$14="All",B542=Dashboard!$C$14),OR(Dashboard!$C$15="All",C542=Dashboard!$C$15),OR(Dashboard!$C$16="All",K542=Dashboard!$C$16),OR(Dashboard!$C$17="All",J542=Dashboard!$C$17)),1,0)</f>
        <v>1</v>
      </c>
      <c r="R542" s="24">
        <f>IF(AND(L542=1,OR(Dashboard!$C$13="All",A542=Dashboard!$C$13),OR(Dashboard!$C$14="All",B542=Dashboard!$C$14),OR(Dashboard!$C$15="All",C542=Dashboard!$C$15),OR(Dashboard!$C$16="All",K542=Dashboard!$C$16)),1,0)</f>
        <v>1</v>
      </c>
      <c r="S542" s="24">
        <f t="shared" si="3"/>
        <v>541</v>
      </c>
    </row>
    <row r="543" ht="15.75" customHeight="1">
      <c r="A543" s="10" t="s">
        <v>514</v>
      </c>
      <c r="B543" s="13" t="s">
        <v>71</v>
      </c>
      <c r="C543" s="10" t="s">
        <v>470</v>
      </c>
      <c r="D543" s="13">
        <v>12.0</v>
      </c>
      <c r="E543" s="17">
        <v>2265.0</v>
      </c>
      <c r="F543" s="15">
        <f t="shared" si="4"/>
        <v>27180</v>
      </c>
      <c r="G543" s="6">
        <v>46285.0</v>
      </c>
      <c r="H543" s="22">
        <v>22.0</v>
      </c>
      <c r="I543" s="16">
        <f t="shared" si="5"/>
        <v>46439</v>
      </c>
      <c r="J543" s="13" t="s">
        <v>25</v>
      </c>
      <c r="K543" s="13" t="s">
        <v>31</v>
      </c>
      <c r="L543" s="24">
        <f>IF(A543="","",IF(OR(G543="",AND(G543&gt;=Dashboard!$C$18,G543&lt;=Dashboard!$C$19)),1,0))</f>
        <v>1</v>
      </c>
      <c r="M543" s="24">
        <f>IF(AND(L543=1,OR(Dashboard!$C$13="All",A543=Dashboard!$C$13),OR(Dashboard!$C$14="All",B543=Dashboard!$C$14),OR(Dashboard!$C$15="All",C543=Dashboard!$C$15),OR(Dashboard!$C$16="All",K543=Dashboard!$C$16),OR(Dashboard!$C$17="All",J543=Dashboard!$C$17)),1,0)</f>
        <v>1</v>
      </c>
      <c r="N543" s="24">
        <f>IF(AND(L543=1,OR(Dashboard!$C$13="All",A543=Dashboard!$C$13),OR(Dashboard!$C$14="All",B543=Dashboard!$C$14),OR(Dashboard!$C$16="All",K543=Dashboard!$C$16),OR(Dashboard!$C$17="All",J543=Dashboard!$C$17)),1,0)</f>
        <v>1</v>
      </c>
      <c r="O543" s="24">
        <f>IF(AND(L543=1,OR(Dashboard!$C$13="All",A543=Dashboard!$C$13),OR(Dashboard!$C$15="All",C543=Dashboard!$C$15),OR(Dashboard!$C$16="All",K543=Dashboard!$C$16),OR(Dashboard!$C$17="All",J543=Dashboard!$C$17)),1,0)</f>
        <v>1</v>
      </c>
      <c r="P543" s="24">
        <f>IF(AND(L543=1,OR(Dashboard!$C$13="All",A543=Dashboard!$C$13),OR(Dashboard!$C$14="All",B543=Dashboard!$C$14),OR(Dashboard!$C$15="All",C543=Dashboard!$C$15),OR(Dashboard!$C$17="All",J543=Dashboard!$C$17)),1,0)</f>
        <v>1</v>
      </c>
      <c r="Q543" s="24">
        <f>IF(AND(L543=1,OR(Dashboard!$C$14="All",B543=Dashboard!$C$14),OR(Dashboard!$C$15="All",C543=Dashboard!$C$15),OR(Dashboard!$C$16="All",K543=Dashboard!$C$16),OR(Dashboard!$C$17="All",J543=Dashboard!$C$17)),1,0)</f>
        <v>1</v>
      </c>
      <c r="R543" s="24">
        <f>IF(AND(L543=1,OR(Dashboard!$C$13="All",A543=Dashboard!$C$13),OR(Dashboard!$C$14="All",B543=Dashboard!$C$14),OR(Dashboard!$C$15="All",C543=Dashboard!$C$15),OR(Dashboard!$C$16="All",K543=Dashboard!$C$16)),1,0)</f>
        <v>1</v>
      </c>
      <c r="S543" s="24">
        <f t="shared" si="3"/>
        <v>542</v>
      </c>
    </row>
    <row r="544" ht="15.75" customHeight="1">
      <c r="A544" s="3" t="s">
        <v>514</v>
      </c>
      <c r="B544" s="4" t="s">
        <v>39</v>
      </c>
      <c r="C544" s="3" t="s">
        <v>239</v>
      </c>
      <c r="D544" s="4">
        <v>3.0</v>
      </c>
      <c r="E544" s="14">
        <v>45.0</v>
      </c>
      <c r="F544" s="5">
        <f t="shared" si="4"/>
        <v>135</v>
      </c>
      <c r="G544" s="6">
        <v>46286.0</v>
      </c>
      <c r="H544" s="22">
        <v>21.0</v>
      </c>
      <c r="I544" s="7">
        <f t="shared" si="5"/>
        <v>46433</v>
      </c>
      <c r="J544" s="4" t="s">
        <v>25</v>
      </c>
      <c r="K544" s="4" t="s">
        <v>31</v>
      </c>
      <c r="L544" s="24">
        <f>IF(A544="","",IF(OR(G544="",AND(G544&gt;=Dashboard!$C$18,G544&lt;=Dashboard!$C$19)),1,0))</f>
        <v>1</v>
      </c>
      <c r="M544" s="24">
        <f>IF(AND(L544=1,OR(Dashboard!$C$13="All",A544=Dashboard!$C$13),OR(Dashboard!$C$14="All",B544=Dashboard!$C$14),OR(Dashboard!$C$15="All",C544=Dashboard!$C$15),OR(Dashboard!$C$16="All",K544=Dashboard!$C$16),OR(Dashboard!$C$17="All",J544=Dashboard!$C$17)),1,0)</f>
        <v>1</v>
      </c>
      <c r="N544" s="24">
        <f>IF(AND(L544=1,OR(Dashboard!$C$13="All",A544=Dashboard!$C$13),OR(Dashboard!$C$14="All",B544=Dashboard!$C$14),OR(Dashboard!$C$16="All",K544=Dashboard!$C$16),OR(Dashboard!$C$17="All",J544=Dashboard!$C$17)),1,0)</f>
        <v>1</v>
      </c>
      <c r="O544" s="24">
        <f>IF(AND(L544=1,OR(Dashboard!$C$13="All",A544=Dashboard!$C$13),OR(Dashboard!$C$15="All",C544=Dashboard!$C$15),OR(Dashboard!$C$16="All",K544=Dashboard!$C$16),OR(Dashboard!$C$17="All",J544=Dashboard!$C$17)),1,0)</f>
        <v>1</v>
      </c>
      <c r="P544" s="24">
        <f>IF(AND(L544=1,OR(Dashboard!$C$13="All",A544=Dashboard!$C$13),OR(Dashboard!$C$14="All",B544=Dashboard!$C$14),OR(Dashboard!$C$15="All",C544=Dashboard!$C$15),OR(Dashboard!$C$17="All",J544=Dashboard!$C$17)),1,0)</f>
        <v>1</v>
      </c>
      <c r="Q544" s="24">
        <f>IF(AND(L544=1,OR(Dashboard!$C$14="All",B544=Dashboard!$C$14),OR(Dashboard!$C$15="All",C544=Dashboard!$C$15),OR(Dashboard!$C$16="All",K544=Dashboard!$C$16),OR(Dashboard!$C$17="All",J544=Dashboard!$C$17)),1,0)</f>
        <v>1</v>
      </c>
      <c r="R544" s="24">
        <f>IF(AND(L544=1,OR(Dashboard!$C$13="All",A544=Dashboard!$C$13),OR(Dashboard!$C$14="All",B544=Dashboard!$C$14),OR(Dashboard!$C$15="All",C544=Dashboard!$C$15),OR(Dashboard!$C$16="All",K544=Dashboard!$C$16)),1,0)</f>
        <v>1</v>
      </c>
      <c r="S544" s="24">
        <f t="shared" si="3"/>
        <v>543</v>
      </c>
    </row>
    <row r="545" ht="15.75" customHeight="1">
      <c r="A545" s="10" t="s">
        <v>514</v>
      </c>
      <c r="B545" s="13" t="s">
        <v>137</v>
      </c>
      <c r="C545" s="10" t="s">
        <v>609</v>
      </c>
      <c r="D545" s="13">
        <v>1.0</v>
      </c>
      <c r="E545" s="17">
        <v>5554.0</v>
      </c>
      <c r="F545" s="15">
        <f t="shared" si="4"/>
        <v>5554</v>
      </c>
      <c r="G545" s="6">
        <v>46287.0</v>
      </c>
      <c r="H545" s="22">
        <v>20.0</v>
      </c>
      <c r="I545" s="16">
        <f t="shared" si="5"/>
        <v>46427</v>
      </c>
      <c r="J545" s="13" t="s">
        <v>25</v>
      </c>
      <c r="K545" s="13" t="s">
        <v>31</v>
      </c>
      <c r="L545" s="24">
        <f>IF(A545="","",IF(OR(G545="",AND(G545&gt;=Dashboard!$C$18,G545&lt;=Dashboard!$C$19)),1,0))</f>
        <v>1</v>
      </c>
      <c r="M545" s="24">
        <f>IF(AND(L545=1,OR(Dashboard!$C$13="All",A545=Dashboard!$C$13),OR(Dashboard!$C$14="All",B545=Dashboard!$C$14),OR(Dashboard!$C$15="All",C545=Dashboard!$C$15),OR(Dashboard!$C$16="All",K545=Dashboard!$C$16),OR(Dashboard!$C$17="All",J545=Dashboard!$C$17)),1,0)</f>
        <v>1</v>
      </c>
      <c r="N545" s="24">
        <f>IF(AND(L545=1,OR(Dashboard!$C$13="All",A545=Dashboard!$C$13),OR(Dashboard!$C$14="All",B545=Dashboard!$C$14),OR(Dashboard!$C$16="All",K545=Dashboard!$C$16),OR(Dashboard!$C$17="All",J545=Dashboard!$C$17)),1,0)</f>
        <v>1</v>
      </c>
      <c r="O545" s="24">
        <f>IF(AND(L545=1,OR(Dashboard!$C$13="All",A545=Dashboard!$C$13),OR(Dashboard!$C$15="All",C545=Dashboard!$C$15),OR(Dashboard!$C$16="All",K545=Dashboard!$C$16),OR(Dashboard!$C$17="All",J545=Dashboard!$C$17)),1,0)</f>
        <v>1</v>
      </c>
      <c r="P545" s="24">
        <f>IF(AND(L545=1,OR(Dashboard!$C$13="All",A545=Dashboard!$C$13),OR(Dashboard!$C$14="All",B545=Dashboard!$C$14),OR(Dashboard!$C$15="All",C545=Dashboard!$C$15),OR(Dashboard!$C$17="All",J545=Dashboard!$C$17)),1,0)</f>
        <v>1</v>
      </c>
      <c r="Q545" s="24">
        <f>IF(AND(L545=1,OR(Dashboard!$C$14="All",B545=Dashboard!$C$14),OR(Dashboard!$C$15="All",C545=Dashboard!$C$15),OR(Dashboard!$C$16="All",K545=Dashboard!$C$16),OR(Dashboard!$C$17="All",J545=Dashboard!$C$17)),1,0)</f>
        <v>1</v>
      </c>
      <c r="R545" s="24">
        <f>IF(AND(L545=1,OR(Dashboard!$C$13="All",A545=Dashboard!$C$13),OR(Dashboard!$C$14="All",B545=Dashboard!$C$14),OR(Dashboard!$C$15="All",C545=Dashboard!$C$15),OR(Dashboard!$C$16="All",K545=Dashboard!$C$16)),1,0)</f>
        <v>1</v>
      </c>
      <c r="S545" s="24">
        <f t="shared" si="3"/>
        <v>544</v>
      </c>
    </row>
    <row r="546" ht="15.75" customHeight="1">
      <c r="A546" s="3" t="s">
        <v>514</v>
      </c>
      <c r="B546" s="4" t="s">
        <v>137</v>
      </c>
      <c r="C546" s="3" t="s">
        <v>581</v>
      </c>
      <c r="D546" s="4">
        <v>1.0</v>
      </c>
      <c r="E546" s="14">
        <v>41.0</v>
      </c>
      <c r="F546" s="5">
        <f t="shared" si="4"/>
        <v>41</v>
      </c>
      <c r="G546" s="6">
        <v>46288.0</v>
      </c>
      <c r="H546" s="22">
        <v>21.0</v>
      </c>
      <c r="I546" s="7">
        <f t="shared" si="5"/>
        <v>46435</v>
      </c>
      <c r="J546" s="4" t="s">
        <v>25</v>
      </c>
      <c r="K546" s="4" t="s">
        <v>31</v>
      </c>
      <c r="L546" s="24">
        <f>IF(A546="","",IF(OR(G546="",AND(G546&gt;=Dashboard!$C$18,G546&lt;=Dashboard!$C$19)),1,0))</f>
        <v>1</v>
      </c>
      <c r="M546" s="24">
        <f>IF(AND(L546=1,OR(Dashboard!$C$13="All",A546=Dashboard!$C$13),OR(Dashboard!$C$14="All",B546=Dashboard!$C$14),OR(Dashboard!$C$15="All",C546=Dashboard!$C$15),OR(Dashboard!$C$16="All",K546=Dashboard!$C$16),OR(Dashboard!$C$17="All",J546=Dashboard!$C$17)),1,0)</f>
        <v>1</v>
      </c>
      <c r="N546" s="24">
        <f>IF(AND(L546=1,OR(Dashboard!$C$13="All",A546=Dashboard!$C$13),OR(Dashboard!$C$14="All",B546=Dashboard!$C$14),OR(Dashboard!$C$16="All",K546=Dashboard!$C$16),OR(Dashboard!$C$17="All",J546=Dashboard!$C$17)),1,0)</f>
        <v>1</v>
      </c>
      <c r="O546" s="24">
        <f>IF(AND(L546=1,OR(Dashboard!$C$13="All",A546=Dashboard!$C$13),OR(Dashboard!$C$15="All",C546=Dashboard!$C$15),OR(Dashboard!$C$16="All",K546=Dashboard!$C$16),OR(Dashboard!$C$17="All",J546=Dashboard!$C$17)),1,0)</f>
        <v>1</v>
      </c>
      <c r="P546" s="24">
        <f>IF(AND(L546=1,OR(Dashboard!$C$13="All",A546=Dashboard!$C$13),OR(Dashboard!$C$14="All",B546=Dashboard!$C$14),OR(Dashboard!$C$15="All",C546=Dashboard!$C$15),OR(Dashboard!$C$17="All",J546=Dashboard!$C$17)),1,0)</f>
        <v>1</v>
      </c>
      <c r="Q546" s="24">
        <f>IF(AND(L546=1,OR(Dashboard!$C$14="All",B546=Dashboard!$C$14),OR(Dashboard!$C$15="All",C546=Dashboard!$C$15),OR(Dashboard!$C$16="All",K546=Dashboard!$C$16),OR(Dashboard!$C$17="All",J546=Dashboard!$C$17)),1,0)</f>
        <v>1</v>
      </c>
      <c r="R546" s="24">
        <f>IF(AND(L546=1,OR(Dashboard!$C$13="All",A546=Dashboard!$C$13),OR(Dashboard!$C$14="All",B546=Dashboard!$C$14),OR(Dashboard!$C$15="All",C546=Dashboard!$C$15),OR(Dashboard!$C$16="All",K546=Dashboard!$C$16)),1,0)</f>
        <v>1</v>
      </c>
      <c r="S546" s="24">
        <f t="shared" si="3"/>
        <v>545</v>
      </c>
    </row>
    <row r="547" ht="15.75" customHeight="1">
      <c r="A547" s="10" t="s">
        <v>514</v>
      </c>
      <c r="B547" s="13" t="s">
        <v>112</v>
      </c>
      <c r="C547" s="10" t="s">
        <v>639</v>
      </c>
      <c r="D547" s="13">
        <v>1000.0</v>
      </c>
      <c r="E547" s="17">
        <v>231.0</v>
      </c>
      <c r="F547" s="15">
        <f t="shared" si="4"/>
        <v>231000</v>
      </c>
      <c r="G547" s="6">
        <v>46289.0</v>
      </c>
      <c r="H547" s="22">
        <v>18.0</v>
      </c>
      <c r="I547" s="16">
        <f t="shared" si="5"/>
        <v>46415</v>
      </c>
      <c r="J547" s="13" t="s">
        <v>25</v>
      </c>
      <c r="K547" s="13" t="s">
        <v>31</v>
      </c>
      <c r="L547" s="24">
        <f>IF(A547="","",IF(OR(G547="",AND(G547&gt;=Dashboard!$C$18,G547&lt;=Dashboard!$C$19)),1,0))</f>
        <v>1</v>
      </c>
      <c r="M547" s="24">
        <f>IF(AND(L547=1,OR(Dashboard!$C$13="All",A547=Dashboard!$C$13),OR(Dashboard!$C$14="All",B547=Dashboard!$C$14),OR(Dashboard!$C$15="All",C547=Dashboard!$C$15),OR(Dashboard!$C$16="All",K547=Dashboard!$C$16),OR(Dashboard!$C$17="All",J547=Dashboard!$C$17)),1,0)</f>
        <v>1</v>
      </c>
      <c r="N547" s="24">
        <f>IF(AND(L547=1,OR(Dashboard!$C$13="All",A547=Dashboard!$C$13),OR(Dashboard!$C$14="All",B547=Dashboard!$C$14),OR(Dashboard!$C$16="All",K547=Dashboard!$C$16),OR(Dashboard!$C$17="All",J547=Dashboard!$C$17)),1,0)</f>
        <v>1</v>
      </c>
      <c r="O547" s="24">
        <f>IF(AND(L547=1,OR(Dashboard!$C$13="All",A547=Dashboard!$C$13),OR(Dashboard!$C$15="All",C547=Dashboard!$C$15),OR(Dashboard!$C$16="All",K547=Dashboard!$C$16),OR(Dashboard!$C$17="All",J547=Dashboard!$C$17)),1,0)</f>
        <v>1</v>
      </c>
      <c r="P547" s="24">
        <f>IF(AND(L547=1,OR(Dashboard!$C$13="All",A547=Dashboard!$C$13),OR(Dashboard!$C$14="All",B547=Dashboard!$C$14),OR(Dashboard!$C$15="All",C547=Dashboard!$C$15),OR(Dashboard!$C$17="All",J547=Dashboard!$C$17)),1,0)</f>
        <v>1</v>
      </c>
      <c r="Q547" s="24">
        <f>IF(AND(L547=1,OR(Dashboard!$C$14="All",B547=Dashboard!$C$14),OR(Dashboard!$C$15="All",C547=Dashboard!$C$15),OR(Dashboard!$C$16="All",K547=Dashboard!$C$16),OR(Dashboard!$C$17="All",J547=Dashboard!$C$17)),1,0)</f>
        <v>1</v>
      </c>
      <c r="R547" s="24">
        <f>IF(AND(L547=1,OR(Dashboard!$C$13="All",A547=Dashboard!$C$13),OR(Dashboard!$C$14="All",B547=Dashboard!$C$14),OR(Dashboard!$C$15="All",C547=Dashboard!$C$15),OR(Dashboard!$C$16="All",K547=Dashboard!$C$16)),1,0)</f>
        <v>1</v>
      </c>
      <c r="S547" s="24">
        <f t="shared" si="3"/>
        <v>546</v>
      </c>
    </row>
    <row r="548" ht="15.75" customHeight="1">
      <c r="A548" s="3" t="s">
        <v>514</v>
      </c>
      <c r="B548" s="4" t="s">
        <v>44</v>
      </c>
      <c r="C548" s="3" t="s">
        <v>568</v>
      </c>
      <c r="D548" s="4">
        <v>2500.0</v>
      </c>
      <c r="E548" s="14">
        <v>25.0</v>
      </c>
      <c r="F548" s="5">
        <f t="shared" si="4"/>
        <v>62500</v>
      </c>
      <c r="G548" s="6">
        <v>46290.0</v>
      </c>
      <c r="H548" s="22">
        <v>22.0</v>
      </c>
      <c r="I548" s="7">
        <f t="shared" si="5"/>
        <v>46444</v>
      </c>
      <c r="J548" s="4" t="s">
        <v>25</v>
      </c>
      <c r="K548" s="4" t="s">
        <v>31</v>
      </c>
      <c r="L548" s="24">
        <f>IF(A548="","",IF(OR(G548="",AND(G548&gt;=Dashboard!$C$18,G548&lt;=Dashboard!$C$19)),1,0))</f>
        <v>1</v>
      </c>
      <c r="M548" s="24">
        <f>IF(AND(L548=1,OR(Dashboard!$C$13="All",A548=Dashboard!$C$13),OR(Dashboard!$C$14="All",B548=Dashboard!$C$14),OR(Dashboard!$C$15="All",C548=Dashboard!$C$15),OR(Dashboard!$C$16="All",K548=Dashboard!$C$16),OR(Dashboard!$C$17="All",J548=Dashboard!$C$17)),1,0)</f>
        <v>1</v>
      </c>
      <c r="N548" s="24">
        <f>IF(AND(L548=1,OR(Dashboard!$C$13="All",A548=Dashboard!$C$13),OR(Dashboard!$C$14="All",B548=Dashboard!$C$14),OR(Dashboard!$C$16="All",K548=Dashboard!$C$16),OR(Dashboard!$C$17="All",J548=Dashboard!$C$17)),1,0)</f>
        <v>1</v>
      </c>
      <c r="O548" s="24">
        <f>IF(AND(L548=1,OR(Dashboard!$C$13="All",A548=Dashboard!$C$13),OR(Dashboard!$C$15="All",C548=Dashboard!$C$15),OR(Dashboard!$C$16="All",K548=Dashboard!$C$16),OR(Dashboard!$C$17="All",J548=Dashboard!$C$17)),1,0)</f>
        <v>1</v>
      </c>
      <c r="P548" s="24">
        <f>IF(AND(L548=1,OR(Dashboard!$C$13="All",A548=Dashboard!$C$13),OR(Dashboard!$C$14="All",B548=Dashboard!$C$14),OR(Dashboard!$C$15="All",C548=Dashboard!$C$15),OR(Dashboard!$C$17="All",J548=Dashboard!$C$17)),1,0)</f>
        <v>1</v>
      </c>
      <c r="Q548" s="24">
        <f>IF(AND(L548=1,OR(Dashboard!$C$14="All",B548=Dashboard!$C$14),OR(Dashboard!$C$15="All",C548=Dashboard!$C$15),OR(Dashboard!$C$16="All",K548=Dashboard!$C$16),OR(Dashboard!$C$17="All",J548=Dashboard!$C$17)),1,0)</f>
        <v>1</v>
      </c>
      <c r="R548" s="24">
        <f>IF(AND(L548=1,OR(Dashboard!$C$13="All",A548=Dashboard!$C$13),OR(Dashboard!$C$14="All",B548=Dashboard!$C$14),OR(Dashboard!$C$15="All",C548=Dashboard!$C$15),OR(Dashboard!$C$16="All",K548=Dashboard!$C$16)),1,0)</f>
        <v>1</v>
      </c>
      <c r="S548" s="24">
        <f t="shared" si="3"/>
        <v>547</v>
      </c>
    </row>
    <row r="549" ht="15.75" customHeight="1">
      <c r="A549" s="10" t="s">
        <v>514</v>
      </c>
      <c r="B549" s="13" t="s">
        <v>34</v>
      </c>
      <c r="C549" s="10" t="s">
        <v>325</v>
      </c>
      <c r="D549" s="13">
        <v>50.0</v>
      </c>
      <c r="E549" s="17">
        <v>245.0</v>
      </c>
      <c r="F549" s="15">
        <f t="shared" si="4"/>
        <v>12250</v>
      </c>
      <c r="G549" s="6">
        <v>46291.0</v>
      </c>
      <c r="H549" s="22">
        <v>21.0</v>
      </c>
      <c r="I549" s="16">
        <f t="shared" si="5"/>
        <v>46438</v>
      </c>
      <c r="J549" s="13" t="s">
        <v>25</v>
      </c>
      <c r="K549" s="13" t="s">
        <v>31</v>
      </c>
      <c r="L549" s="24">
        <f>IF(A549="","",IF(OR(G549="",AND(G549&gt;=Dashboard!$C$18,G549&lt;=Dashboard!$C$19)),1,0))</f>
        <v>1</v>
      </c>
      <c r="M549" s="24">
        <f>IF(AND(L549=1,OR(Dashboard!$C$13="All",A549=Dashboard!$C$13),OR(Dashboard!$C$14="All",B549=Dashboard!$C$14),OR(Dashboard!$C$15="All",C549=Dashboard!$C$15),OR(Dashboard!$C$16="All",K549=Dashboard!$C$16),OR(Dashboard!$C$17="All",J549=Dashboard!$C$17)),1,0)</f>
        <v>1</v>
      </c>
      <c r="N549" s="24">
        <f>IF(AND(L549=1,OR(Dashboard!$C$13="All",A549=Dashboard!$C$13),OR(Dashboard!$C$14="All",B549=Dashboard!$C$14),OR(Dashboard!$C$16="All",K549=Dashboard!$C$16),OR(Dashboard!$C$17="All",J549=Dashboard!$C$17)),1,0)</f>
        <v>1</v>
      </c>
      <c r="O549" s="24">
        <f>IF(AND(L549=1,OR(Dashboard!$C$13="All",A549=Dashboard!$C$13),OR(Dashboard!$C$15="All",C549=Dashboard!$C$15),OR(Dashboard!$C$16="All",K549=Dashboard!$C$16),OR(Dashboard!$C$17="All",J549=Dashboard!$C$17)),1,0)</f>
        <v>1</v>
      </c>
      <c r="P549" s="24">
        <f>IF(AND(L549=1,OR(Dashboard!$C$13="All",A549=Dashboard!$C$13),OR(Dashboard!$C$14="All",B549=Dashboard!$C$14),OR(Dashboard!$C$15="All",C549=Dashboard!$C$15),OR(Dashboard!$C$17="All",J549=Dashboard!$C$17)),1,0)</f>
        <v>1</v>
      </c>
      <c r="Q549" s="24">
        <f>IF(AND(L549=1,OR(Dashboard!$C$14="All",B549=Dashboard!$C$14),OR(Dashboard!$C$15="All",C549=Dashboard!$C$15),OR(Dashboard!$C$16="All",K549=Dashboard!$C$16),OR(Dashboard!$C$17="All",J549=Dashboard!$C$17)),1,0)</f>
        <v>1</v>
      </c>
      <c r="R549" s="24">
        <f>IF(AND(L549=1,OR(Dashboard!$C$13="All",A549=Dashboard!$C$13),OR(Dashboard!$C$14="All",B549=Dashboard!$C$14),OR(Dashboard!$C$15="All",C549=Dashboard!$C$15),OR(Dashboard!$C$16="All",K549=Dashboard!$C$16)),1,0)</f>
        <v>1</v>
      </c>
      <c r="S549" s="24">
        <f t="shared" si="3"/>
        <v>548</v>
      </c>
    </row>
    <row r="550" ht="15.75" customHeight="1">
      <c r="A550" s="3" t="s">
        <v>514</v>
      </c>
      <c r="B550" s="4" t="s">
        <v>112</v>
      </c>
      <c r="C550" s="3" t="s">
        <v>494</v>
      </c>
      <c r="D550" s="4">
        <v>100.0</v>
      </c>
      <c r="E550" s="14">
        <v>2555.0</v>
      </c>
      <c r="F550" s="5">
        <f t="shared" si="4"/>
        <v>255500</v>
      </c>
      <c r="G550" s="6">
        <v>46292.0</v>
      </c>
      <c r="H550" s="22">
        <v>20.0</v>
      </c>
      <c r="I550" s="7">
        <f t="shared" si="5"/>
        <v>46432</v>
      </c>
      <c r="J550" s="4" t="s">
        <v>25</v>
      </c>
      <c r="K550" s="4" t="s">
        <v>31</v>
      </c>
      <c r="L550" s="24">
        <f>IF(A550="","",IF(OR(G550="",AND(G550&gt;=Dashboard!$C$18,G550&lt;=Dashboard!$C$19)),1,0))</f>
        <v>1</v>
      </c>
      <c r="M550" s="24">
        <f>IF(AND(L550=1,OR(Dashboard!$C$13="All",A550=Dashboard!$C$13),OR(Dashboard!$C$14="All",B550=Dashboard!$C$14),OR(Dashboard!$C$15="All",C550=Dashboard!$C$15),OR(Dashboard!$C$16="All",K550=Dashboard!$C$16),OR(Dashboard!$C$17="All",J550=Dashboard!$C$17)),1,0)</f>
        <v>1</v>
      </c>
      <c r="N550" s="24">
        <f>IF(AND(L550=1,OR(Dashboard!$C$13="All",A550=Dashboard!$C$13),OR(Dashboard!$C$14="All",B550=Dashboard!$C$14),OR(Dashboard!$C$16="All",K550=Dashboard!$C$16),OR(Dashboard!$C$17="All",J550=Dashboard!$C$17)),1,0)</f>
        <v>1</v>
      </c>
      <c r="O550" s="24">
        <f>IF(AND(L550=1,OR(Dashboard!$C$13="All",A550=Dashboard!$C$13),OR(Dashboard!$C$15="All",C550=Dashboard!$C$15),OR(Dashboard!$C$16="All",K550=Dashboard!$C$16),OR(Dashboard!$C$17="All",J550=Dashboard!$C$17)),1,0)</f>
        <v>1</v>
      </c>
      <c r="P550" s="24">
        <f>IF(AND(L550=1,OR(Dashboard!$C$13="All",A550=Dashboard!$C$13),OR(Dashboard!$C$14="All",B550=Dashboard!$C$14),OR(Dashboard!$C$15="All",C550=Dashboard!$C$15),OR(Dashboard!$C$17="All",J550=Dashboard!$C$17)),1,0)</f>
        <v>1</v>
      </c>
      <c r="Q550" s="24">
        <f>IF(AND(L550=1,OR(Dashboard!$C$14="All",B550=Dashboard!$C$14),OR(Dashboard!$C$15="All",C550=Dashboard!$C$15),OR(Dashboard!$C$16="All",K550=Dashboard!$C$16),OR(Dashboard!$C$17="All",J550=Dashboard!$C$17)),1,0)</f>
        <v>1</v>
      </c>
      <c r="R550" s="24">
        <f>IF(AND(L550=1,OR(Dashboard!$C$13="All",A550=Dashboard!$C$13),OR(Dashboard!$C$14="All",B550=Dashboard!$C$14),OR(Dashboard!$C$15="All",C550=Dashboard!$C$15),OR(Dashboard!$C$16="All",K550=Dashboard!$C$16)),1,0)</f>
        <v>1</v>
      </c>
      <c r="S550" s="24">
        <f t="shared" si="3"/>
        <v>549</v>
      </c>
    </row>
    <row r="551" ht="15.75" customHeight="1">
      <c r="A551" s="10" t="s">
        <v>516</v>
      </c>
      <c r="B551" s="13" t="s">
        <v>39</v>
      </c>
      <c r="C551" s="10" t="s">
        <v>239</v>
      </c>
      <c r="D551" s="13">
        <v>2.0</v>
      </c>
      <c r="E551" s="17">
        <v>255.0</v>
      </c>
      <c r="F551" s="15">
        <f t="shared" si="4"/>
        <v>510</v>
      </c>
      <c r="G551" s="6">
        <v>46293.0</v>
      </c>
      <c r="H551" s="22">
        <v>18.0</v>
      </c>
      <c r="I551" s="16">
        <f t="shared" si="5"/>
        <v>46419</v>
      </c>
      <c r="J551" s="13" t="s">
        <v>25</v>
      </c>
      <c r="K551" s="13" t="s">
        <v>31</v>
      </c>
      <c r="L551" s="24">
        <f>IF(A551="","",IF(OR(G551="",AND(G551&gt;=Dashboard!$C$18,G551&lt;=Dashboard!$C$19)),1,0))</f>
        <v>1</v>
      </c>
      <c r="M551" s="24">
        <f>IF(AND(L551=1,OR(Dashboard!$C$13="All",A551=Dashboard!$C$13),OR(Dashboard!$C$14="All",B551=Dashboard!$C$14),OR(Dashboard!$C$15="All",C551=Dashboard!$C$15),OR(Dashboard!$C$16="All",K551=Dashboard!$C$16),OR(Dashboard!$C$17="All",J551=Dashboard!$C$17)),1,0)</f>
        <v>1</v>
      </c>
      <c r="N551" s="24">
        <f>IF(AND(L551=1,OR(Dashboard!$C$13="All",A551=Dashboard!$C$13),OR(Dashboard!$C$14="All",B551=Dashboard!$C$14),OR(Dashboard!$C$16="All",K551=Dashboard!$C$16),OR(Dashboard!$C$17="All",J551=Dashboard!$C$17)),1,0)</f>
        <v>1</v>
      </c>
      <c r="O551" s="24">
        <f>IF(AND(L551=1,OR(Dashboard!$C$13="All",A551=Dashboard!$C$13),OR(Dashboard!$C$15="All",C551=Dashboard!$C$15),OR(Dashboard!$C$16="All",K551=Dashboard!$C$16),OR(Dashboard!$C$17="All",J551=Dashboard!$C$17)),1,0)</f>
        <v>1</v>
      </c>
      <c r="P551" s="24">
        <f>IF(AND(L551=1,OR(Dashboard!$C$13="All",A551=Dashboard!$C$13),OR(Dashboard!$C$14="All",B551=Dashboard!$C$14),OR(Dashboard!$C$15="All",C551=Dashboard!$C$15),OR(Dashboard!$C$17="All",J551=Dashboard!$C$17)),1,0)</f>
        <v>1</v>
      </c>
      <c r="Q551" s="24">
        <f>IF(AND(L551=1,OR(Dashboard!$C$14="All",B551=Dashboard!$C$14),OR(Dashboard!$C$15="All",C551=Dashboard!$C$15),OR(Dashboard!$C$16="All",K551=Dashboard!$C$16),OR(Dashboard!$C$17="All",J551=Dashboard!$C$17)),1,0)</f>
        <v>1</v>
      </c>
      <c r="R551" s="24">
        <f>IF(AND(L551=1,OR(Dashboard!$C$13="All",A551=Dashboard!$C$13),OR(Dashboard!$C$14="All",B551=Dashboard!$C$14),OR(Dashboard!$C$15="All",C551=Dashboard!$C$15),OR(Dashboard!$C$16="All",K551=Dashboard!$C$16)),1,0)</f>
        <v>1</v>
      </c>
      <c r="S551" s="24">
        <f t="shared" si="3"/>
        <v>550</v>
      </c>
    </row>
    <row r="552" ht="15.75" customHeight="1">
      <c r="A552" s="3" t="s">
        <v>516</v>
      </c>
      <c r="B552" s="4" t="s">
        <v>44</v>
      </c>
      <c r="C552" s="3" t="s">
        <v>571</v>
      </c>
      <c r="D552" s="4">
        <v>7000.0</v>
      </c>
      <c r="E552" s="14">
        <v>45.0</v>
      </c>
      <c r="F552" s="5">
        <f t="shared" si="4"/>
        <v>315000</v>
      </c>
      <c r="G552" s="6">
        <v>46294.0</v>
      </c>
      <c r="H552" s="22">
        <v>19.0</v>
      </c>
      <c r="I552" s="7">
        <f t="shared" si="5"/>
        <v>46427</v>
      </c>
      <c r="J552" s="4" t="s">
        <v>25</v>
      </c>
      <c r="K552" s="4" t="s">
        <v>31</v>
      </c>
      <c r="L552" s="24">
        <f>IF(A552="","",IF(OR(G552="",AND(G552&gt;=Dashboard!$C$18,G552&lt;=Dashboard!$C$19)),1,0))</f>
        <v>1</v>
      </c>
      <c r="M552" s="24">
        <f>IF(AND(L552=1,OR(Dashboard!$C$13="All",A552=Dashboard!$C$13),OR(Dashboard!$C$14="All",B552=Dashboard!$C$14),OR(Dashboard!$C$15="All",C552=Dashboard!$C$15),OR(Dashboard!$C$16="All",K552=Dashboard!$C$16),OR(Dashboard!$C$17="All",J552=Dashboard!$C$17)),1,0)</f>
        <v>1</v>
      </c>
      <c r="N552" s="24">
        <f>IF(AND(L552=1,OR(Dashboard!$C$13="All",A552=Dashboard!$C$13),OR(Dashboard!$C$14="All",B552=Dashboard!$C$14),OR(Dashboard!$C$16="All",K552=Dashboard!$C$16),OR(Dashboard!$C$17="All",J552=Dashboard!$C$17)),1,0)</f>
        <v>1</v>
      </c>
      <c r="O552" s="24">
        <f>IF(AND(L552=1,OR(Dashboard!$C$13="All",A552=Dashboard!$C$13),OR(Dashboard!$C$15="All",C552=Dashboard!$C$15),OR(Dashboard!$C$16="All",K552=Dashboard!$C$16),OR(Dashboard!$C$17="All",J552=Dashboard!$C$17)),1,0)</f>
        <v>1</v>
      </c>
      <c r="P552" s="24">
        <f>IF(AND(L552=1,OR(Dashboard!$C$13="All",A552=Dashboard!$C$13),OR(Dashboard!$C$14="All",B552=Dashboard!$C$14),OR(Dashboard!$C$15="All",C552=Dashboard!$C$15),OR(Dashboard!$C$17="All",J552=Dashboard!$C$17)),1,0)</f>
        <v>1</v>
      </c>
      <c r="Q552" s="24">
        <f>IF(AND(L552=1,OR(Dashboard!$C$14="All",B552=Dashboard!$C$14),OR(Dashboard!$C$15="All",C552=Dashboard!$C$15),OR(Dashboard!$C$16="All",K552=Dashboard!$C$16),OR(Dashboard!$C$17="All",J552=Dashboard!$C$17)),1,0)</f>
        <v>1</v>
      </c>
      <c r="R552" s="24">
        <f>IF(AND(L552=1,OR(Dashboard!$C$13="All",A552=Dashboard!$C$13),OR(Dashboard!$C$14="All",B552=Dashboard!$C$14),OR(Dashboard!$C$15="All",C552=Dashboard!$C$15),OR(Dashboard!$C$16="All",K552=Dashboard!$C$16)),1,0)</f>
        <v>1</v>
      </c>
      <c r="S552" s="24">
        <f t="shared" si="3"/>
        <v>551</v>
      </c>
    </row>
    <row r="553" ht="15.75" customHeight="1">
      <c r="A553" s="10" t="s">
        <v>516</v>
      </c>
      <c r="B553" s="13" t="s">
        <v>34</v>
      </c>
      <c r="C553" s="10" t="s">
        <v>375</v>
      </c>
      <c r="D553" s="13">
        <v>3000.0</v>
      </c>
      <c r="E553" s="17">
        <v>36.0</v>
      </c>
      <c r="F553" s="15">
        <f t="shared" si="4"/>
        <v>108000</v>
      </c>
      <c r="G553" s="6">
        <v>46295.0</v>
      </c>
      <c r="H553" s="22">
        <v>5.0</v>
      </c>
      <c r="I553" s="16">
        <f t="shared" si="5"/>
        <v>46330</v>
      </c>
      <c r="J553" s="13" t="s">
        <v>25</v>
      </c>
      <c r="K553" s="13" t="s">
        <v>31</v>
      </c>
      <c r="L553" s="24">
        <f>IF(A553="","",IF(OR(G553="",AND(G553&gt;=Dashboard!$C$18,G553&lt;=Dashboard!$C$19)),1,0))</f>
        <v>1</v>
      </c>
      <c r="M553" s="24">
        <f>IF(AND(L553=1,OR(Dashboard!$C$13="All",A553=Dashboard!$C$13),OR(Dashboard!$C$14="All",B553=Dashboard!$C$14),OR(Dashboard!$C$15="All",C553=Dashboard!$C$15),OR(Dashboard!$C$16="All",K553=Dashboard!$C$16),OR(Dashboard!$C$17="All",J553=Dashboard!$C$17)),1,0)</f>
        <v>1</v>
      </c>
      <c r="N553" s="24">
        <f>IF(AND(L553=1,OR(Dashboard!$C$13="All",A553=Dashboard!$C$13),OR(Dashboard!$C$14="All",B553=Dashboard!$C$14),OR(Dashboard!$C$16="All",K553=Dashboard!$C$16),OR(Dashboard!$C$17="All",J553=Dashboard!$C$17)),1,0)</f>
        <v>1</v>
      </c>
      <c r="O553" s="24">
        <f>IF(AND(L553=1,OR(Dashboard!$C$13="All",A553=Dashboard!$C$13),OR(Dashboard!$C$15="All",C553=Dashboard!$C$15),OR(Dashboard!$C$16="All",K553=Dashboard!$C$16),OR(Dashboard!$C$17="All",J553=Dashboard!$C$17)),1,0)</f>
        <v>1</v>
      </c>
      <c r="P553" s="24">
        <f>IF(AND(L553=1,OR(Dashboard!$C$13="All",A553=Dashboard!$C$13),OR(Dashboard!$C$14="All",B553=Dashboard!$C$14),OR(Dashboard!$C$15="All",C553=Dashboard!$C$15),OR(Dashboard!$C$17="All",J553=Dashboard!$C$17)),1,0)</f>
        <v>1</v>
      </c>
      <c r="Q553" s="24">
        <f>IF(AND(L553=1,OR(Dashboard!$C$14="All",B553=Dashboard!$C$14),OR(Dashboard!$C$15="All",C553=Dashboard!$C$15),OR(Dashboard!$C$16="All",K553=Dashboard!$C$16),OR(Dashboard!$C$17="All",J553=Dashboard!$C$17)),1,0)</f>
        <v>1</v>
      </c>
      <c r="R553" s="24">
        <f>IF(AND(L553=1,OR(Dashboard!$C$13="All",A553=Dashboard!$C$13),OR(Dashboard!$C$14="All",B553=Dashboard!$C$14),OR(Dashboard!$C$15="All",C553=Dashboard!$C$15),OR(Dashboard!$C$16="All",K553=Dashboard!$C$16)),1,0)</f>
        <v>1</v>
      </c>
      <c r="S553" s="24">
        <f t="shared" si="3"/>
        <v>552</v>
      </c>
    </row>
    <row r="554" ht="15.75" customHeight="1">
      <c r="A554" s="3" t="s">
        <v>517</v>
      </c>
      <c r="B554" s="4" t="s">
        <v>95</v>
      </c>
      <c r="C554" s="3" t="s">
        <v>33</v>
      </c>
      <c r="D554" s="4">
        <v>22.0</v>
      </c>
      <c r="E554" s="14">
        <v>96.0</v>
      </c>
      <c r="F554" s="5">
        <f t="shared" si="4"/>
        <v>2112</v>
      </c>
      <c r="G554" s="6">
        <v>46296.0</v>
      </c>
      <c r="H554" s="22">
        <v>4.0</v>
      </c>
      <c r="I554" s="7">
        <f t="shared" si="5"/>
        <v>46324</v>
      </c>
      <c r="J554" s="4" t="s">
        <v>25</v>
      </c>
      <c r="K554" s="4" t="s">
        <v>31</v>
      </c>
      <c r="L554" s="24">
        <f>IF(A554="","",IF(OR(G554="",AND(G554&gt;=Dashboard!$C$18,G554&lt;=Dashboard!$C$19)),1,0))</f>
        <v>1</v>
      </c>
      <c r="M554" s="24">
        <f>IF(AND(L554=1,OR(Dashboard!$C$13="All",A554=Dashboard!$C$13),OR(Dashboard!$C$14="All",B554=Dashboard!$C$14),OR(Dashboard!$C$15="All",C554=Dashboard!$C$15),OR(Dashboard!$C$16="All",K554=Dashboard!$C$16),OR(Dashboard!$C$17="All",J554=Dashboard!$C$17)),1,0)</f>
        <v>1</v>
      </c>
      <c r="N554" s="24">
        <f>IF(AND(L554=1,OR(Dashboard!$C$13="All",A554=Dashboard!$C$13),OR(Dashboard!$C$14="All",B554=Dashboard!$C$14),OR(Dashboard!$C$16="All",K554=Dashboard!$C$16),OR(Dashboard!$C$17="All",J554=Dashboard!$C$17)),1,0)</f>
        <v>1</v>
      </c>
      <c r="O554" s="24">
        <f>IF(AND(L554=1,OR(Dashboard!$C$13="All",A554=Dashboard!$C$13),OR(Dashboard!$C$15="All",C554=Dashboard!$C$15),OR(Dashboard!$C$16="All",K554=Dashboard!$C$16),OR(Dashboard!$C$17="All",J554=Dashboard!$C$17)),1,0)</f>
        <v>1</v>
      </c>
      <c r="P554" s="24">
        <f>IF(AND(L554=1,OR(Dashboard!$C$13="All",A554=Dashboard!$C$13),OR(Dashboard!$C$14="All",B554=Dashboard!$C$14),OR(Dashboard!$C$15="All",C554=Dashboard!$C$15),OR(Dashboard!$C$17="All",J554=Dashboard!$C$17)),1,0)</f>
        <v>1</v>
      </c>
      <c r="Q554" s="24">
        <f>IF(AND(L554=1,OR(Dashboard!$C$14="All",B554=Dashboard!$C$14),OR(Dashboard!$C$15="All",C554=Dashboard!$C$15),OR(Dashboard!$C$16="All",K554=Dashboard!$C$16),OR(Dashboard!$C$17="All",J554=Dashboard!$C$17)),1,0)</f>
        <v>1</v>
      </c>
      <c r="R554" s="24">
        <f>IF(AND(L554=1,OR(Dashboard!$C$13="All",A554=Dashboard!$C$13),OR(Dashboard!$C$14="All",B554=Dashboard!$C$14),OR(Dashboard!$C$15="All",C554=Dashboard!$C$15),OR(Dashboard!$C$16="All",K554=Dashboard!$C$16)),1,0)</f>
        <v>1</v>
      </c>
      <c r="S554" s="24">
        <f t="shared" si="3"/>
        <v>553</v>
      </c>
    </row>
    <row r="555" ht="15.75" customHeight="1">
      <c r="A555" s="10" t="s">
        <v>517</v>
      </c>
      <c r="B555" s="13" t="s">
        <v>67</v>
      </c>
      <c r="C555" s="10" t="s">
        <v>397</v>
      </c>
      <c r="D555" s="13">
        <v>22.0</v>
      </c>
      <c r="E555" s="17">
        <v>8.0</v>
      </c>
      <c r="F555" s="15">
        <f t="shared" si="4"/>
        <v>176</v>
      </c>
      <c r="G555" s="6">
        <v>46297.0</v>
      </c>
      <c r="H555" s="22">
        <v>6.0</v>
      </c>
      <c r="I555" s="16">
        <f t="shared" si="5"/>
        <v>46339</v>
      </c>
      <c r="J555" s="13" t="s">
        <v>25</v>
      </c>
      <c r="K555" s="13" t="s">
        <v>31</v>
      </c>
      <c r="L555" s="24">
        <f>IF(A555="","",IF(OR(G555="",AND(G555&gt;=Dashboard!$C$18,G555&lt;=Dashboard!$C$19)),1,0))</f>
        <v>1</v>
      </c>
      <c r="M555" s="24">
        <f>IF(AND(L555=1,OR(Dashboard!$C$13="All",A555=Dashboard!$C$13),OR(Dashboard!$C$14="All",B555=Dashboard!$C$14),OR(Dashboard!$C$15="All",C555=Dashboard!$C$15),OR(Dashboard!$C$16="All",K555=Dashboard!$C$16),OR(Dashboard!$C$17="All",J555=Dashboard!$C$17)),1,0)</f>
        <v>1</v>
      </c>
      <c r="N555" s="24">
        <f>IF(AND(L555=1,OR(Dashboard!$C$13="All",A555=Dashboard!$C$13),OR(Dashboard!$C$14="All",B555=Dashboard!$C$14),OR(Dashboard!$C$16="All",K555=Dashboard!$C$16),OR(Dashboard!$C$17="All",J555=Dashboard!$C$17)),1,0)</f>
        <v>1</v>
      </c>
      <c r="O555" s="24">
        <f>IF(AND(L555=1,OR(Dashboard!$C$13="All",A555=Dashboard!$C$13),OR(Dashboard!$C$15="All",C555=Dashboard!$C$15),OR(Dashboard!$C$16="All",K555=Dashboard!$C$16),OR(Dashboard!$C$17="All",J555=Dashboard!$C$17)),1,0)</f>
        <v>1</v>
      </c>
      <c r="P555" s="24">
        <f>IF(AND(L555=1,OR(Dashboard!$C$13="All",A555=Dashboard!$C$13),OR(Dashboard!$C$14="All",B555=Dashboard!$C$14),OR(Dashboard!$C$15="All",C555=Dashboard!$C$15),OR(Dashboard!$C$17="All",J555=Dashboard!$C$17)),1,0)</f>
        <v>1</v>
      </c>
      <c r="Q555" s="24">
        <f>IF(AND(L555=1,OR(Dashboard!$C$14="All",B555=Dashboard!$C$14),OR(Dashboard!$C$15="All",C555=Dashboard!$C$15),OR(Dashboard!$C$16="All",K555=Dashboard!$C$16),OR(Dashboard!$C$17="All",J555=Dashboard!$C$17)),1,0)</f>
        <v>1</v>
      </c>
      <c r="R555" s="24">
        <f>IF(AND(L555=1,OR(Dashboard!$C$13="All",A555=Dashboard!$C$13),OR(Dashboard!$C$14="All",B555=Dashboard!$C$14),OR(Dashboard!$C$15="All",C555=Dashboard!$C$15),OR(Dashboard!$C$16="All",K555=Dashboard!$C$16)),1,0)</f>
        <v>1</v>
      </c>
      <c r="S555" s="24">
        <f t="shared" si="3"/>
        <v>554</v>
      </c>
    </row>
    <row r="556" ht="15.75" customHeight="1">
      <c r="A556" s="3" t="s">
        <v>517</v>
      </c>
      <c r="B556" s="4" t="s">
        <v>67</v>
      </c>
      <c r="C556" s="3" t="s">
        <v>413</v>
      </c>
      <c r="D556" s="4">
        <v>22.0</v>
      </c>
      <c r="E556" s="14">
        <v>5.0</v>
      </c>
      <c r="F556" s="5">
        <f t="shared" si="4"/>
        <v>110</v>
      </c>
      <c r="G556" s="6">
        <v>46298.0</v>
      </c>
      <c r="H556" s="22">
        <v>5.0</v>
      </c>
      <c r="I556" s="7">
        <f t="shared" si="5"/>
        <v>46333</v>
      </c>
      <c r="J556" s="4" t="s">
        <v>25</v>
      </c>
      <c r="K556" s="4" t="s">
        <v>31</v>
      </c>
      <c r="L556" s="24">
        <f>IF(A556="","",IF(OR(G556="",AND(G556&gt;=Dashboard!$C$18,G556&lt;=Dashboard!$C$19)),1,0))</f>
        <v>1</v>
      </c>
      <c r="M556" s="24">
        <f>IF(AND(L556=1,OR(Dashboard!$C$13="All",A556=Dashboard!$C$13),OR(Dashboard!$C$14="All",B556=Dashboard!$C$14),OR(Dashboard!$C$15="All",C556=Dashboard!$C$15),OR(Dashboard!$C$16="All",K556=Dashboard!$C$16),OR(Dashboard!$C$17="All",J556=Dashboard!$C$17)),1,0)</f>
        <v>1</v>
      </c>
      <c r="N556" s="24">
        <f>IF(AND(L556=1,OR(Dashboard!$C$13="All",A556=Dashboard!$C$13),OR(Dashboard!$C$14="All",B556=Dashboard!$C$14),OR(Dashboard!$C$16="All",K556=Dashboard!$C$16),OR(Dashboard!$C$17="All",J556=Dashboard!$C$17)),1,0)</f>
        <v>1</v>
      </c>
      <c r="O556" s="24">
        <f>IF(AND(L556=1,OR(Dashboard!$C$13="All",A556=Dashboard!$C$13),OR(Dashboard!$C$15="All",C556=Dashboard!$C$15),OR(Dashboard!$C$16="All",K556=Dashboard!$C$16),OR(Dashboard!$C$17="All",J556=Dashboard!$C$17)),1,0)</f>
        <v>1</v>
      </c>
      <c r="P556" s="24">
        <f>IF(AND(L556=1,OR(Dashboard!$C$13="All",A556=Dashboard!$C$13),OR(Dashboard!$C$14="All",B556=Dashboard!$C$14),OR(Dashboard!$C$15="All",C556=Dashboard!$C$15),OR(Dashboard!$C$17="All",J556=Dashboard!$C$17)),1,0)</f>
        <v>1</v>
      </c>
      <c r="Q556" s="24">
        <f>IF(AND(L556=1,OR(Dashboard!$C$14="All",B556=Dashboard!$C$14),OR(Dashboard!$C$15="All",C556=Dashboard!$C$15),OR(Dashboard!$C$16="All",K556=Dashboard!$C$16),OR(Dashboard!$C$17="All",J556=Dashboard!$C$17)),1,0)</f>
        <v>1</v>
      </c>
      <c r="R556" s="24">
        <f>IF(AND(L556=1,OR(Dashboard!$C$13="All",A556=Dashboard!$C$13),OR(Dashboard!$C$14="All",B556=Dashboard!$C$14),OR(Dashboard!$C$15="All",C556=Dashboard!$C$15),OR(Dashboard!$C$16="All",K556=Dashboard!$C$16)),1,0)</f>
        <v>1</v>
      </c>
      <c r="S556" s="24">
        <f t="shared" si="3"/>
        <v>555</v>
      </c>
    </row>
    <row r="557" ht="15.75" customHeight="1">
      <c r="A557" s="10" t="s">
        <v>519</v>
      </c>
      <c r="B557" s="13"/>
      <c r="C557" s="10" t="s">
        <v>292</v>
      </c>
      <c r="D557" s="13">
        <v>2.0</v>
      </c>
      <c r="E557" s="17">
        <v>4.0</v>
      </c>
      <c r="F557" s="15">
        <f t="shared" si="4"/>
        <v>8</v>
      </c>
      <c r="G557" s="6">
        <v>46299.0</v>
      </c>
      <c r="H557" s="22">
        <v>2.0</v>
      </c>
      <c r="I557" s="16">
        <f t="shared" si="5"/>
        <v>46313</v>
      </c>
      <c r="J557" s="13" t="s">
        <v>25</v>
      </c>
      <c r="K557" s="13" t="s">
        <v>31</v>
      </c>
      <c r="L557" s="24">
        <f>IF(A557="","",IF(OR(G557="",AND(G557&gt;=Dashboard!$C$18,G557&lt;=Dashboard!$C$19)),1,0))</f>
        <v>1</v>
      </c>
      <c r="M557" s="24">
        <f>IF(AND(L557=1,OR(Dashboard!$C$13="All",A557=Dashboard!$C$13),OR(Dashboard!$C$14="All",B557=Dashboard!$C$14),OR(Dashboard!$C$15="All",C557=Dashboard!$C$15),OR(Dashboard!$C$16="All",K557=Dashboard!$C$16),OR(Dashboard!$C$17="All",J557=Dashboard!$C$17)),1,0)</f>
        <v>1</v>
      </c>
      <c r="N557" s="24">
        <f>IF(AND(L557=1,OR(Dashboard!$C$13="All",A557=Dashboard!$C$13),OR(Dashboard!$C$14="All",B557=Dashboard!$C$14),OR(Dashboard!$C$16="All",K557=Dashboard!$C$16),OR(Dashboard!$C$17="All",J557=Dashboard!$C$17)),1,0)</f>
        <v>1</v>
      </c>
      <c r="O557" s="24">
        <f>IF(AND(L557=1,OR(Dashboard!$C$13="All",A557=Dashboard!$C$13),OR(Dashboard!$C$15="All",C557=Dashboard!$C$15),OR(Dashboard!$C$16="All",K557=Dashboard!$C$16),OR(Dashboard!$C$17="All",J557=Dashboard!$C$17)),1,0)</f>
        <v>1</v>
      </c>
      <c r="P557" s="24">
        <f>IF(AND(L557=1,OR(Dashboard!$C$13="All",A557=Dashboard!$C$13),OR(Dashboard!$C$14="All",B557=Dashboard!$C$14),OR(Dashboard!$C$15="All",C557=Dashboard!$C$15),OR(Dashboard!$C$17="All",J557=Dashboard!$C$17)),1,0)</f>
        <v>1</v>
      </c>
      <c r="Q557" s="24">
        <f>IF(AND(L557=1,OR(Dashboard!$C$14="All",B557=Dashboard!$C$14),OR(Dashboard!$C$15="All",C557=Dashboard!$C$15),OR(Dashboard!$C$16="All",K557=Dashboard!$C$16),OR(Dashboard!$C$17="All",J557=Dashboard!$C$17)),1,0)</f>
        <v>1</v>
      </c>
      <c r="R557" s="24">
        <f>IF(AND(L557=1,OR(Dashboard!$C$13="All",A557=Dashboard!$C$13),OR(Dashboard!$C$14="All",B557=Dashboard!$C$14),OR(Dashboard!$C$15="All",C557=Dashboard!$C$15),OR(Dashboard!$C$16="All",K557=Dashboard!$C$16)),1,0)</f>
        <v>1</v>
      </c>
      <c r="S557" s="24">
        <f t="shared" si="3"/>
        <v>556</v>
      </c>
    </row>
    <row r="558" ht="15.75" customHeight="1">
      <c r="A558" s="3" t="s">
        <v>519</v>
      </c>
      <c r="B558" s="4"/>
      <c r="C558" s="3" t="s">
        <v>583</v>
      </c>
      <c r="D558" s="4">
        <v>2.0</v>
      </c>
      <c r="E558" s="14">
        <v>2.0</v>
      </c>
      <c r="F558" s="5">
        <f t="shared" si="4"/>
        <v>4</v>
      </c>
      <c r="G558" s="6">
        <v>46300.0</v>
      </c>
      <c r="H558" s="22">
        <v>5.0</v>
      </c>
      <c r="I558" s="7">
        <f t="shared" si="5"/>
        <v>46335</v>
      </c>
      <c r="J558" s="4" t="s">
        <v>25</v>
      </c>
      <c r="K558" s="4" t="s">
        <v>31</v>
      </c>
      <c r="L558" s="24">
        <f>IF(A558="","",IF(OR(G558="",AND(G558&gt;=Dashboard!$C$18,G558&lt;=Dashboard!$C$19)),1,0))</f>
        <v>1</v>
      </c>
      <c r="M558" s="24">
        <f>IF(AND(L558=1,OR(Dashboard!$C$13="All",A558=Dashboard!$C$13),OR(Dashboard!$C$14="All",B558=Dashboard!$C$14),OR(Dashboard!$C$15="All",C558=Dashboard!$C$15),OR(Dashboard!$C$16="All",K558=Dashboard!$C$16),OR(Dashboard!$C$17="All",J558=Dashboard!$C$17)),1,0)</f>
        <v>1</v>
      </c>
      <c r="N558" s="24">
        <f>IF(AND(L558=1,OR(Dashboard!$C$13="All",A558=Dashboard!$C$13),OR(Dashboard!$C$14="All",B558=Dashboard!$C$14),OR(Dashboard!$C$16="All",K558=Dashboard!$C$16),OR(Dashboard!$C$17="All",J558=Dashboard!$C$17)),1,0)</f>
        <v>1</v>
      </c>
      <c r="O558" s="24">
        <f>IF(AND(L558=1,OR(Dashboard!$C$13="All",A558=Dashboard!$C$13),OR(Dashboard!$C$15="All",C558=Dashboard!$C$15),OR(Dashboard!$C$16="All",K558=Dashboard!$C$16),OR(Dashboard!$C$17="All",J558=Dashboard!$C$17)),1,0)</f>
        <v>1</v>
      </c>
      <c r="P558" s="24">
        <f>IF(AND(L558=1,OR(Dashboard!$C$13="All",A558=Dashboard!$C$13),OR(Dashboard!$C$14="All",B558=Dashboard!$C$14),OR(Dashboard!$C$15="All",C558=Dashboard!$C$15),OR(Dashboard!$C$17="All",J558=Dashboard!$C$17)),1,0)</f>
        <v>1</v>
      </c>
      <c r="Q558" s="24">
        <f>IF(AND(L558=1,OR(Dashboard!$C$14="All",B558=Dashboard!$C$14),OR(Dashboard!$C$15="All",C558=Dashboard!$C$15),OR(Dashboard!$C$16="All",K558=Dashboard!$C$16),OR(Dashboard!$C$17="All",J558=Dashboard!$C$17)),1,0)</f>
        <v>1</v>
      </c>
      <c r="R558" s="24">
        <f>IF(AND(L558=1,OR(Dashboard!$C$13="All",A558=Dashboard!$C$13),OR(Dashboard!$C$14="All",B558=Dashboard!$C$14),OR(Dashboard!$C$15="All",C558=Dashboard!$C$15),OR(Dashboard!$C$16="All",K558=Dashboard!$C$16)),1,0)</f>
        <v>1</v>
      </c>
      <c r="S558" s="24">
        <f t="shared" si="3"/>
        <v>557</v>
      </c>
    </row>
    <row r="559" ht="15.75" customHeight="1">
      <c r="A559" s="10" t="s">
        <v>519</v>
      </c>
      <c r="B559" s="13" t="s">
        <v>95</v>
      </c>
      <c r="C559" s="10" t="s">
        <v>553</v>
      </c>
      <c r="D559" s="13">
        <v>2.0</v>
      </c>
      <c r="E559" s="17">
        <v>36.0</v>
      </c>
      <c r="F559" s="15">
        <f t="shared" si="4"/>
        <v>72</v>
      </c>
      <c r="G559" s="6">
        <v>46301.0</v>
      </c>
      <c r="H559" s="22">
        <v>2.0</v>
      </c>
      <c r="I559" s="16">
        <f t="shared" si="5"/>
        <v>46315</v>
      </c>
      <c r="J559" s="13" t="s">
        <v>25</v>
      </c>
      <c r="K559" s="13" t="s">
        <v>31</v>
      </c>
      <c r="L559" s="24">
        <f>IF(A559="","",IF(OR(G559="",AND(G559&gt;=Dashboard!$C$18,G559&lt;=Dashboard!$C$19)),1,0))</f>
        <v>1</v>
      </c>
      <c r="M559" s="24">
        <f>IF(AND(L559=1,OR(Dashboard!$C$13="All",A559=Dashboard!$C$13),OR(Dashboard!$C$14="All",B559=Dashboard!$C$14),OR(Dashboard!$C$15="All",C559=Dashboard!$C$15),OR(Dashboard!$C$16="All",K559=Dashboard!$C$16),OR(Dashboard!$C$17="All",J559=Dashboard!$C$17)),1,0)</f>
        <v>1</v>
      </c>
      <c r="N559" s="24">
        <f>IF(AND(L559=1,OR(Dashboard!$C$13="All",A559=Dashboard!$C$13),OR(Dashboard!$C$14="All",B559=Dashboard!$C$14),OR(Dashboard!$C$16="All",K559=Dashboard!$C$16),OR(Dashboard!$C$17="All",J559=Dashboard!$C$17)),1,0)</f>
        <v>1</v>
      </c>
      <c r="O559" s="24">
        <f>IF(AND(L559=1,OR(Dashboard!$C$13="All",A559=Dashboard!$C$13),OR(Dashboard!$C$15="All",C559=Dashboard!$C$15),OR(Dashboard!$C$16="All",K559=Dashboard!$C$16),OR(Dashboard!$C$17="All",J559=Dashboard!$C$17)),1,0)</f>
        <v>1</v>
      </c>
      <c r="P559" s="24">
        <f>IF(AND(L559=1,OR(Dashboard!$C$13="All",A559=Dashboard!$C$13),OR(Dashboard!$C$14="All",B559=Dashboard!$C$14),OR(Dashboard!$C$15="All",C559=Dashboard!$C$15),OR(Dashboard!$C$17="All",J559=Dashboard!$C$17)),1,0)</f>
        <v>1</v>
      </c>
      <c r="Q559" s="24">
        <f>IF(AND(L559=1,OR(Dashboard!$C$14="All",B559=Dashboard!$C$14),OR(Dashboard!$C$15="All",C559=Dashboard!$C$15),OR(Dashboard!$C$16="All",K559=Dashboard!$C$16),OR(Dashboard!$C$17="All",J559=Dashboard!$C$17)),1,0)</f>
        <v>1</v>
      </c>
      <c r="R559" s="24">
        <f>IF(AND(L559=1,OR(Dashboard!$C$13="All",A559=Dashboard!$C$13),OR(Dashboard!$C$14="All",B559=Dashboard!$C$14),OR(Dashboard!$C$15="All",C559=Dashboard!$C$15),OR(Dashboard!$C$16="All",K559=Dashboard!$C$16)),1,0)</f>
        <v>1</v>
      </c>
      <c r="S559" s="24">
        <f t="shared" si="3"/>
        <v>558</v>
      </c>
    </row>
    <row r="560" ht="15.75" customHeight="1">
      <c r="A560" s="3" t="s">
        <v>521</v>
      </c>
      <c r="B560" s="4" t="s">
        <v>71</v>
      </c>
      <c r="C560" s="3" t="s">
        <v>531</v>
      </c>
      <c r="D560" s="4">
        <v>1.0</v>
      </c>
      <c r="E560" s="5">
        <v>2.0</v>
      </c>
      <c r="F560" s="5">
        <f t="shared" si="4"/>
        <v>2</v>
      </c>
      <c r="G560" s="6">
        <v>46302.0</v>
      </c>
      <c r="H560" s="22">
        <v>4.0</v>
      </c>
      <c r="I560" s="7">
        <f t="shared" si="5"/>
        <v>46330</v>
      </c>
      <c r="J560" s="4" t="s">
        <v>25</v>
      </c>
      <c r="K560" s="4" t="s">
        <v>31</v>
      </c>
      <c r="L560" s="24">
        <f>IF(A560="","",IF(OR(G560="",AND(G560&gt;=Dashboard!$C$18,G560&lt;=Dashboard!$C$19)),1,0))</f>
        <v>1</v>
      </c>
      <c r="M560" s="24">
        <f>IF(AND(L560=1,OR(Dashboard!$C$13="All",A560=Dashboard!$C$13),OR(Dashboard!$C$14="All",B560=Dashboard!$C$14),OR(Dashboard!$C$15="All",C560=Dashboard!$C$15),OR(Dashboard!$C$16="All",K560=Dashboard!$C$16),OR(Dashboard!$C$17="All",J560=Dashboard!$C$17)),1,0)</f>
        <v>1</v>
      </c>
      <c r="N560" s="24">
        <f>IF(AND(L560=1,OR(Dashboard!$C$13="All",A560=Dashboard!$C$13),OR(Dashboard!$C$14="All",B560=Dashboard!$C$14),OR(Dashboard!$C$16="All",K560=Dashboard!$C$16),OR(Dashboard!$C$17="All",J560=Dashboard!$C$17)),1,0)</f>
        <v>1</v>
      </c>
      <c r="O560" s="24">
        <f>IF(AND(L560=1,OR(Dashboard!$C$13="All",A560=Dashboard!$C$13),OR(Dashboard!$C$15="All",C560=Dashboard!$C$15),OR(Dashboard!$C$16="All",K560=Dashboard!$C$16),OR(Dashboard!$C$17="All",J560=Dashboard!$C$17)),1,0)</f>
        <v>1</v>
      </c>
      <c r="P560" s="24">
        <f>IF(AND(L560=1,OR(Dashboard!$C$13="All",A560=Dashboard!$C$13),OR(Dashboard!$C$14="All",B560=Dashboard!$C$14),OR(Dashboard!$C$15="All",C560=Dashboard!$C$15),OR(Dashboard!$C$17="All",J560=Dashboard!$C$17)),1,0)</f>
        <v>1</v>
      </c>
      <c r="Q560" s="24">
        <f>IF(AND(L560=1,OR(Dashboard!$C$14="All",B560=Dashboard!$C$14),OR(Dashboard!$C$15="All",C560=Dashboard!$C$15),OR(Dashboard!$C$16="All",K560=Dashboard!$C$16),OR(Dashboard!$C$17="All",J560=Dashboard!$C$17)),1,0)</f>
        <v>1</v>
      </c>
      <c r="R560" s="24">
        <f>IF(AND(L560=1,OR(Dashboard!$C$13="All",A560=Dashboard!$C$13),OR(Dashboard!$C$14="All",B560=Dashboard!$C$14),OR(Dashboard!$C$15="All",C560=Dashboard!$C$15),OR(Dashboard!$C$16="All",K560=Dashboard!$C$16)),1,0)</f>
        <v>1</v>
      </c>
      <c r="S560" s="24">
        <f t="shared" si="3"/>
        <v>559</v>
      </c>
    </row>
    <row r="561" ht="15.75" customHeight="1">
      <c r="A561" s="10" t="s">
        <v>521</v>
      </c>
      <c r="B561" s="13" t="s">
        <v>44</v>
      </c>
      <c r="C561" s="10" t="s">
        <v>571</v>
      </c>
      <c r="D561" s="13">
        <v>5000.0</v>
      </c>
      <c r="E561" s="14">
        <v>5.0</v>
      </c>
      <c r="F561" s="15">
        <f t="shared" si="4"/>
        <v>25000</v>
      </c>
      <c r="G561" s="6">
        <v>46303.0</v>
      </c>
      <c r="H561" s="22">
        <v>3.0</v>
      </c>
      <c r="I561" s="16">
        <f t="shared" si="5"/>
        <v>46324</v>
      </c>
      <c r="J561" s="13" t="s">
        <v>25</v>
      </c>
      <c r="K561" s="13" t="s">
        <v>31</v>
      </c>
      <c r="L561" s="24">
        <f>IF(A561="","",IF(OR(G561="",AND(G561&gt;=Dashboard!$C$18,G561&lt;=Dashboard!$C$19)),1,0))</f>
        <v>1</v>
      </c>
      <c r="M561" s="24">
        <f>IF(AND(L561=1,OR(Dashboard!$C$13="All",A561=Dashboard!$C$13),OR(Dashboard!$C$14="All",B561=Dashboard!$C$14),OR(Dashboard!$C$15="All",C561=Dashboard!$C$15),OR(Dashboard!$C$16="All",K561=Dashboard!$C$16),OR(Dashboard!$C$17="All",J561=Dashboard!$C$17)),1,0)</f>
        <v>1</v>
      </c>
      <c r="N561" s="24">
        <f>IF(AND(L561=1,OR(Dashboard!$C$13="All",A561=Dashboard!$C$13),OR(Dashboard!$C$14="All",B561=Dashboard!$C$14),OR(Dashboard!$C$16="All",K561=Dashboard!$C$16),OR(Dashboard!$C$17="All",J561=Dashboard!$C$17)),1,0)</f>
        <v>1</v>
      </c>
      <c r="O561" s="24">
        <f>IF(AND(L561=1,OR(Dashboard!$C$13="All",A561=Dashboard!$C$13),OR(Dashboard!$C$15="All",C561=Dashboard!$C$15),OR(Dashboard!$C$16="All",K561=Dashboard!$C$16),OR(Dashboard!$C$17="All",J561=Dashboard!$C$17)),1,0)</f>
        <v>1</v>
      </c>
      <c r="P561" s="24">
        <f>IF(AND(L561=1,OR(Dashboard!$C$13="All",A561=Dashboard!$C$13),OR(Dashboard!$C$14="All",B561=Dashboard!$C$14),OR(Dashboard!$C$15="All",C561=Dashboard!$C$15),OR(Dashboard!$C$17="All",J561=Dashboard!$C$17)),1,0)</f>
        <v>1</v>
      </c>
      <c r="Q561" s="24">
        <f>IF(AND(L561=1,OR(Dashboard!$C$14="All",B561=Dashboard!$C$14),OR(Dashboard!$C$15="All",C561=Dashboard!$C$15),OR(Dashboard!$C$16="All",K561=Dashboard!$C$16),OR(Dashboard!$C$17="All",J561=Dashboard!$C$17)),1,0)</f>
        <v>1</v>
      </c>
      <c r="R561" s="24">
        <f>IF(AND(L561=1,OR(Dashboard!$C$13="All",A561=Dashboard!$C$13),OR(Dashboard!$C$14="All",B561=Dashboard!$C$14),OR(Dashboard!$C$15="All",C561=Dashboard!$C$15),OR(Dashboard!$C$16="All",K561=Dashboard!$C$16)),1,0)</f>
        <v>1</v>
      </c>
      <c r="S561" s="24">
        <f t="shared" si="3"/>
        <v>560</v>
      </c>
    </row>
    <row r="562" ht="15.75" customHeight="1">
      <c r="A562" s="3" t="s">
        <v>521</v>
      </c>
      <c r="B562" s="4" t="s">
        <v>112</v>
      </c>
      <c r="C562" s="3" t="s">
        <v>613</v>
      </c>
      <c r="D562" s="4">
        <v>3500.0</v>
      </c>
      <c r="E562" s="17">
        <v>6.0</v>
      </c>
      <c r="F562" s="5">
        <f t="shared" si="4"/>
        <v>21000</v>
      </c>
      <c r="G562" s="6">
        <v>46304.0</v>
      </c>
      <c r="H562" s="22">
        <v>6.0</v>
      </c>
      <c r="I562" s="7">
        <f t="shared" si="5"/>
        <v>46346</v>
      </c>
      <c r="J562" s="4" t="s">
        <v>25</v>
      </c>
      <c r="K562" s="4" t="s">
        <v>31</v>
      </c>
      <c r="L562" s="24">
        <f>IF(A562="","",IF(OR(G562="",AND(G562&gt;=Dashboard!$C$18,G562&lt;=Dashboard!$C$19)),1,0))</f>
        <v>1</v>
      </c>
      <c r="M562" s="24">
        <f>IF(AND(L562=1,OR(Dashboard!$C$13="All",A562=Dashboard!$C$13),OR(Dashboard!$C$14="All",B562=Dashboard!$C$14),OR(Dashboard!$C$15="All",C562=Dashboard!$C$15),OR(Dashboard!$C$16="All",K562=Dashboard!$C$16),OR(Dashboard!$C$17="All",J562=Dashboard!$C$17)),1,0)</f>
        <v>1</v>
      </c>
      <c r="N562" s="24">
        <f>IF(AND(L562=1,OR(Dashboard!$C$13="All",A562=Dashboard!$C$13),OR(Dashboard!$C$14="All",B562=Dashboard!$C$14),OR(Dashboard!$C$16="All",K562=Dashboard!$C$16),OR(Dashboard!$C$17="All",J562=Dashboard!$C$17)),1,0)</f>
        <v>1</v>
      </c>
      <c r="O562" s="24">
        <f>IF(AND(L562=1,OR(Dashboard!$C$13="All",A562=Dashboard!$C$13),OR(Dashboard!$C$15="All",C562=Dashboard!$C$15),OR(Dashboard!$C$16="All",K562=Dashboard!$C$16),OR(Dashboard!$C$17="All",J562=Dashboard!$C$17)),1,0)</f>
        <v>1</v>
      </c>
      <c r="P562" s="24">
        <f>IF(AND(L562=1,OR(Dashboard!$C$13="All",A562=Dashboard!$C$13),OR(Dashboard!$C$14="All",B562=Dashboard!$C$14),OR(Dashboard!$C$15="All",C562=Dashboard!$C$15),OR(Dashboard!$C$17="All",J562=Dashboard!$C$17)),1,0)</f>
        <v>1</v>
      </c>
      <c r="Q562" s="24">
        <f>IF(AND(L562=1,OR(Dashboard!$C$14="All",B562=Dashboard!$C$14),OR(Dashboard!$C$15="All",C562=Dashboard!$C$15),OR(Dashboard!$C$16="All",K562=Dashboard!$C$16),OR(Dashboard!$C$17="All",J562=Dashboard!$C$17)),1,0)</f>
        <v>1</v>
      </c>
      <c r="R562" s="24">
        <f>IF(AND(L562=1,OR(Dashboard!$C$13="All",A562=Dashboard!$C$13),OR(Dashboard!$C$14="All",B562=Dashboard!$C$14),OR(Dashboard!$C$15="All",C562=Dashboard!$C$15),OR(Dashboard!$C$16="All",K562=Dashboard!$C$16)),1,0)</f>
        <v>1</v>
      </c>
      <c r="S562" s="24">
        <f t="shared" si="3"/>
        <v>561</v>
      </c>
    </row>
    <row r="563" ht="15.75" customHeight="1">
      <c r="A563" s="10" t="s">
        <v>521</v>
      </c>
      <c r="B563" s="13"/>
      <c r="C563" s="10" t="s">
        <v>336</v>
      </c>
      <c r="D563" s="13">
        <v>1500.0</v>
      </c>
      <c r="E563" s="14">
        <v>7.0</v>
      </c>
      <c r="F563" s="15">
        <f t="shared" si="4"/>
        <v>10500</v>
      </c>
      <c r="G563" s="6">
        <v>46305.0</v>
      </c>
      <c r="H563" s="22">
        <v>22.0</v>
      </c>
      <c r="I563" s="16">
        <f t="shared" si="5"/>
        <v>46459</v>
      </c>
      <c r="J563" s="13" t="s">
        <v>25</v>
      </c>
      <c r="K563" s="13" t="s">
        <v>31</v>
      </c>
      <c r="L563" s="24">
        <f>IF(A563="","",IF(OR(G563="",AND(G563&gt;=Dashboard!$C$18,G563&lt;=Dashboard!$C$19)),1,0))</f>
        <v>1</v>
      </c>
      <c r="M563" s="24">
        <f>IF(AND(L563=1,OR(Dashboard!$C$13="All",A563=Dashboard!$C$13),OR(Dashboard!$C$14="All",B563=Dashboard!$C$14),OR(Dashboard!$C$15="All",C563=Dashboard!$C$15),OR(Dashboard!$C$16="All",K563=Dashboard!$C$16),OR(Dashboard!$C$17="All",J563=Dashboard!$C$17)),1,0)</f>
        <v>1</v>
      </c>
      <c r="N563" s="24">
        <f>IF(AND(L563=1,OR(Dashboard!$C$13="All",A563=Dashboard!$C$13),OR(Dashboard!$C$14="All",B563=Dashboard!$C$14),OR(Dashboard!$C$16="All",K563=Dashboard!$C$16),OR(Dashboard!$C$17="All",J563=Dashboard!$C$17)),1,0)</f>
        <v>1</v>
      </c>
      <c r="O563" s="24">
        <f>IF(AND(L563=1,OR(Dashboard!$C$13="All",A563=Dashboard!$C$13),OR(Dashboard!$C$15="All",C563=Dashboard!$C$15),OR(Dashboard!$C$16="All",K563=Dashboard!$C$16),OR(Dashboard!$C$17="All",J563=Dashboard!$C$17)),1,0)</f>
        <v>1</v>
      </c>
      <c r="P563" s="24">
        <f>IF(AND(L563=1,OR(Dashboard!$C$13="All",A563=Dashboard!$C$13),OR(Dashboard!$C$14="All",B563=Dashboard!$C$14),OR(Dashboard!$C$15="All",C563=Dashboard!$C$15),OR(Dashboard!$C$17="All",J563=Dashboard!$C$17)),1,0)</f>
        <v>1</v>
      </c>
      <c r="Q563" s="24">
        <f>IF(AND(L563=1,OR(Dashboard!$C$14="All",B563=Dashboard!$C$14),OR(Dashboard!$C$15="All",C563=Dashboard!$C$15),OR(Dashboard!$C$16="All",K563=Dashboard!$C$16),OR(Dashboard!$C$17="All",J563=Dashboard!$C$17)),1,0)</f>
        <v>1</v>
      </c>
      <c r="R563" s="24">
        <f>IF(AND(L563=1,OR(Dashboard!$C$13="All",A563=Dashboard!$C$13),OR(Dashboard!$C$14="All",B563=Dashboard!$C$14),OR(Dashboard!$C$15="All",C563=Dashboard!$C$15),OR(Dashboard!$C$16="All",K563=Dashboard!$C$16)),1,0)</f>
        <v>1</v>
      </c>
      <c r="S563" s="24">
        <f t="shared" si="3"/>
        <v>562</v>
      </c>
    </row>
    <row r="564" ht="15.75" customHeight="1">
      <c r="A564" s="3" t="s">
        <v>521</v>
      </c>
      <c r="B564" s="4" t="s">
        <v>39</v>
      </c>
      <c r="C564" s="3" t="s">
        <v>239</v>
      </c>
      <c r="D564" s="4">
        <v>5.0</v>
      </c>
      <c r="E564" s="17">
        <v>8.0</v>
      </c>
      <c r="F564" s="5">
        <f t="shared" si="4"/>
        <v>40</v>
      </c>
      <c r="G564" s="6">
        <v>46306.0</v>
      </c>
      <c r="H564" s="22">
        <v>24.0</v>
      </c>
      <c r="I564" s="7">
        <f t="shared" si="5"/>
        <v>46474</v>
      </c>
      <c r="J564" s="4" t="s">
        <v>25</v>
      </c>
      <c r="K564" s="4" t="s">
        <v>31</v>
      </c>
      <c r="L564" s="24">
        <f>IF(A564="","",IF(OR(G564="",AND(G564&gt;=Dashboard!$C$18,G564&lt;=Dashboard!$C$19)),1,0))</f>
        <v>1</v>
      </c>
      <c r="M564" s="24">
        <f>IF(AND(L564=1,OR(Dashboard!$C$13="All",A564=Dashboard!$C$13),OR(Dashboard!$C$14="All",B564=Dashboard!$C$14),OR(Dashboard!$C$15="All",C564=Dashboard!$C$15),OR(Dashboard!$C$16="All",K564=Dashboard!$C$16),OR(Dashboard!$C$17="All",J564=Dashboard!$C$17)),1,0)</f>
        <v>1</v>
      </c>
      <c r="N564" s="24">
        <f>IF(AND(L564=1,OR(Dashboard!$C$13="All",A564=Dashboard!$C$13),OR(Dashboard!$C$14="All",B564=Dashboard!$C$14),OR(Dashboard!$C$16="All",K564=Dashboard!$C$16),OR(Dashboard!$C$17="All",J564=Dashboard!$C$17)),1,0)</f>
        <v>1</v>
      </c>
      <c r="O564" s="24">
        <f>IF(AND(L564=1,OR(Dashboard!$C$13="All",A564=Dashboard!$C$13),OR(Dashboard!$C$15="All",C564=Dashboard!$C$15),OR(Dashboard!$C$16="All",K564=Dashboard!$C$16),OR(Dashboard!$C$17="All",J564=Dashboard!$C$17)),1,0)</f>
        <v>1</v>
      </c>
      <c r="P564" s="24">
        <f>IF(AND(L564=1,OR(Dashboard!$C$13="All",A564=Dashboard!$C$13),OR(Dashboard!$C$14="All",B564=Dashboard!$C$14),OR(Dashboard!$C$15="All",C564=Dashboard!$C$15),OR(Dashboard!$C$17="All",J564=Dashboard!$C$17)),1,0)</f>
        <v>1</v>
      </c>
      <c r="Q564" s="24">
        <f>IF(AND(L564=1,OR(Dashboard!$C$14="All",B564=Dashboard!$C$14),OR(Dashboard!$C$15="All",C564=Dashboard!$C$15),OR(Dashboard!$C$16="All",K564=Dashboard!$C$16),OR(Dashboard!$C$17="All",J564=Dashboard!$C$17)),1,0)</f>
        <v>1</v>
      </c>
      <c r="R564" s="24">
        <f>IF(AND(L564=1,OR(Dashboard!$C$13="All",A564=Dashboard!$C$13),OR(Dashboard!$C$14="All",B564=Dashboard!$C$14),OR(Dashboard!$C$15="All",C564=Dashboard!$C$15),OR(Dashboard!$C$16="All",K564=Dashboard!$C$16)),1,0)</f>
        <v>1</v>
      </c>
      <c r="S564" s="24">
        <f t="shared" si="3"/>
        <v>563</v>
      </c>
    </row>
    <row r="565" ht="15.75" customHeight="1">
      <c r="A565" s="10" t="s">
        <v>524</v>
      </c>
      <c r="B565" s="13" t="s">
        <v>112</v>
      </c>
      <c r="C565" s="10" t="s">
        <v>639</v>
      </c>
      <c r="D565" s="13">
        <v>500.0</v>
      </c>
      <c r="E565" s="14">
        <v>2.0</v>
      </c>
      <c r="F565" s="15">
        <f t="shared" si="4"/>
        <v>1000</v>
      </c>
      <c r="G565" s="6">
        <v>46307.0</v>
      </c>
      <c r="H565" s="22">
        <v>24.0</v>
      </c>
      <c r="I565" s="16">
        <f t="shared" si="5"/>
        <v>46475</v>
      </c>
      <c r="J565" s="13" t="s">
        <v>25</v>
      </c>
      <c r="K565" s="13" t="s">
        <v>31</v>
      </c>
      <c r="L565" s="24">
        <f>IF(A565="","",IF(OR(G565="",AND(G565&gt;=Dashboard!$C$18,G565&lt;=Dashboard!$C$19)),1,0))</f>
        <v>1</v>
      </c>
      <c r="M565" s="24">
        <f>IF(AND(L565=1,OR(Dashboard!$C$13="All",A565=Dashboard!$C$13),OR(Dashboard!$C$14="All",B565=Dashboard!$C$14),OR(Dashboard!$C$15="All",C565=Dashboard!$C$15),OR(Dashboard!$C$16="All",K565=Dashboard!$C$16),OR(Dashboard!$C$17="All",J565=Dashboard!$C$17)),1,0)</f>
        <v>1</v>
      </c>
      <c r="N565" s="24">
        <f>IF(AND(L565=1,OR(Dashboard!$C$13="All",A565=Dashboard!$C$13),OR(Dashboard!$C$14="All",B565=Dashboard!$C$14),OR(Dashboard!$C$16="All",K565=Dashboard!$C$16),OR(Dashboard!$C$17="All",J565=Dashboard!$C$17)),1,0)</f>
        <v>1</v>
      </c>
      <c r="O565" s="24">
        <f>IF(AND(L565=1,OR(Dashboard!$C$13="All",A565=Dashboard!$C$13),OR(Dashboard!$C$15="All",C565=Dashboard!$C$15),OR(Dashboard!$C$16="All",K565=Dashboard!$C$16),OR(Dashboard!$C$17="All",J565=Dashboard!$C$17)),1,0)</f>
        <v>1</v>
      </c>
      <c r="P565" s="24">
        <f>IF(AND(L565=1,OR(Dashboard!$C$13="All",A565=Dashboard!$C$13),OR(Dashboard!$C$14="All",B565=Dashboard!$C$14),OR(Dashboard!$C$15="All",C565=Dashboard!$C$15),OR(Dashboard!$C$17="All",J565=Dashboard!$C$17)),1,0)</f>
        <v>1</v>
      </c>
      <c r="Q565" s="24">
        <f>IF(AND(L565=1,OR(Dashboard!$C$14="All",B565=Dashboard!$C$14),OR(Dashboard!$C$15="All",C565=Dashboard!$C$15),OR(Dashboard!$C$16="All",K565=Dashboard!$C$16),OR(Dashboard!$C$17="All",J565=Dashboard!$C$17)),1,0)</f>
        <v>1</v>
      </c>
      <c r="R565" s="24">
        <f>IF(AND(L565=1,OR(Dashboard!$C$13="All",A565=Dashboard!$C$13),OR(Dashboard!$C$14="All",B565=Dashboard!$C$14),OR(Dashboard!$C$15="All",C565=Dashboard!$C$15),OR(Dashboard!$C$16="All",K565=Dashboard!$C$16)),1,0)</f>
        <v>1</v>
      </c>
      <c r="S565" s="24">
        <f t="shared" si="3"/>
        <v>564</v>
      </c>
    </row>
    <row r="566" ht="15.75" customHeight="1">
      <c r="A566" s="3" t="s">
        <v>526</v>
      </c>
      <c r="B566" s="4"/>
      <c r="C566" s="3" t="s">
        <v>460</v>
      </c>
      <c r="D566" s="4">
        <v>100.0</v>
      </c>
      <c r="E566" s="17">
        <v>15.0</v>
      </c>
      <c r="F566" s="5">
        <f t="shared" si="4"/>
        <v>1500</v>
      </c>
      <c r="G566" s="6">
        <v>46308.0</v>
      </c>
      <c r="H566" s="22">
        <v>23.0</v>
      </c>
      <c r="I566" s="7">
        <f t="shared" si="5"/>
        <v>46469</v>
      </c>
      <c r="J566" s="4" t="s">
        <v>25</v>
      </c>
      <c r="K566" s="4" t="s">
        <v>31</v>
      </c>
      <c r="L566" s="24">
        <f>IF(A566="","",IF(OR(G566="",AND(G566&gt;=Dashboard!$C$18,G566&lt;=Dashboard!$C$19)),1,0))</f>
        <v>1</v>
      </c>
      <c r="M566" s="24">
        <f>IF(AND(L566=1,OR(Dashboard!$C$13="All",A566=Dashboard!$C$13),OR(Dashboard!$C$14="All",B566=Dashboard!$C$14),OR(Dashboard!$C$15="All",C566=Dashboard!$C$15),OR(Dashboard!$C$16="All",K566=Dashboard!$C$16),OR(Dashboard!$C$17="All",J566=Dashboard!$C$17)),1,0)</f>
        <v>1</v>
      </c>
      <c r="N566" s="24">
        <f>IF(AND(L566=1,OR(Dashboard!$C$13="All",A566=Dashboard!$C$13),OR(Dashboard!$C$14="All",B566=Dashboard!$C$14),OR(Dashboard!$C$16="All",K566=Dashboard!$C$16),OR(Dashboard!$C$17="All",J566=Dashboard!$C$17)),1,0)</f>
        <v>1</v>
      </c>
      <c r="O566" s="24">
        <f>IF(AND(L566=1,OR(Dashboard!$C$13="All",A566=Dashboard!$C$13),OR(Dashboard!$C$15="All",C566=Dashboard!$C$15),OR(Dashboard!$C$16="All",K566=Dashboard!$C$16),OR(Dashboard!$C$17="All",J566=Dashboard!$C$17)),1,0)</f>
        <v>1</v>
      </c>
      <c r="P566" s="24">
        <f>IF(AND(L566=1,OR(Dashboard!$C$13="All",A566=Dashboard!$C$13),OR(Dashboard!$C$14="All",B566=Dashboard!$C$14),OR(Dashboard!$C$15="All",C566=Dashboard!$C$15),OR(Dashboard!$C$17="All",J566=Dashboard!$C$17)),1,0)</f>
        <v>1</v>
      </c>
      <c r="Q566" s="24">
        <f>IF(AND(L566=1,OR(Dashboard!$C$14="All",B566=Dashboard!$C$14),OR(Dashboard!$C$15="All",C566=Dashboard!$C$15),OR(Dashboard!$C$16="All",K566=Dashboard!$C$16),OR(Dashboard!$C$17="All",J566=Dashboard!$C$17)),1,0)</f>
        <v>1</v>
      </c>
      <c r="R566" s="24">
        <f>IF(AND(L566=1,OR(Dashboard!$C$13="All",A566=Dashboard!$C$13),OR(Dashboard!$C$14="All",B566=Dashboard!$C$14),OR(Dashboard!$C$15="All",C566=Dashboard!$C$15),OR(Dashboard!$C$16="All",K566=Dashboard!$C$16)),1,0)</f>
        <v>1</v>
      </c>
      <c r="S566" s="24">
        <f t="shared" si="3"/>
        <v>565</v>
      </c>
    </row>
    <row r="567" ht="15.75" customHeight="1">
      <c r="A567" s="10" t="s">
        <v>529</v>
      </c>
      <c r="B567" s="13" t="s">
        <v>54</v>
      </c>
      <c r="C567" s="10" t="s">
        <v>540</v>
      </c>
      <c r="D567" s="13">
        <v>1.0</v>
      </c>
      <c r="E567" s="14">
        <v>45.0</v>
      </c>
      <c r="F567" s="15">
        <f t="shared" si="4"/>
        <v>45</v>
      </c>
      <c r="G567" s="6">
        <v>46309.0</v>
      </c>
      <c r="H567" s="22">
        <v>24.0</v>
      </c>
      <c r="I567" s="16">
        <f t="shared" si="5"/>
        <v>46477</v>
      </c>
      <c r="J567" s="13" t="s">
        <v>25</v>
      </c>
      <c r="K567" s="13" t="s">
        <v>31</v>
      </c>
      <c r="L567" s="24">
        <f>IF(A567="","",IF(OR(G567="",AND(G567&gt;=Dashboard!$C$18,G567&lt;=Dashboard!$C$19)),1,0))</f>
        <v>1</v>
      </c>
      <c r="M567" s="24">
        <f>IF(AND(L567=1,OR(Dashboard!$C$13="All",A567=Dashboard!$C$13),OR(Dashboard!$C$14="All",B567=Dashboard!$C$14),OR(Dashboard!$C$15="All",C567=Dashboard!$C$15),OR(Dashboard!$C$16="All",K567=Dashboard!$C$16),OR(Dashboard!$C$17="All",J567=Dashboard!$C$17)),1,0)</f>
        <v>1</v>
      </c>
      <c r="N567" s="24">
        <f>IF(AND(L567=1,OR(Dashboard!$C$13="All",A567=Dashboard!$C$13),OR(Dashboard!$C$14="All",B567=Dashboard!$C$14),OR(Dashboard!$C$16="All",K567=Dashboard!$C$16),OR(Dashboard!$C$17="All",J567=Dashboard!$C$17)),1,0)</f>
        <v>1</v>
      </c>
      <c r="O567" s="24">
        <f>IF(AND(L567=1,OR(Dashboard!$C$13="All",A567=Dashboard!$C$13),OR(Dashboard!$C$15="All",C567=Dashboard!$C$15),OR(Dashboard!$C$16="All",K567=Dashboard!$C$16),OR(Dashboard!$C$17="All",J567=Dashboard!$C$17)),1,0)</f>
        <v>1</v>
      </c>
      <c r="P567" s="24">
        <f>IF(AND(L567=1,OR(Dashboard!$C$13="All",A567=Dashboard!$C$13),OR(Dashboard!$C$14="All",B567=Dashboard!$C$14),OR(Dashboard!$C$15="All",C567=Dashboard!$C$15),OR(Dashboard!$C$17="All",J567=Dashboard!$C$17)),1,0)</f>
        <v>1</v>
      </c>
      <c r="Q567" s="24">
        <f>IF(AND(L567=1,OR(Dashboard!$C$14="All",B567=Dashboard!$C$14),OR(Dashboard!$C$15="All",C567=Dashboard!$C$15),OR(Dashboard!$C$16="All",K567=Dashboard!$C$16),OR(Dashboard!$C$17="All",J567=Dashboard!$C$17)),1,0)</f>
        <v>1</v>
      </c>
      <c r="R567" s="24">
        <f>IF(AND(L567=1,OR(Dashboard!$C$13="All",A567=Dashboard!$C$13),OR(Dashboard!$C$14="All",B567=Dashboard!$C$14),OR(Dashboard!$C$15="All",C567=Dashboard!$C$15),OR(Dashboard!$C$16="All",K567=Dashboard!$C$16)),1,0)</f>
        <v>1</v>
      </c>
      <c r="S567" s="24">
        <f t="shared" si="3"/>
        <v>566</v>
      </c>
    </row>
    <row r="568" ht="15.75" customHeight="1">
      <c r="A568" s="27"/>
      <c r="B568" s="27"/>
      <c r="C568" s="27"/>
      <c r="D568" s="27"/>
      <c r="E568" s="17"/>
      <c r="F568" s="28" t="str">
        <f t="shared" si="4"/>
        <v/>
      </c>
      <c r="G568" s="6"/>
      <c r="H568" s="22"/>
      <c r="I568" s="29" t="str">
        <f t="shared" si="5"/>
        <v/>
      </c>
      <c r="J568" s="27"/>
      <c r="K568" s="27"/>
      <c r="L568" s="25" t="str">
        <f>IF(A568="","",IF(OR(G568="",AND(G568&gt;=Dashboard!$C$18,G568&lt;=Dashboard!$C$19)),1,0))</f>
        <v/>
      </c>
      <c r="M568" s="24">
        <f>IF(AND(L568=1,OR(Dashboard!$C$13="All",A568=Dashboard!$C$13),OR(Dashboard!$C$14="All",B568=Dashboard!$C$14),OR(Dashboard!$C$15="All",C568=Dashboard!$C$15),OR(Dashboard!$C$16="All",K568=Dashboard!$C$16),OR(Dashboard!$C$17="All",J568=Dashboard!$C$17)),1,0)</f>
        <v>0</v>
      </c>
      <c r="N568" s="24">
        <f>IF(AND(L568=1,OR(Dashboard!$C$13="All",A568=Dashboard!$C$13),OR(Dashboard!$C$14="All",B568=Dashboard!$C$14),OR(Dashboard!$C$16="All",K568=Dashboard!$C$16),OR(Dashboard!$C$17="All",J568=Dashboard!$C$17)),1,0)</f>
        <v>0</v>
      </c>
      <c r="O568" s="24">
        <f>IF(AND(L568=1,OR(Dashboard!$C$13="All",A568=Dashboard!$C$13),OR(Dashboard!$C$15="All",C568=Dashboard!$C$15),OR(Dashboard!$C$16="All",K568=Dashboard!$C$16),OR(Dashboard!$C$17="All",J568=Dashboard!$C$17)),1,0)</f>
        <v>0</v>
      </c>
      <c r="P568" s="24">
        <f>IF(AND(L568=1,OR(Dashboard!$C$13="All",A568=Dashboard!$C$13),OR(Dashboard!$C$14="All",B568=Dashboard!$C$14),OR(Dashboard!$C$15="All",C568=Dashboard!$C$15),OR(Dashboard!$C$17="All",J568=Dashboard!$C$17)),1,0)</f>
        <v>0</v>
      </c>
      <c r="Q568" s="24">
        <f>IF(AND(L568=1,OR(Dashboard!$C$14="All",B568=Dashboard!$C$14),OR(Dashboard!$C$15="All",C568=Dashboard!$C$15),OR(Dashboard!$C$16="All",K568=Dashboard!$C$16),OR(Dashboard!$C$17="All",J568=Dashboard!$C$17)),1,0)</f>
        <v>0</v>
      </c>
      <c r="R568" s="24">
        <f>IF(AND(L568=1,OR(Dashboard!$C$13="All",A568=Dashboard!$C$13),OR(Dashboard!$C$14="All",B568=Dashboard!$C$14),OR(Dashboard!$C$15="All",C568=Dashboard!$C$15),OR(Dashboard!$C$16="All",K568=Dashboard!$C$16)),1,0)</f>
        <v>0</v>
      </c>
      <c r="S568" s="25" t="str">
        <f t="shared" si="3"/>
        <v/>
      </c>
    </row>
    <row r="569" ht="15.75" customHeight="1">
      <c r="A569" s="27"/>
      <c r="B569" s="27"/>
      <c r="C569" s="27"/>
      <c r="D569" s="27"/>
      <c r="E569" s="14"/>
      <c r="F569" s="28" t="str">
        <f t="shared" si="4"/>
        <v/>
      </c>
      <c r="G569" s="6"/>
      <c r="H569" s="22"/>
      <c r="I569" s="29" t="str">
        <f t="shared" si="5"/>
        <v/>
      </c>
      <c r="J569" s="27"/>
      <c r="K569" s="27"/>
      <c r="L569" s="25" t="str">
        <f>IF(A569="","",IF(OR(G569="",AND(G569&gt;=Dashboard!$C$18,G569&lt;=Dashboard!$C$19)),1,0))</f>
        <v/>
      </c>
      <c r="M569" s="24">
        <f>IF(AND(L569=1,OR(Dashboard!$C$13="All",A569=Dashboard!$C$13),OR(Dashboard!$C$14="All",B569=Dashboard!$C$14),OR(Dashboard!$C$15="All",C569=Dashboard!$C$15),OR(Dashboard!$C$16="All",K569=Dashboard!$C$16),OR(Dashboard!$C$17="All",J569=Dashboard!$C$17)),1,0)</f>
        <v>0</v>
      </c>
      <c r="N569" s="24">
        <f>IF(AND(L569=1,OR(Dashboard!$C$13="All",A569=Dashboard!$C$13),OR(Dashboard!$C$14="All",B569=Dashboard!$C$14),OR(Dashboard!$C$16="All",K569=Dashboard!$C$16),OR(Dashboard!$C$17="All",J569=Dashboard!$C$17)),1,0)</f>
        <v>0</v>
      </c>
      <c r="O569" s="24">
        <f>IF(AND(L569=1,OR(Dashboard!$C$13="All",A569=Dashboard!$C$13),OR(Dashboard!$C$15="All",C569=Dashboard!$C$15),OR(Dashboard!$C$16="All",K569=Dashboard!$C$16),OR(Dashboard!$C$17="All",J569=Dashboard!$C$17)),1,0)</f>
        <v>0</v>
      </c>
      <c r="P569" s="24">
        <f>IF(AND(L569=1,OR(Dashboard!$C$13="All",A569=Dashboard!$C$13),OR(Dashboard!$C$14="All",B569=Dashboard!$C$14),OR(Dashboard!$C$15="All",C569=Dashboard!$C$15),OR(Dashboard!$C$17="All",J569=Dashboard!$C$17)),1,0)</f>
        <v>0</v>
      </c>
      <c r="Q569" s="24">
        <f>IF(AND(L569=1,OR(Dashboard!$C$14="All",B569=Dashboard!$C$14),OR(Dashboard!$C$15="All",C569=Dashboard!$C$15),OR(Dashboard!$C$16="All",K569=Dashboard!$C$16),OR(Dashboard!$C$17="All",J569=Dashboard!$C$17)),1,0)</f>
        <v>0</v>
      </c>
      <c r="R569" s="24">
        <f>IF(AND(L569=1,OR(Dashboard!$C$13="All",A569=Dashboard!$C$13),OR(Dashboard!$C$14="All",B569=Dashboard!$C$14),OR(Dashboard!$C$15="All",C569=Dashboard!$C$15),OR(Dashboard!$C$16="All",K569=Dashboard!$C$16)),1,0)</f>
        <v>0</v>
      </c>
      <c r="S569" s="25" t="str">
        <f t="shared" si="3"/>
        <v/>
      </c>
    </row>
    <row r="570" ht="15.75" customHeight="1">
      <c r="A570" s="27"/>
      <c r="B570" s="27"/>
      <c r="C570" s="27"/>
      <c r="D570" s="27"/>
      <c r="E570" s="17"/>
      <c r="F570" s="28" t="str">
        <f t="shared" si="4"/>
        <v/>
      </c>
      <c r="G570" s="6"/>
      <c r="H570" s="22"/>
      <c r="I570" s="29" t="str">
        <f t="shared" si="5"/>
        <v/>
      </c>
      <c r="J570" s="27"/>
      <c r="K570" s="27"/>
      <c r="L570" s="25" t="str">
        <f>IF(A570="","",IF(OR(G570="",AND(G570&gt;=Dashboard!$C$18,G570&lt;=Dashboard!$C$19)),1,0))</f>
        <v/>
      </c>
      <c r="M570" s="24">
        <f>IF(AND(L570=1,OR(Dashboard!$C$13="All",A570=Dashboard!$C$13),OR(Dashboard!$C$14="All",B570=Dashboard!$C$14),OR(Dashboard!$C$15="All",C570=Dashboard!$C$15),OR(Dashboard!$C$16="All",K570=Dashboard!$C$16),OR(Dashboard!$C$17="All",J570=Dashboard!$C$17)),1,0)</f>
        <v>0</v>
      </c>
      <c r="N570" s="24">
        <f>IF(AND(L570=1,OR(Dashboard!$C$13="All",A570=Dashboard!$C$13),OR(Dashboard!$C$14="All",B570=Dashboard!$C$14),OR(Dashboard!$C$16="All",K570=Dashboard!$C$16),OR(Dashboard!$C$17="All",J570=Dashboard!$C$17)),1,0)</f>
        <v>0</v>
      </c>
      <c r="O570" s="24">
        <f>IF(AND(L570=1,OR(Dashboard!$C$13="All",A570=Dashboard!$C$13),OR(Dashboard!$C$15="All",C570=Dashboard!$C$15),OR(Dashboard!$C$16="All",K570=Dashboard!$C$16),OR(Dashboard!$C$17="All",J570=Dashboard!$C$17)),1,0)</f>
        <v>0</v>
      </c>
      <c r="P570" s="24">
        <f>IF(AND(L570=1,OR(Dashboard!$C$13="All",A570=Dashboard!$C$13),OR(Dashboard!$C$14="All",B570=Dashboard!$C$14),OR(Dashboard!$C$15="All",C570=Dashboard!$C$15),OR(Dashboard!$C$17="All",J570=Dashboard!$C$17)),1,0)</f>
        <v>0</v>
      </c>
      <c r="Q570" s="24">
        <f>IF(AND(L570=1,OR(Dashboard!$C$14="All",B570=Dashboard!$C$14),OR(Dashboard!$C$15="All",C570=Dashboard!$C$15),OR(Dashboard!$C$16="All",K570=Dashboard!$C$16),OR(Dashboard!$C$17="All",J570=Dashboard!$C$17)),1,0)</f>
        <v>0</v>
      </c>
      <c r="R570" s="24">
        <f>IF(AND(L570=1,OR(Dashboard!$C$13="All",A570=Dashboard!$C$13),OR(Dashboard!$C$14="All",B570=Dashboard!$C$14),OR(Dashboard!$C$15="All",C570=Dashboard!$C$15),OR(Dashboard!$C$16="All",K570=Dashboard!$C$16)),1,0)</f>
        <v>0</v>
      </c>
      <c r="S570" s="25" t="str">
        <f t="shared" si="3"/>
        <v/>
      </c>
    </row>
    <row r="571" ht="15.75" customHeight="1">
      <c r="A571" s="27"/>
      <c r="B571" s="27"/>
      <c r="C571" s="27"/>
      <c r="D571" s="27"/>
      <c r="E571" s="14"/>
      <c r="F571" s="28" t="str">
        <f t="shared" si="4"/>
        <v/>
      </c>
      <c r="G571" s="6"/>
      <c r="H571" s="22"/>
      <c r="I571" s="29" t="str">
        <f t="shared" si="5"/>
        <v/>
      </c>
      <c r="J571" s="27"/>
      <c r="K571" s="27"/>
      <c r="L571" s="25" t="str">
        <f>IF(A571="","",IF(OR(G571="",AND(G571&gt;=Dashboard!$C$18,G571&lt;=Dashboard!$C$19)),1,0))</f>
        <v/>
      </c>
      <c r="M571" s="24">
        <f>IF(AND(L571=1,OR(Dashboard!$C$13="All",A571=Dashboard!$C$13),OR(Dashboard!$C$14="All",B571=Dashboard!$C$14),OR(Dashboard!$C$15="All",C571=Dashboard!$C$15),OR(Dashboard!$C$16="All",K571=Dashboard!$C$16),OR(Dashboard!$C$17="All",J571=Dashboard!$C$17)),1,0)</f>
        <v>0</v>
      </c>
      <c r="N571" s="24">
        <f>IF(AND(L571=1,OR(Dashboard!$C$13="All",A571=Dashboard!$C$13),OR(Dashboard!$C$14="All",B571=Dashboard!$C$14),OR(Dashboard!$C$16="All",K571=Dashboard!$C$16),OR(Dashboard!$C$17="All",J571=Dashboard!$C$17)),1,0)</f>
        <v>0</v>
      </c>
      <c r="O571" s="24">
        <f>IF(AND(L571=1,OR(Dashboard!$C$13="All",A571=Dashboard!$C$13),OR(Dashboard!$C$15="All",C571=Dashboard!$C$15),OR(Dashboard!$C$16="All",K571=Dashboard!$C$16),OR(Dashboard!$C$17="All",J571=Dashboard!$C$17)),1,0)</f>
        <v>0</v>
      </c>
      <c r="P571" s="24">
        <f>IF(AND(L571=1,OR(Dashboard!$C$13="All",A571=Dashboard!$C$13),OR(Dashboard!$C$14="All",B571=Dashboard!$C$14),OR(Dashboard!$C$15="All",C571=Dashboard!$C$15),OR(Dashboard!$C$17="All",J571=Dashboard!$C$17)),1,0)</f>
        <v>0</v>
      </c>
      <c r="Q571" s="24">
        <f>IF(AND(L571=1,OR(Dashboard!$C$14="All",B571=Dashboard!$C$14),OR(Dashboard!$C$15="All",C571=Dashboard!$C$15),OR(Dashboard!$C$16="All",K571=Dashboard!$C$16),OR(Dashboard!$C$17="All",J571=Dashboard!$C$17)),1,0)</f>
        <v>0</v>
      </c>
      <c r="R571" s="24">
        <f>IF(AND(L571=1,OR(Dashboard!$C$13="All",A571=Dashboard!$C$13),OR(Dashboard!$C$14="All",B571=Dashboard!$C$14),OR(Dashboard!$C$15="All",C571=Dashboard!$C$15),OR(Dashboard!$C$16="All",K571=Dashboard!$C$16)),1,0)</f>
        <v>0</v>
      </c>
      <c r="S571" s="25" t="str">
        <f t="shared" si="3"/>
        <v/>
      </c>
    </row>
    <row r="572" ht="15.75" customHeight="1">
      <c r="A572" s="27"/>
      <c r="B572" s="27"/>
      <c r="C572" s="27"/>
      <c r="D572" s="27"/>
      <c r="E572" s="17"/>
      <c r="F572" s="28" t="str">
        <f t="shared" si="4"/>
        <v/>
      </c>
      <c r="G572" s="6"/>
      <c r="H572" s="22"/>
      <c r="I572" s="29" t="str">
        <f t="shared" si="5"/>
        <v/>
      </c>
      <c r="J572" s="27"/>
      <c r="K572" s="27"/>
      <c r="L572" s="25" t="str">
        <f>IF(A572="","",IF(OR(G572="",AND(G572&gt;=Dashboard!$C$18,G572&lt;=Dashboard!$C$19)),1,0))</f>
        <v/>
      </c>
      <c r="M572" s="24">
        <f>IF(AND(L572=1,OR(Dashboard!$C$13="All",A572=Dashboard!$C$13),OR(Dashboard!$C$14="All",B572=Dashboard!$C$14),OR(Dashboard!$C$15="All",C572=Dashboard!$C$15),OR(Dashboard!$C$16="All",K572=Dashboard!$C$16),OR(Dashboard!$C$17="All",J572=Dashboard!$C$17)),1,0)</f>
        <v>0</v>
      </c>
      <c r="N572" s="24">
        <f>IF(AND(L572=1,OR(Dashboard!$C$13="All",A572=Dashboard!$C$13),OR(Dashboard!$C$14="All",B572=Dashboard!$C$14),OR(Dashboard!$C$16="All",K572=Dashboard!$C$16),OR(Dashboard!$C$17="All",J572=Dashboard!$C$17)),1,0)</f>
        <v>0</v>
      </c>
      <c r="O572" s="24">
        <f>IF(AND(L572=1,OR(Dashboard!$C$13="All",A572=Dashboard!$C$13),OR(Dashboard!$C$15="All",C572=Dashboard!$C$15),OR(Dashboard!$C$16="All",K572=Dashboard!$C$16),OR(Dashboard!$C$17="All",J572=Dashboard!$C$17)),1,0)</f>
        <v>0</v>
      </c>
      <c r="P572" s="24">
        <f>IF(AND(L572=1,OR(Dashboard!$C$13="All",A572=Dashboard!$C$13),OR(Dashboard!$C$14="All",B572=Dashboard!$C$14),OR(Dashboard!$C$15="All",C572=Dashboard!$C$15),OR(Dashboard!$C$17="All",J572=Dashboard!$C$17)),1,0)</f>
        <v>0</v>
      </c>
      <c r="Q572" s="24">
        <f>IF(AND(L572=1,OR(Dashboard!$C$14="All",B572=Dashboard!$C$14),OR(Dashboard!$C$15="All",C572=Dashboard!$C$15),OR(Dashboard!$C$16="All",K572=Dashboard!$C$16),OR(Dashboard!$C$17="All",J572=Dashboard!$C$17)),1,0)</f>
        <v>0</v>
      </c>
      <c r="R572" s="24">
        <f>IF(AND(L572=1,OR(Dashboard!$C$13="All",A572=Dashboard!$C$13),OR(Dashboard!$C$14="All",B572=Dashboard!$C$14),OR(Dashboard!$C$15="All",C572=Dashboard!$C$15),OR(Dashboard!$C$16="All",K572=Dashboard!$C$16)),1,0)</f>
        <v>0</v>
      </c>
      <c r="S572" s="25" t="str">
        <f t="shared" si="3"/>
        <v/>
      </c>
    </row>
    <row r="573" ht="15.75" customHeight="1">
      <c r="A573" s="27"/>
      <c r="B573" s="27"/>
      <c r="C573" s="27"/>
      <c r="D573" s="27"/>
      <c r="E573" s="14"/>
      <c r="F573" s="28" t="str">
        <f t="shared" si="4"/>
        <v/>
      </c>
      <c r="G573" s="6"/>
      <c r="H573" s="22"/>
      <c r="I573" s="29" t="str">
        <f t="shared" si="5"/>
        <v/>
      </c>
      <c r="J573" s="27"/>
      <c r="K573" s="27"/>
      <c r="L573" s="25" t="str">
        <f>IF(A573="","",IF(OR(G573="",AND(G573&gt;=Dashboard!$C$18,G573&lt;=Dashboard!$C$19)),1,0))</f>
        <v/>
      </c>
      <c r="M573" s="24">
        <f>IF(AND(L573=1,OR(Dashboard!$C$13="All",A573=Dashboard!$C$13),OR(Dashboard!$C$14="All",B573=Dashboard!$C$14),OR(Dashboard!$C$15="All",C573=Dashboard!$C$15),OR(Dashboard!$C$16="All",K573=Dashboard!$C$16),OR(Dashboard!$C$17="All",J573=Dashboard!$C$17)),1,0)</f>
        <v>0</v>
      </c>
      <c r="N573" s="24">
        <f>IF(AND(L573=1,OR(Dashboard!$C$13="All",A573=Dashboard!$C$13),OR(Dashboard!$C$14="All",B573=Dashboard!$C$14),OR(Dashboard!$C$16="All",K573=Dashboard!$C$16),OR(Dashboard!$C$17="All",J573=Dashboard!$C$17)),1,0)</f>
        <v>0</v>
      </c>
      <c r="O573" s="24">
        <f>IF(AND(L573=1,OR(Dashboard!$C$13="All",A573=Dashboard!$C$13),OR(Dashboard!$C$15="All",C573=Dashboard!$C$15),OR(Dashboard!$C$16="All",K573=Dashboard!$C$16),OR(Dashboard!$C$17="All",J573=Dashboard!$C$17)),1,0)</f>
        <v>0</v>
      </c>
      <c r="P573" s="24">
        <f>IF(AND(L573=1,OR(Dashboard!$C$13="All",A573=Dashboard!$C$13),OR(Dashboard!$C$14="All",B573=Dashboard!$C$14),OR(Dashboard!$C$15="All",C573=Dashboard!$C$15),OR(Dashboard!$C$17="All",J573=Dashboard!$C$17)),1,0)</f>
        <v>0</v>
      </c>
      <c r="Q573" s="24">
        <f>IF(AND(L573=1,OR(Dashboard!$C$14="All",B573=Dashboard!$C$14),OR(Dashboard!$C$15="All",C573=Dashboard!$C$15),OR(Dashboard!$C$16="All",K573=Dashboard!$C$16),OR(Dashboard!$C$17="All",J573=Dashboard!$C$17)),1,0)</f>
        <v>0</v>
      </c>
      <c r="R573" s="24">
        <f>IF(AND(L573=1,OR(Dashboard!$C$13="All",A573=Dashboard!$C$13),OR(Dashboard!$C$14="All",B573=Dashboard!$C$14),OR(Dashboard!$C$15="All",C573=Dashboard!$C$15),OR(Dashboard!$C$16="All",K573=Dashboard!$C$16)),1,0)</f>
        <v>0</v>
      </c>
      <c r="S573" s="25" t="str">
        <f t="shared" si="3"/>
        <v/>
      </c>
    </row>
    <row r="574" ht="15.75" customHeight="1">
      <c r="A574" s="27"/>
      <c r="B574" s="27"/>
      <c r="C574" s="27"/>
      <c r="D574" s="27"/>
      <c r="E574" s="17"/>
      <c r="F574" s="28" t="str">
        <f t="shared" si="4"/>
        <v/>
      </c>
      <c r="G574" s="6"/>
      <c r="H574" s="22"/>
      <c r="I574" s="29" t="str">
        <f t="shared" si="5"/>
        <v/>
      </c>
      <c r="J574" s="27"/>
      <c r="K574" s="27"/>
      <c r="L574" s="25" t="str">
        <f>IF(A574="","",IF(OR(G574="",AND(G574&gt;=Dashboard!$C$18,G574&lt;=Dashboard!$C$19)),1,0))</f>
        <v/>
      </c>
      <c r="M574" s="24">
        <f>IF(AND(L574=1,OR(Dashboard!$C$13="All",A574=Dashboard!$C$13),OR(Dashboard!$C$14="All",B574=Dashboard!$C$14),OR(Dashboard!$C$15="All",C574=Dashboard!$C$15),OR(Dashboard!$C$16="All",K574=Dashboard!$C$16),OR(Dashboard!$C$17="All",J574=Dashboard!$C$17)),1,0)</f>
        <v>0</v>
      </c>
      <c r="N574" s="24">
        <f>IF(AND(L574=1,OR(Dashboard!$C$13="All",A574=Dashboard!$C$13),OR(Dashboard!$C$14="All",B574=Dashboard!$C$14),OR(Dashboard!$C$16="All",K574=Dashboard!$C$16),OR(Dashboard!$C$17="All",J574=Dashboard!$C$17)),1,0)</f>
        <v>0</v>
      </c>
      <c r="O574" s="24">
        <f>IF(AND(L574=1,OR(Dashboard!$C$13="All",A574=Dashboard!$C$13),OR(Dashboard!$C$15="All",C574=Dashboard!$C$15),OR(Dashboard!$C$16="All",K574=Dashboard!$C$16),OR(Dashboard!$C$17="All",J574=Dashboard!$C$17)),1,0)</f>
        <v>0</v>
      </c>
      <c r="P574" s="24">
        <f>IF(AND(L574=1,OR(Dashboard!$C$13="All",A574=Dashboard!$C$13),OR(Dashboard!$C$14="All",B574=Dashboard!$C$14),OR(Dashboard!$C$15="All",C574=Dashboard!$C$15),OR(Dashboard!$C$17="All",J574=Dashboard!$C$17)),1,0)</f>
        <v>0</v>
      </c>
      <c r="Q574" s="24">
        <f>IF(AND(L574=1,OR(Dashboard!$C$14="All",B574=Dashboard!$C$14),OR(Dashboard!$C$15="All",C574=Dashboard!$C$15),OR(Dashboard!$C$16="All",K574=Dashboard!$C$16),OR(Dashboard!$C$17="All",J574=Dashboard!$C$17)),1,0)</f>
        <v>0</v>
      </c>
      <c r="R574" s="24">
        <f>IF(AND(L574=1,OR(Dashboard!$C$13="All",A574=Dashboard!$C$13),OR(Dashboard!$C$14="All",B574=Dashboard!$C$14),OR(Dashboard!$C$15="All",C574=Dashboard!$C$15),OR(Dashboard!$C$16="All",K574=Dashboard!$C$16)),1,0)</f>
        <v>0</v>
      </c>
      <c r="S574" s="25" t="str">
        <f t="shared" si="3"/>
        <v/>
      </c>
    </row>
    <row r="575" ht="15.75" customHeight="1">
      <c r="A575" s="27"/>
      <c r="B575" s="27"/>
      <c r="C575" s="27"/>
      <c r="D575" s="27"/>
      <c r="E575" s="14"/>
      <c r="F575" s="28" t="str">
        <f t="shared" si="4"/>
        <v/>
      </c>
      <c r="G575" s="6"/>
      <c r="H575" s="22"/>
      <c r="I575" s="29" t="str">
        <f t="shared" si="5"/>
        <v/>
      </c>
      <c r="J575" s="27"/>
      <c r="K575" s="27"/>
      <c r="L575" s="25" t="str">
        <f>IF(A575="","",IF(OR(G575="",AND(G575&gt;=Dashboard!$C$18,G575&lt;=Dashboard!$C$19)),1,0))</f>
        <v/>
      </c>
      <c r="M575" s="24">
        <f>IF(AND(L575=1,OR(Dashboard!$C$13="All",A575=Dashboard!$C$13),OR(Dashboard!$C$14="All",B575=Dashboard!$C$14),OR(Dashboard!$C$15="All",C575=Dashboard!$C$15),OR(Dashboard!$C$16="All",K575=Dashboard!$C$16),OR(Dashboard!$C$17="All",J575=Dashboard!$C$17)),1,0)</f>
        <v>0</v>
      </c>
      <c r="N575" s="24">
        <f>IF(AND(L575=1,OR(Dashboard!$C$13="All",A575=Dashboard!$C$13),OR(Dashboard!$C$14="All",B575=Dashboard!$C$14),OR(Dashboard!$C$16="All",K575=Dashboard!$C$16),OR(Dashboard!$C$17="All",J575=Dashboard!$C$17)),1,0)</f>
        <v>0</v>
      </c>
      <c r="O575" s="24">
        <f>IF(AND(L575=1,OR(Dashboard!$C$13="All",A575=Dashboard!$C$13),OR(Dashboard!$C$15="All",C575=Dashboard!$C$15),OR(Dashboard!$C$16="All",K575=Dashboard!$C$16),OR(Dashboard!$C$17="All",J575=Dashboard!$C$17)),1,0)</f>
        <v>0</v>
      </c>
      <c r="P575" s="24">
        <f>IF(AND(L575=1,OR(Dashboard!$C$13="All",A575=Dashboard!$C$13),OR(Dashboard!$C$14="All",B575=Dashboard!$C$14),OR(Dashboard!$C$15="All",C575=Dashboard!$C$15),OR(Dashboard!$C$17="All",J575=Dashboard!$C$17)),1,0)</f>
        <v>0</v>
      </c>
      <c r="Q575" s="24">
        <f>IF(AND(L575=1,OR(Dashboard!$C$14="All",B575=Dashboard!$C$14),OR(Dashboard!$C$15="All",C575=Dashboard!$C$15),OR(Dashboard!$C$16="All",K575=Dashboard!$C$16),OR(Dashboard!$C$17="All",J575=Dashboard!$C$17)),1,0)</f>
        <v>0</v>
      </c>
      <c r="R575" s="24">
        <f>IF(AND(L575=1,OR(Dashboard!$C$13="All",A575=Dashboard!$C$13),OR(Dashboard!$C$14="All",B575=Dashboard!$C$14),OR(Dashboard!$C$15="All",C575=Dashboard!$C$15),OR(Dashboard!$C$16="All",K575=Dashboard!$C$16)),1,0)</f>
        <v>0</v>
      </c>
      <c r="S575" s="25" t="str">
        <f t="shared" si="3"/>
        <v/>
      </c>
    </row>
    <row r="576" ht="15.75" customHeight="1">
      <c r="A576" s="27"/>
      <c r="B576" s="27"/>
      <c r="C576" s="27"/>
      <c r="D576" s="27"/>
      <c r="E576" s="17"/>
      <c r="F576" s="28" t="str">
        <f t="shared" si="4"/>
        <v/>
      </c>
      <c r="G576" s="6"/>
      <c r="H576" s="22"/>
      <c r="I576" s="29" t="str">
        <f t="shared" si="5"/>
        <v/>
      </c>
      <c r="J576" s="27"/>
      <c r="K576" s="27"/>
      <c r="L576" s="25" t="str">
        <f>IF(A576="","",IF(OR(G576="",AND(G576&gt;=Dashboard!$C$18,G576&lt;=Dashboard!$C$19)),1,0))</f>
        <v/>
      </c>
      <c r="M576" s="24">
        <f>IF(AND(L576=1,OR(Dashboard!$C$13="All",A576=Dashboard!$C$13),OR(Dashboard!$C$14="All",B576=Dashboard!$C$14),OR(Dashboard!$C$15="All",C576=Dashboard!$C$15),OR(Dashboard!$C$16="All",K576=Dashboard!$C$16),OR(Dashboard!$C$17="All",J576=Dashboard!$C$17)),1,0)</f>
        <v>0</v>
      </c>
      <c r="N576" s="24">
        <f>IF(AND(L576=1,OR(Dashboard!$C$13="All",A576=Dashboard!$C$13),OR(Dashboard!$C$14="All",B576=Dashboard!$C$14),OR(Dashboard!$C$16="All",K576=Dashboard!$C$16),OR(Dashboard!$C$17="All",J576=Dashboard!$C$17)),1,0)</f>
        <v>0</v>
      </c>
      <c r="O576" s="24">
        <f>IF(AND(L576=1,OR(Dashboard!$C$13="All",A576=Dashboard!$C$13),OR(Dashboard!$C$15="All",C576=Dashboard!$C$15),OR(Dashboard!$C$16="All",K576=Dashboard!$C$16),OR(Dashboard!$C$17="All",J576=Dashboard!$C$17)),1,0)</f>
        <v>0</v>
      </c>
      <c r="P576" s="24">
        <f>IF(AND(L576=1,OR(Dashboard!$C$13="All",A576=Dashboard!$C$13),OR(Dashboard!$C$14="All",B576=Dashboard!$C$14),OR(Dashboard!$C$15="All",C576=Dashboard!$C$15),OR(Dashboard!$C$17="All",J576=Dashboard!$C$17)),1,0)</f>
        <v>0</v>
      </c>
      <c r="Q576" s="24">
        <f>IF(AND(L576=1,OR(Dashboard!$C$14="All",B576=Dashboard!$C$14),OR(Dashboard!$C$15="All",C576=Dashboard!$C$15),OR(Dashboard!$C$16="All",K576=Dashboard!$C$16),OR(Dashboard!$C$17="All",J576=Dashboard!$C$17)),1,0)</f>
        <v>0</v>
      </c>
      <c r="R576" s="24">
        <f>IF(AND(L576=1,OR(Dashboard!$C$13="All",A576=Dashboard!$C$13),OR(Dashboard!$C$14="All",B576=Dashboard!$C$14),OR(Dashboard!$C$15="All",C576=Dashboard!$C$15),OR(Dashboard!$C$16="All",K576=Dashboard!$C$16)),1,0)</f>
        <v>0</v>
      </c>
      <c r="S576" s="25" t="str">
        <f t="shared" si="3"/>
        <v/>
      </c>
    </row>
    <row r="577" ht="15.75" customHeight="1">
      <c r="A577" s="27"/>
      <c r="B577" s="27"/>
      <c r="C577" s="27"/>
      <c r="D577" s="27"/>
      <c r="E577" s="14"/>
      <c r="F577" s="28" t="str">
        <f t="shared" si="4"/>
        <v/>
      </c>
      <c r="G577" s="6"/>
      <c r="H577" s="22"/>
      <c r="I577" s="29" t="str">
        <f t="shared" si="5"/>
        <v/>
      </c>
      <c r="J577" s="27"/>
      <c r="K577" s="27"/>
      <c r="L577" s="25" t="str">
        <f>IF(A577="","",IF(OR(G577="",AND(G577&gt;=Dashboard!$C$18,G577&lt;=Dashboard!$C$19)),1,0))</f>
        <v/>
      </c>
      <c r="M577" s="24">
        <f>IF(AND(L577=1,OR(Dashboard!$C$13="All",A577=Dashboard!$C$13),OR(Dashboard!$C$14="All",B577=Dashboard!$C$14),OR(Dashboard!$C$15="All",C577=Dashboard!$C$15),OR(Dashboard!$C$16="All",K577=Dashboard!$C$16),OR(Dashboard!$C$17="All",J577=Dashboard!$C$17)),1,0)</f>
        <v>0</v>
      </c>
      <c r="N577" s="24">
        <f>IF(AND(L577=1,OR(Dashboard!$C$13="All",A577=Dashboard!$C$13),OR(Dashboard!$C$14="All",B577=Dashboard!$C$14),OR(Dashboard!$C$16="All",K577=Dashboard!$C$16),OR(Dashboard!$C$17="All",J577=Dashboard!$C$17)),1,0)</f>
        <v>0</v>
      </c>
      <c r="O577" s="24">
        <f>IF(AND(L577=1,OR(Dashboard!$C$13="All",A577=Dashboard!$C$13),OR(Dashboard!$C$15="All",C577=Dashboard!$C$15),OR(Dashboard!$C$16="All",K577=Dashboard!$C$16),OR(Dashboard!$C$17="All",J577=Dashboard!$C$17)),1,0)</f>
        <v>0</v>
      </c>
      <c r="P577" s="24">
        <f>IF(AND(L577=1,OR(Dashboard!$C$13="All",A577=Dashboard!$C$13),OR(Dashboard!$C$14="All",B577=Dashboard!$C$14),OR(Dashboard!$C$15="All",C577=Dashboard!$C$15),OR(Dashboard!$C$17="All",J577=Dashboard!$C$17)),1,0)</f>
        <v>0</v>
      </c>
      <c r="Q577" s="24">
        <f>IF(AND(L577=1,OR(Dashboard!$C$14="All",B577=Dashboard!$C$14),OR(Dashboard!$C$15="All",C577=Dashboard!$C$15),OR(Dashboard!$C$16="All",K577=Dashboard!$C$16),OR(Dashboard!$C$17="All",J577=Dashboard!$C$17)),1,0)</f>
        <v>0</v>
      </c>
      <c r="R577" s="24">
        <f>IF(AND(L577=1,OR(Dashboard!$C$13="All",A577=Dashboard!$C$13),OR(Dashboard!$C$14="All",B577=Dashboard!$C$14),OR(Dashboard!$C$15="All",C577=Dashboard!$C$15),OR(Dashboard!$C$16="All",K577=Dashboard!$C$16)),1,0)</f>
        <v>0</v>
      </c>
      <c r="S577" s="25" t="str">
        <f t="shared" si="3"/>
        <v/>
      </c>
    </row>
    <row r="578" ht="15.75" customHeight="1">
      <c r="A578" s="27"/>
      <c r="B578" s="27"/>
      <c r="C578" s="27"/>
      <c r="D578" s="27"/>
      <c r="E578" s="17"/>
      <c r="F578" s="28" t="str">
        <f t="shared" si="4"/>
        <v/>
      </c>
      <c r="G578" s="6"/>
      <c r="H578" s="22"/>
      <c r="I578" s="29" t="str">
        <f t="shared" si="5"/>
        <v/>
      </c>
      <c r="J578" s="27"/>
      <c r="K578" s="27"/>
      <c r="L578" s="25" t="str">
        <f>IF(A578="","",IF(OR(G578="",AND(G578&gt;=Dashboard!$C$18,G578&lt;=Dashboard!$C$19)),1,0))</f>
        <v/>
      </c>
      <c r="M578" s="24">
        <f>IF(AND(L578=1,OR(Dashboard!$C$13="All",A578=Dashboard!$C$13),OR(Dashboard!$C$14="All",B578=Dashboard!$C$14),OR(Dashboard!$C$15="All",C578=Dashboard!$C$15),OR(Dashboard!$C$16="All",K578=Dashboard!$C$16),OR(Dashboard!$C$17="All",J578=Dashboard!$C$17)),1,0)</f>
        <v>0</v>
      </c>
      <c r="N578" s="24">
        <f>IF(AND(L578=1,OR(Dashboard!$C$13="All",A578=Dashboard!$C$13),OR(Dashboard!$C$14="All",B578=Dashboard!$C$14),OR(Dashboard!$C$16="All",K578=Dashboard!$C$16),OR(Dashboard!$C$17="All",J578=Dashboard!$C$17)),1,0)</f>
        <v>0</v>
      </c>
      <c r="O578" s="24">
        <f>IF(AND(L578=1,OR(Dashboard!$C$13="All",A578=Dashboard!$C$13),OR(Dashboard!$C$15="All",C578=Dashboard!$C$15),OR(Dashboard!$C$16="All",K578=Dashboard!$C$16),OR(Dashboard!$C$17="All",J578=Dashboard!$C$17)),1,0)</f>
        <v>0</v>
      </c>
      <c r="P578" s="24">
        <f>IF(AND(L578=1,OR(Dashboard!$C$13="All",A578=Dashboard!$C$13),OR(Dashboard!$C$14="All",B578=Dashboard!$C$14),OR(Dashboard!$C$15="All",C578=Dashboard!$C$15),OR(Dashboard!$C$17="All",J578=Dashboard!$C$17)),1,0)</f>
        <v>0</v>
      </c>
      <c r="Q578" s="24">
        <f>IF(AND(L578=1,OR(Dashboard!$C$14="All",B578=Dashboard!$C$14),OR(Dashboard!$C$15="All",C578=Dashboard!$C$15),OR(Dashboard!$C$16="All",K578=Dashboard!$C$16),OR(Dashboard!$C$17="All",J578=Dashboard!$C$17)),1,0)</f>
        <v>0</v>
      </c>
      <c r="R578" s="24">
        <f>IF(AND(L578=1,OR(Dashboard!$C$13="All",A578=Dashboard!$C$13),OR(Dashboard!$C$14="All",B578=Dashboard!$C$14),OR(Dashboard!$C$15="All",C578=Dashboard!$C$15),OR(Dashboard!$C$16="All",K578=Dashboard!$C$16)),1,0)</f>
        <v>0</v>
      </c>
      <c r="S578" s="25" t="str">
        <f t="shared" si="3"/>
        <v/>
      </c>
    </row>
    <row r="579" ht="15.75" customHeight="1">
      <c r="A579" s="27"/>
      <c r="B579" s="27"/>
      <c r="C579" s="27"/>
      <c r="D579" s="27"/>
      <c r="E579" s="14"/>
      <c r="F579" s="28" t="str">
        <f t="shared" si="4"/>
        <v/>
      </c>
      <c r="G579" s="6"/>
      <c r="H579" s="22"/>
      <c r="I579" s="29" t="str">
        <f t="shared" si="5"/>
        <v/>
      </c>
      <c r="J579" s="27"/>
      <c r="K579" s="27"/>
      <c r="L579" s="25" t="str">
        <f>IF(A579="","",IF(OR(G579="",AND(G579&gt;=Dashboard!$C$18,G579&lt;=Dashboard!$C$19)),1,0))</f>
        <v/>
      </c>
      <c r="M579" s="24">
        <f>IF(AND(L579=1,OR(Dashboard!$C$13="All",A579=Dashboard!$C$13),OR(Dashboard!$C$14="All",B579=Dashboard!$C$14),OR(Dashboard!$C$15="All",C579=Dashboard!$C$15),OR(Dashboard!$C$16="All",K579=Dashboard!$C$16),OR(Dashboard!$C$17="All",J579=Dashboard!$C$17)),1,0)</f>
        <v>0</v>
      </c>
      <c r="N579" s="24">
        <f>IF(AND(L579=1,OR(Dashboard!$C$13="All",A579=Dashboard!$C$13),OR(Dashboard!$C$14="All",B579=Dashboard!$C$14),OR(Dashboard!$C$16="All",K579=Dashboard!$C$16),OR(Dashboard!$C$17="All",J579=Dashboard!$C$17)),1,0)</f>
        <v>0</v>
      </c>
      <c r="O579" s="24">
        <f>IF(AND(L579=1,OR(Dashboard!$C$13="All",A579=Dashboard!$C$13),OR(Dashboard!$C$15="All",C579=Dashboard!$C$15),OR(Dashboard!$C$16="All",K579=Dashboard!$C$16),OR(Dashboard!$C$17="All",J579=Dashboard!$C$17)),1,0)</f>
        <v>0</v>
      </c>
      <c r="P579" s="24">
        <f>IF(AND(L579=1,OR(Dashboard!$C$13="All",A579=Dashboard!$C$13),OR(Dashboard!$C$14="All",B579=Dashboard!$C$14),OR(Dashboard!$C$15="All",C579=Dashboard!$C$15),OR(Dashboard!$C$17="All",J579=Dashboard!$C$17)),1,0)</f>
        <v>0</v>
      </c>
      <c r="Q579" s="24">
        <f>IF(AND(L579=1,OR(Dashboard!$C$14="All",B579=Dashboard!$C$14),OR(Dashboard!$C$15="All",C579=Dashboard!$C$15),OR(Dashboard!$C$16="All",K579=Dashboard!$C$16),OR(Dashboard!$C$17="All",J579=Dashboard!$C$17)),1,0)</f>
        <v>0</v>
      </c>
      <c r="R579" s="24">
        <f>IF(AND(L579=1,OR(Dashboard!$C$13="All",A579=Dashboard!$C$13),OR(Dashboard!$C$14="All",B579=Dashboard!$C$14),OR(Dashboard!$C$15="All",C579=Dashboard!$C$15),OR(Dashboard!$C$16="All",K579=Dashboard!$C$16)),1,0)</f>
        <v>0</v>
      </c>
      <c r="S579" s="25" t="str">
        <f t="shared" si="3"/>
        <v/>
      </c>
    </row>
    <row r="580" ht="15.75" customHeight="1">
      <c r="A580" s="27"/>
      <c r="B580" s="27"/>
      <c r="C580" s="27"/>
      <c r="D580" s="27"/>
      <c r="E580" s="17"/>
      <c r="F580" s="28" t="str">
        <f t="shared" si="4"/>
        <v/>
      </c>
      <c r="G580" s="6"/>
      <c r="H580" s="22"/>
      <c r="I580" s="29" t="str">
        <f t="shared" si="5"/>
        <v/>
      </c>
      <c r="J580" s="27"/>
      <c r="K580" s="27"/>
      <c r="L580" s="25" t="str">
        <f>IF(A580="","",IF(OR(G580="",AND(G580&gt;=Dashboard!$C$18,G580&lt;=Dashboard!$C$19)),1,0))</f>
        <v/>
      </c>
      <c r="M580" s="24">
        <f>IF(AND(L580=1,OR(Dashboard!$C$13="All",A580=Dashboard!$C$13),OR(Dashboard!$C$14="All",B580=Dashboard!$C$14),OR(Dashboard!$C$15="All",C580=Dashboard!$C$15),OR(Dashboard!$C$16="All",K580=Dashboard!$C$16),OR(Dashboard!$C$17="All",J580=Dashboard!$C$17)),1,0)</f>
        <v>0</v>
      </c>
      <c r="N580" s="24">
        <f>IF(AND(L580=1,OR(Dashboard!$C$13="All",A580=Dashboard!$C$13),OR(Dashboard!$C$14="All",B580=Dashboard!$C$14),OR(Dashboard!$C$16="All",K580=Dashboard!$C$16),OR(Dashboard!$C$17="All",J580=Dashboard!$C$17)),1,0)</f>
        <v>0</v>
      </c>
      <c r="O580" s="24">
        <f>IF(AND(L580=1,OR(Dashboard!$C$13="All",A580=Dashboard!$C$13),OR(Dashboard!$C$15="All",C580=Dashboard!$C$15),OR(Dashboard!$C$16="All",K580=Dashboard!$C$16),OR(Dashboard!$C$17="All",J580=Dashboard!$C$17)),1,0)</f>
        <v>0</v>
      </c>
      <c r="P580" s="24">
        <f>IF(AND(L580=1,OR(Dashboard!$C$13="All",A580=Dashboard!$C$13),OR(Dashboard!$C$14="All",B580=Dashboard!$C$14),OR(Dashboard!$C$15="All",C580=Dashboard!$C$15),OR(Dashboard!$C$17="All",J580=Dashboard!$C$17)),1,0)</f>
        <v>0</v>
      </c>
      <c r="Q580" s="24">
        <f>IF(AND(L580=1,OR(Dashboard!$C$14="All",B580=Dashboard!$C$14),OR(Dashboard!$C$15="All",C580=Dashboard!$C$15),OR(Dashboard!$C$16="All",K580=Dashboard!$C$16),OR(Dashboard!$C$17="All",J580=Dashboard!$C$17)),1,0)</f>
        <v>0</v>
      </c>
      <c r="R580" s="24">
        <f>IF(AND(L580=1,OR(Dashboard!$C$13="All",A580=Dashboard!$C$13),OR(Dashboard!$C$14="All",B580=Dashboard!$C$14),OR(Dashboard!$C$15="All",C580=Dashboard!$C$15),OR(Dashboard!$C$16="All",K580=Dashboard!$C$16)),1,0)</f>
        <v>0</v>
      </c>
      <c r="S580" s="25" t="str">
        <f t="shared" si="3"/>
        <v/>
      </c>
    </row>
    <row r="581" ht="15.75" customHeight="1">
      <c r="A581" s="27"/>
      <c r="B581" s="27"/>
      <c r="C581" s="27"/>
      <c r="D581" s="27"/>
      <c r="E581" s="14"/>
      <c r="F581" s="28" t="str">
        <f t="shared" si="4"/>
        <v/>
      </c>
      <c r="G581" s="6"/>
      <c r="H581" s="22"/>
      <c r="I581" s="29" t="str">
        <f t="shared" si="5"/>
        <v/>
      </c>
      <c r="J581" s="27"/>
      <c r="K581" s="27"/>
      <c r="L581" s="25" t="str">
        <f>IF(A581="","",IF(OR(G581="",AND(G581&gt;=Dashboard!$C$18,G581&lt;=Dashboard!$C$19)),1,0))</f>
        <v/>
      </c>
      <c r="M581" s="24">
        <f>IF(AND(L581=1,OR(Dashboard!$C$13="All",A581=Dashboard!$C$13),OR(Dashboard!$C$14="All",B581=Dashboard!$C$14),OR(Dashboard!$C$15="All",C581=Dashboard!$C$15),OR(Dashboard!$C$16="All",K581=Dashboard!$C$16),OR(Dashboard!$C$17="All",J581=Dashboard!$C$17)),1,0)</f>
        <v>0</v>
      </c>
      <c r="N581" s="24">
        <f>IF(AND(L581=1,OR(Dashboard!$C$13="All",A581=Dashboard!$C$13),OR(Dashboard!$C$14="All",B581=Dashboard!$C$14),OR(Dashboard!$C$16="All",K581=Dashboard!$C$16),OR(Dashboard!$C$17="All",J581=Dashboard!$C$17)),1,0)</f>
        <v>0</v>
      </c>
      <c r="O581" s="24">
        <f>IF(AND(L581=1,OR(Dashboard!$C$13="All",A581=Dashboard!$C$13),OR(Dashboard!$C$15="All",C581=Dashboard!$C$15),OR(Dashboard!$C$16="All",K581=Dashboard!$C$16),OR(Dashboard!$C$17="All",J581=Dashboard!$C$17)),1,0)</f>
        <v>0</v>
      </c>
      <c r="P581" s="24">
        <f>IF(AND(L581=1,OR(Dashboard!$C$13="All",A581=Dashboard!$C$13),OR(Dashboard!$C$14="All",B581=Dashboard!$C$14),OR(Dashboard!$C$15="All",C581=Dashboard!$C$15),OR(Dashboard!$C$17="All",J581=Dashboard!$C$17)),1,0)</f>
        <v>0</v>
      </c>
      <c r="Q581" s="24">
        <f>IF(AND(L581=1,OR(Dashboard!$C$14="All",B581=Dashboard!$C$14),OR(Dashboard!$C$15="All",C581=Dashboard!$C$15),OR(Dashboard!$C$16="All",K581=Dashboard!$C$16),OR(Dashboard!$C$17="All",J581=Dashboard!$C$17)),1,0)</f>
        <v>0</v>
      </c>
      <c r="R581" s="24">
        <f>IF(AND(L581=1,OR(Dashboard!$C$13="All",A581=Dashboard!$C$13),OR(Dashboard!$C$14="All",B581=Dashboard!$C$14),OR(Dashboard!$C$15="All",C581=Dashboard!$C$15),OR(Dashboard!$C$16="All",K581=Dashboard!$C$16)),1,0)</f>
        <v>0</v>
      </c>
      <c r="S581" s="25" t="str">
        <f t="shared" si="3"/>
        <v/>
      </c>
    </row>
    <row r="582" ht="15.75" customHeight="1">
      <c r="A582" s="27"/>
      <c r="B582" s="27"/>
      <c r="C582" s="27"/>
      <c r="D582" s="27"/>
      <c r="E582" s="17"/>
      <c r="F582" s="28" t="str">
        <f t="shared" si="4"/>
        <v/>
      </c>
      <c r="G582" s="6"/>
      <c r="H582" s="22"/>
      <c r="I582" s="29" t="str">
        <f t="shared" si="5"/>
        <v/>
      </c>
      <c r="J582" s="27"/>
      <c r="K582" s="27"/>
      <c r="L582" s="25" t="str">
        <f>IF(A582="","",IF(OR(G582="",AND(G582&gt;=Dashboard!$C$18,G582&lt;=Dashboard!$C$19)),1,0))</f>
        <v/>
      </c>
      <c r="M582" s="24">
        <f>IF(AND(L582=1,OR(Dashboard!$C$13="All",A582=Dashboard!$C$13),OR(Dashboard!$C$14="All",B582=Dashboard!$C$14),OR(Dashboard!$C$15="All",C582=Dashboard!$C$15),OR(Dashboard!$C$16="All",K582=Dashboard!$C$16),OR(Dashboard!$C$17="All",J582=Dashboard!$C$17)),1,0)</f>
        <v>0</v>
      </c>
      <c r="N582" s="24">
        <f>IF(AND(L582=1,OR(Dashboard!$C$13="All",A582=Dashboard!$C$13),OR(Dashboard!$C$14="All",B582=Dashboard!$C$14),OR(Dashboard!$C$16="All",K582=Dashboard!$C$16),OR(Dashboard!$C$17="All",J582=Dashboard!$C$17)),1,0)</f>
        <v>0</v>
      </c>
      <c r="O582" s="24">
        <f>IF(AND(L582=1,OR(Dashboard!$C$13="All",A582=Dashboard!$C$13),OR(Dashboard!$C$15="All",C582=Dashboard!$C$15),OR(Dashboard!$C$16="All",K582=Dashboard!$C$16),OR(Dashboard!$C$17="All",J582=Dashboard!$C$17)),1,0)</f>
        <v>0</v>
      </c>
      <c r="P582" s="24">
        <f>IF(AND(L582=1,OR(Dashboard!$C$13="All",A582=Dashboard!$C$13),OR(Dashboard!$C$14="All",B582=Dashboard!$C$14),OR(Dashboard!$C$15="All",C582=Dashboard!$C$15),OR(Dashboard!$C$17="All",J582=Dashboard!$C$17)),1,0)</f>
        <v>0</v>
      </c>
      <c r="Q582" s="24">
        <f>IF(AND(L582=1,OR(Dashboard!$C$14="All",B582=Dashboard!$C$14),OR(Dashboard!$C$15="All",C582=Dashboard!$C$15),OR(Dashboard!$C$16="All",K582=Dashboard!$C$16),OR(Dashboard!$C$17="All",J582=Dashboard!$C$17)),1,0)</f>
        <v>0</v>
      </c>
      <c r="R582" s="24">
        <f>IF(AND(L582=1,OR(Dashboard!$C$13="All",A582=Dashboard!$C$13),OR(Dashboard!$C$14="All",B582=Dashboard!$C$14),OR(Dashboard!$C$15="All",C582=Dashboard!$C$15),OR(Dashboard!$C$16="All",K582=Dashboard!$C$16)),1,0)</f>
        <v>0</v>
      </c>
      <c r="S582" s="25" t="str">
        <f t="shared" si="3"/>
        <v/>
      </c>
    </row>
    <row r="583" ht="15.75" customHeight="1">
      <c r="A583" s="27"/>
      <c r="B583" s="27"/>
      <c r="C583" s="27"/>
      <c r="D583" s="27"/>
      <c r="E583" s="14"/>
      <c r="F583" s="28" t="str">
        <f t="shared" si="4"/>
        <v/>
      </c>
      <c r="G583" s="6"/>
      <c r="H583" s="22"/>
      <c r="I583" s="29" t="str">
        <f t="shared" si="5"/>
        <v/>
      </c>
      <c r="J583" s="27"/>
      <c r="K583" s="27"/>
      <c r="L583" s="25" t="str">
        <f>IF(A583="","",IF(OR(G583="",AND(G583&gt;=Dashboard!$C$18,G583&lt;=Dashboard!$C$19)),1,0))</f>
        <v/>
      </c>
      <c r="M583" s="24">
        <f>IF(AND(L583=1,OR(Dashboard!$C$13="All",A583=Dashboard!$C$13),OR(Dashboard!$C$14="All",B583=Dashboard!$C$14),OR(Dashboard!$C$15="All",C583=Dashboard!$C$15),OR(Dashboard!$C$16="All",K583=Dashboard!$C$16),OR(Dashboard!$C$17="All",J583=Dashboard!$C$17)),1,0)</f>
        <v>0</v>
      </c>
      <c r="N583" s="24">
        <f>IF(AND(L583=1,OR(Dashboard!$C$13="All",A583=Dashboard!$C$13),OR(Dashboard!$C$14="All",B583=Dashboard!$C$14),OR(Dashboard!$C$16="All",K583=Dashboard!$C$16),OR(Dashboard!$C$17="All",J583=Dashboard!$C$17)),1,0)</f>
        <v>0</v>
      </c>
      <c r="O583" s="24">
        <f>IF(AND(L583=1,OR(Dashboard!$C$13="All",A583=Dashboard!$C$13),OR(Dashboard!$C$15="All",C583=Dashboard!$C$15),OR(Dashboard!$C$16="All",K583=Dashboard!$C$16),OR(Dashboard!$C$17="All",J583=Dashboard!$C$17)),1,0)</f>
        <v>0</v>
      </c>
      <c r="P583" s="24">
        <f>IF(AND(L583=1,OR(Dashboard!$C$13="All",A583=Dashboard!$C$13),OR(Dashboard!$C$14="All",B583=Dashboard!$C$14),OR(Dashboard!$C$15="All",C583=Dashboard!$C$15),OR(Dashboard!$C$17="All",J583=Dashboard!$C$17)),1,0)</f>
        <v>0</v>
      </c>
      <c r="Q583" s="24">
        <f>IF(AND(L583=1,OR(Dashboard!$C$14="All",B583=Dashboard!$C$14),OR(Dashboard!$C$15="All",C583=Dashboard!$C$15),OR(Dashboard!$C$16="All",K583=Dashboard!$C$16),OR(Dashboard!$C$17="All",J583=Dashboard!$C$17)),1,0)</f>
        <v>0</v>
      </c>
      <c r="R583" s="24">
        <f>IF(AND(L583=1,OR(Dashboard!$C$13="All",A583=Dashboard!$C$13),OR(Dashboard!$C$14="All",B583=Dashboard!$C$14),OR(Dashboard!$C$15="All",C583=Dashboard!$C$15),OR(Dashboard!$C$16="All",K583=Dashboard!$C$16)),1,0)</f>
        <v>0</v>
      </c>
      <c r="S583" s="25" t="str">
        <f t="shared" si="3"/>
        <v/>
      </c>
    </row>
    <row r="584" ht="15.75" customHeight="1">
      <c r="A584" s="27"/>
      <c r="B584" s="27"/>
      <c r="C584" s="27"/>
      <c r="D584" s="27"/>
      <c r="E584" s="17"/>
      <c r="F584" s="28" t="str">
        <f t="shared" si="4"/>
        <v/>
      </c>
      <c r="G584" s="6"/>
      <c r="H584" s="22"/>
      <c r="I584" s="29" t="str">
        <f t="shared" si="5"/>
        <v/>
      </c>
      <c r="J584" s="27"/>
      <c r="K584" s="27"/>
      <c r="L584" s="25" t="str">
        <f>IF(A584="","",IF(OR(G584="",AND(G584&gt;=Dashboard!$C$18,G584&lt;=Dashboard!$C$19)),1,0))</f>
        <v/>
      </c>
      <c r="M584" s="24">
        <f>IF(AND(L584=1,OR(Dashboard!$C$13="All",A584=Dashboard!$C$13),OR(Dashboard!$C$14="All",B584=Dashboard!$C$14),OR(Dashboard!$C$15="All",C584=Dashboard!$C$15),OR(Dashboard!$C$16="All",K584=Dashboard!$C$16),OR(Dashboard!$C$17="All",J584=Dashboard!$C$17)),1,0)</f>
        <v>0</v>
      </c>
      <c r="N584" s="24">
        <f>IF(AND(L584=1,OR(Dashboard!$C$13="All",A584=Dashboard!$C$13),OR(Dashboard!$C$14="All",B584=Dashboard!$C$14),OR(Dashboard!$C$16="All",K584=Dashboard!$C$16),OR(Dashboard!$C$17="All",J584=Dashboard!$C$17)),1,0)</f>
        <v>0</v>
      </c>
      <c r="O584" s="24">
        <f>IF(AND(L584=1,OR(Dashboard!$C$13="All",A584=Dashboard!$C$13),OR(Dashboard!$C$15="All",C584=Dashboard!$C$15),OR(Dashboard!$C$16="All",K584=Dashboard!$C$16),OR(Dashboard!$C$17="All",J584=Dashboard!$C$17)),1,0)</f>
        <v>0</v>
      </c>
      <c r="P584" s="24">
        <f>IF(AND(L584=1,OR(Dashboard!$C$13="All",A584=Dashboard!$C$13),OR(Dashboard!$C$14="All",B584=Dashboard!$C$14),OR(Dashboard!$C$15="All",C584=Dashboard!$C$15),OR(Dashboard!$C$17="All",J584=Dashboard!$C$17)),1,0)</f>
        <v>0</v>
      </c>
      <c r="Q584" s="24">
        <f>IF(AND(L584=1,OR(Dashboard!$C$14="All",B584=Dashboard!$C$14),OR(Dashboard!$C$15="All",C584=Dashboard!$C$15),OR(Dashboard!$C$16="All",K584=Dashboard!$C$16),OR(Dashboard!$C$17="All",J584=Dashboard!$C$17)),1,0)</f>
        <v>0</v>
      </c>
      <c r="R584" s="24">
        <f>IF(AND(L584=1,OR(Dashboard!$C$13="All",A584=Dashboard!$C$13),OR(Dashboard!$C$14="All",B584=Dashboard!$C$14),OR(Dashboard!$C$15="All",C584=Dashboard!$C$15),OR(Dashboard!$C$16="All",K584=Dashboard!$C$16)),1,0)</f>
        <v>0</v>
      </c>
      <c r="S584" s="25" t="str">
        <f t="shared" si="3"/>
        <v/>
      </c>
    </row>
    <row r="585" ht="15.75" customHeight="1">
      <c r="A585" s="27"/>
      <c r="B585" s="27"/>
      <c r="C585" s="27"/>
      <c r="D585" s="27"/>
      <c r="E585" s="14"/>
      <c r="F585" s="28" t="str">
        <f t="shared" si="4"/>
        <v/>
      </c>
      <c r="G585" s="6"/>
      <c r="H585" s="22"/>
      <c r="I585" s="29" t="str">
        <f t="shared" si="5"/>
        <v/>
      </c>
      <c r="J585" s="27"/>
      <c r="K585" s="27"/>
      <c r="L585" s="25" t="str">
        <f>IF(A585="","",IF(OR(G585="",AND(G585&gt;=Dashboard!$C$18,G585&lt;=Dashboard!$C$19)),1,0))</f>
        <v/>
      </c>
      <c r="M585" s="24">
        <f>IF(AND(L585=1,OR(Dashboard!$C$13="All",A585=Dashboard!$C$13),OR(Dashboard!$C$14="All",B585=Dashboard!$C$14),OR(Dashboard!$C$15="All",C585=Dashboard!$C$15),OR(Dashboard!$C$16="All",K585=Dashboard!$C$16),OR(Dashboard!$C$17="All",J585=Dashboard!$C$17)),1,0)</f>
        <v>0</v>
      </c>
      <c r="N585" s="24">
        <f>IF(AND(L585=1,OR(Dashboard!$C$13="All",A585=Dashboard!$C$13),OR(Dashboard!$C$14="All",B585=Dashboard!$C$14),OR(Dashboard!$C$16="All",K585=Dashboard!$C$16),OR(Dashboard!$C$17="All",J585=Dashboard!$C$17)),1,0)</f>
        <v>0</v>
      </c>
      <c r="O585" s="24">
        <f>IF(AND(L585=1,OR(Dashboard!$C$13="All",A585=Dashboard!$C$13),OR(Dashboard!$C$15="All",C585=Dashboard!$C$15),OR(Dashboard!$C$16="All",K585=Dashboard!$C$16),OR(Dashboard!$C$17="All",J585=Dashboard!$C$17)),1,0)</f>
        <v>0</v>
      </c>
      <c r="P585" s="24">
        <f>IF(AND(L585=1,OR(Dashboard!$C$13="All",A585=Dashboard!$C$13),OR(Dashboard!$C$14="All",B585=Dashboard!$C$14),OR(Dashboard!$C$15="All",C585=Dashboard!$C$15),OR(Dashboard!$C$17="All",J585=Dashboard!$C$17)),1,0)</f>
        <v>0</v>
      </c>
      <c r="Q585" s="24">
        <f>IF(AND(L585=1,OR(Dashboard!$C$14="All",B585=Dashboard!$C$14),OR(Dashboard!$C$15="All",C585=Dashboard!$C$15),OR(Dashboard!$C$16="All",K585=Dashboard!$C$16),OR(Dashboard!$C$17="All",J585=Dashboard!$C$17)),1,0)</f>
        <v>0</v>
      </c>
      <c r="R585" s="24">
        <f>IF(AND(L585=1,OR(Dashboard!$C$13="All",A585=Dashboard!$C$13),OR(Dashboard!$C$14="All",B585=Dashboard!$C$14),OR(Dashboard!$C$15="All",C585=Dashboard!$C$15),OR(Dashboard!$C$16="All",K585=Dashboard!$C$16)),1,0)</f>
        <v>0</v>
      </c>
      <c r="S585" s="25" t="str">
        <f t="shared" si="3"/>
        <v/>
      </c>
    </row>
    <row r="586" ht="15.75" customHeight="1">
      <c r="A586" s="27"/>
      <c r="B586" s="27"/>
      <c r="C586" s="27"/>
      <c r="D586" s="27"/>
      <c r="E586" s="17"/>
      <c r="F586" s="28" t="str">
        <f t="shared" si="4"/>
        <v/>
      </c>
      <c r="G586" s="6"/>
      <c r="H586" s="22"/>
      <c r="I586" s="29" t="str">
        <f t="shared" si="5"/>
        <v/>
      </c>
      <c r="J586" s="27"/>
      <c r="K586" s="27"/>
      <c r="L586" s="25" t="str">
        <f>IF(A586="","",IF(OR(G586="",AND(G586&gt;=Dashboard!$C$18,G586&lt;=Dashboard!$C$19)),1,0))</f>
        <v/>
      </c>
      <c r="M586" s="24">
        <f>IF(AND(L586=1,OR(Dashboard!$C$13="All",A586=Dashboard!$C$13),OR(Dashboard!$C$14="All",B586=Dashboard!$C$14),OR(Dashboard!$C$15="All",C586=Dashboard!$C$15),OR(Dashboard!$C$16="All",K586=Dashboard!$C$16),OR(Dashboard!$C$17="All",J586=Dashboard!$C$17)),1,0)</f>
        <v>0</v>
      </c>
      <c r="N586" s="24">
        <f>IF(AND(L586=1,OR(Dashboard!$C$13="All",A586=Dashboard!$C$13),OR(Dashboard!$C$14="All",B586=Dashboard!$C$14),OR(Dashboard!$C$16="All",K586=Dashboard!$C$16),OR(Dashboard!$C$17="All",J586=Dashboard!$C$17)),1,0)</f>
        <v>0</v>
      </c>
      <c r="O586" s="24">
        <f>IF(AND(L586=1,OR(Dashboard!$C$13="All",A586=Dashboard!$C$13),OR(Dashboard!$C$15="All",C586=Dashboard!$C$15),OR(Dashboard!$C$16="All",K586=Dashboard!$C$16),OR(Dashboard!$C$17="All",J586=Dashboard!$C$17)),1,0)</f>
        <v>0</v>
      </c>
      <c r="P586" s="24">
        <f>IF(AND(L586=1,OR(Dashboard!$C$13="All",A586=Dashboard!$C$13),OR(Dashboard!$C$14="All",B586=Dashboard!$C$14),OR(Dashboard!$C$15="All",C586=Dashboard!$C$15),OR(Dashboard!$C$17="All",J586=Dashboard!$C$17)),1,0)</f>
        <v>0</v>
      </c>
      <c r="Q586" s="24">
        <f>IF(AND(L586=1,OR(Dashboard!$C$14="All",B586=Dashboard!$C$14),OR(Dashboard!$C$15="All",C586=Dashboard!$C$15),OR(Dashboard!$C$16="All",K586=Dashboard!$C$16),OR(Dashboard!$C$17="All",J586=Dashboard!$C$17)),1,0)</f>
        <v>0</v>
      </c>
      <c r="R586" s="24">
        <f>IF(AND(L586=1,OR(Dashboard!$C$13="All",A586=Dashboard!$C$13),OR(Dashboard!$C$14="All",B586=Dashboard!$C$14),OR(Dashboard!$C$15="All",C586=Dashboard!$C$15),OR(Dashboard!$C$16="All",K586=Dashboard!$C$16)),1,0)</f>
        <v>0</v>
      </c>
      <c r="S586" s="25" t="str">
        <f t="shared" si="3"/>
        <v/>
      </c>
    </row>
    <row r="587" ht="15.75" customHeight="1">
      <c r="A587" s="27"/>
      <c r="B587" s="27"/>
      <c r="C587" s="27"/>
      <c r="D587" s="27"/>
      <c r="E587" s="14"/>
      <c r="F587" s="28" t="str">
        <f t="shared" si="4"/>
        <v/>
      </c>
      <c r="G587" s="6"/>
      <c r="H587" s="22"/>
      <c r="I587" s="29" t="str">
        <f t="shared" si="5"/>
        <v/>
      </c>
      <c r="J587" s="27"/>
      <c r="K587" s="27"/>
      <c r="L587" s="25" t="str">
        <f>IF(A587="","",IF(OR(G587="",AND(G587&gt;=Dashboard!$C$18,G587&lt;=Dashboard!$C$19)),1,0))</f>
        <v/>
      </c>
      <c r="M587" s="24">
        <f>IF(AND(L587=1,OR(Dashboard!$C$13="All",A587=Dashboard!$C$13),OR(Dashboard!$C$14="All",B587=Dashboard!$C$14),OR(Dashboard!$C$15="All",C587=Dashboard!$C$15),OR(Dashboard!$C$16="All",K587=Dashboard!$C$16),OR(Dashboard!$C$17="All",J587=Dashboard!$C$17)),1,0)</f>
        <v>0</v>
      </c>
      <c r="N587" s="24">
        <f>IF(AND(L587=1,OR(Dashboard!$C$13="All",A587=Dashboard!$C$13),OR(Dashboard!$C$14="All",B587=Dashboard!$C$14),OR(Dashboard!$C$16="All",K587=Dashboard!$C$16),OR(Dashboard!$C$17="All",J587=Dashboard!$C$17)),1,0)</f>
        <v>0</v>
      </c>
      <c r="O587" s="24">
        <f>IF(AND(L587=1,OR(Dashboard!$C$13="All",A587=Dashboard!$C$13),OR(Dashboard!$C$15="All",C587=Dashboard!$C$15),OR(Dashboard!$C$16="All",K587=Dashboard!$C$16),OR(Dashboard!$C$17="All",J587=Dashboard!$C$17)),1,0)</f>
        <v>0</v>
      </c>
      <c r="P587" s="24">
        <f>IF(AND(L587=1,OR(Dashboard!$C$13="All",A587=Dashboard!$C$13),OR(Dashboard!$C$14="All",B587=Dashboard!$C$14),OR(Dashboard!$C$15="All",C587=Dashboard!$C$15),OR(Dashboard!$C$17="All",J587=Dashboard!$C$17)),1,0)</f>
        <v>0</v>
      </c>
      <c r="Q587" s="24">
        <f>IF(AND(L587=1,OR(Dashboard!$C$14="All",B587=Dashboard!$C$14),OR(Dashboard!$C$15="All",C587=Dashboard!$C$15),OR(Dashboard!$C$16="All",K587=Dashboard!$C$16),OR(Dashboard!$C$17="All",J587=Dashboard!$C$17)),1,0)</f>
        <v>0</v>
      </c>
      <c r="R587" s="24">
        <f>IF(AND(L587=1,OR(Dashboard!$C$13="All",A587=Dashboard!$C$13),OR(Dashboard!$C$14="All",B587=Dashboard!$C$14),OR(Dashboard!$C$15="All",C587=Dashboard!$C$15),OR(Dashboard!$C$16="All",K587=Dashboard!$C$16)),1,0)</f>
        <v>0</v>
      </c>
      <c r="S587" s="25" t="str">
        <f t="shared" si="3"/>
        <v/>
      </c>
    </row>
    <row r="588" ht="15.75" customHeight="1">
      <c r="A588" s="27"/>
      <c r="B588" s="27"/>
      <c r="C588" s="27"/>
      <c r="D588" s="27"/>
      <c r="E588" s="17"/>
      <c r="F588" s="28" t="str">
        <f t="shared" si="4"/>
        <v/>
      </c>
      <c r="G588" s="6"/>
      <c r="H588" s="22"/>
      <c r="I588" s="29" t="str">
        <f t="shared" si="5"/>
        <v/>
      </c>
      <c r="J588" s="27"/>
      <c r="K588" s="27"/>
      <c r="L588" s="25" t="str">
        <f>IF(A588="","",IF(OR(G588="",AND(G588&gt;=Dashboard!$C$18,G588&lt;=Dashboard!$C$19)),1,0))</f>
        <v/>
      </c>
      <c r="M588" s="24">
        <f>IF(AND(L588=1,OR(Dashboard!$C$13="All",A588=Dashboard!$C$13),OR(Dashboard!$C$14="All",B588=Dashboard!$C$14),OR(Dashboard!$C$15="All",C588=Dashboard!$C$15),OR(Dashboard!$C$16="All",K588=Dashboard!$C$16),OR(Dashboard!$C$17="All",J588=Dashboard!$C$17)),1,0)</f>
        <v>0</v>
      </c>
      <c r="N588" s="24">
        <f>IF(AND(L588=1,OR(Dashboard!$C$13="All",A588=Dashboard!$C$13),OR(Dashboard!$C$14="All",B588=Dashboard!$C$14),OR(Dashboard!$C$16="All",K588=Dashboard!$C$16),OR(Dashboard!$C$17="All",J588=Dashboard!$C$17)),1,0)</f>
        <v>0</v>
      </c>
      <c r="O588" s="24">
        <f>IF(AND(L588=1,OR(Dashboard!$C$13="All",A588=Dashboard!$C$13),OR(Dashboard!$C$15="All",C588=Dashboard!$C$15),OR(Dashboard!$C$16="All",K588=Dashboard!$C$16),OR(Dashboard!$C$17="All",J588=Dashboard!$C$17)),1,0)</f>
        <v>0</v>
      </c>
      <c r="P588" s="24">
        <f>IF(AND(L588=1,OR(Dashboard!$C$13="All",A588=Dashboard!$C$13),OR(Dashboard!$C$14="All",B588=Dashboard!$C$14),OR(Dashboard!$C$15="All",C588=Dashboard!$C$15),OR(Dashboard!$C$17="All",J588=Dashboard!$C$17)),1,0)</f>
        <v>0</v>
      </c>
      <c r="Q588" s="24">
        <f>IF(AND(L588=1,OR(Dashboard!$C$14="All",B588=Dashboard!$C$14),OR(Dashboard!$C$15="All",C588=Dashboard!$C$15),OR(Dashboard!$C$16="All",K588=Dashboard!$C$16),OR(Dashboard!$C$17="All",J588=Dashboard!$C$17)),1,0)</f>
        <v>0</v>
      </c>
      <c r="R588" s="24">
        <f>IF(AND(L588=1,OR(Dashboard!$C$13="All",A588=Dashboard!$C$13),OR(Dashboard!$C$14="All",B588=Dashboard!$C$14),OR(Dashboard!$C$15="All",C588=Dashboard!$C$15),OR(Dashboard!$C$16="All",K588=Dashboard!$C$16)),1,0)</f>
        <v>0</v>
      </c>
      <c r="S588" s="25" t="str">
        <f t="shared" si="3"/>
        <v/>
      </c>
    </row>
    <row r="589" ht="15.75" customHeight="1">
      <c r="A589" s="27"/>
      <c r="B589" s="27"/>
      <c r="C589" s="27"/>
      <c r="D589" s="27"/>
      <c r="E589" s="14"/>
      <c r="F589" s="28" t="str">
        <f t="shared" si="4"/>
        <v/>
      </c>
      <c r="G589" s="6"/>
      <c r="H589" s="22"/>
      <c r="I589" s="29" t="str">
        <f t="shared" si="5"/>
        <v/>
      </c>
      <c r="J589" s="27"/>
      <c r="K589" s="27"/>
      <c r="L589" s="25" t="str">
        <f>IF(A589="","",IF(OR(G589="",AND(G589&gt;=Dashboard!$C$18,G589&lt;=Dashboard!$C$19)),1,0))</f>
        <v/>
      </c>
      <c r="M589" s="24">
        <f>IF(AND(L589=1,OR(Dashboard!$C$13="All",A589=Dashboard!$C$13),OR(Dashboard!$C$14="All",B589=Dashboard!$C$14),OR(Dashboard!$C$15="All",C589=Dashboard!$C$15),OR(Dashboard!$C$16="All",K589=Dashboard!$C$16),OR(Dashboard!$C$17="All",J589=Dashboard!$C$17)),1,0)</f>
        <v>0</v>
      </c>
      <c r="N589" s="24">
        <f>IF(AND(L589=1,OR(Dashboard!$C$13="All",A589=Dashboard!$C$13),OR(Dashboard!$C$14="All",B589=Dashboard!$C$14),OR(Dashboard!$C$16="All",K589=Dashboard!$C$16),OR(Dashboard!$C$17="All",J589=Dashboard!$C$17)),1,0)</f>
        <v>0</v>
      </c>
      <c r="O589" s="24">
        <f>IF(AND(L589=1,OR(Dashboard!$C$13="All",A589=Dashboard!$C$13),OR(Dashboard!$C$15="All",C589=Dashboard!$C$15),OR(Dashboard!$C$16="All",K589=Dashboard!$C$16),OR(Dashboard!$C$17="All",J589=Dashboard!$C$17)),1,0)</f>
        <v>0</v>
      </c>
      <c r="P589" s="24">
        <f>IF(AND(L589=1,OR(Dashboard!$C$13="All",A589=Dashboard!$C$13),OR(Dashboard!$C$14="All",B589=Dashboard!$C$14),OR(Dashboard!$C$15="All",C589=Dashboard!$C$15),OR(Dashboard!$C$17="All",J589=Dashboard!$C$17)),1,0)</f>
        <v>0</v>
      </c>
      <c r="Q589" s="24">
        <f>IF(AND(L589=1,OR(Dashboard!$C$14="All",B589=Dashboard!$C$14),OR(Dashboard!$C$15="All",C589=Dashboard!$C$15),OR(Dashboard!$C$16="All",K589=Dashboard!$C$16),OR(Dashboard!$C$17="All",J589=Dashboard!$C$17)),1,0)</f>
        <v>0</v>
      </c>
      <c r="R589" s="24">
        <f>IF(AND(L589=1,OR(Dashboard!$C$13="All",A589=Dashboard!$C$13),OR(Dashboard!$C$14="All",B589=Dashboard!$C$14),OR(Dashboard!$C$15="All",C589=Dashboard!$C$15),OR(Dashboard!$C$16="All",K589=Dashboard!$C$16)),1,0)</f>
        <v>0</v>
      </c>
      <c r="S589" s="25" t="str">
        <f t="shared" si="3"/>
        <v/>
      </c>
    </row>
    <row r="590" ht="15.75" customHeight="1">
      <c r="A590" s="27"/>
      <c r="B590" s="27"/>
      <c r="C590" s="27"/>
      <c r="D590" s="27"/>
      <c r="E590" s="17"/>
      <c r="F590" s="28" t="str">
        <f t="shared" si="4"/>
        <v/>
      </c>
      <c r="G590" s="6"/>
      <c r="H590" s="22"/>
      <c r="I590" s="29" t="str">
        <f t="shared" si="5"/>
        <v/>
      </c>
      <c r="J590" s="27"/>
      <c r="K590" s="27"/>
      <c r="L590" s="25" t="str">
        <f>IF(A590="","",IF(OR(G590="",AND(G590&gt;=Dashboard!$C$18,G590&lt;=Dashboard!$C$19)),1,0))</f>
        <v/>
      </c>
      <c r="M590" s="24">
        <f>IF(AND(L590=1,OR(Dashboard!$C$13="All",A590=Dashboard!$C$13),OR(Dashboard!$C$14="All",B590=Dashboard!$C$14),OR(Dashboard!$C$15="All",C590=Dashboard!$C$15),OR(Dashboard!$C$16="All",K590=Dashboard!$C$16),OR(Dashboard!$C$17="All",J590=Dashboard!$C$17)),1,0)</f>
        <v>0</v>
      </c>
      <c r="N590" s="24">
        <f>IF(AND(L590=1,OR(Dashboard!$C$13="All",A590=Dashboard!$C$13),OR(Dashboard!$C$14="All",B590=Dashboard!$C$14),OR(Dashboard!$C$16="All",K590=Dashboard!$C$16),OR(Dashboard!$C$17="All",J590=Dashboard!$C$17)),1,0)</f>
        <v>0</v>
      </c>
      <c r="O590" s="24">
        <f>IF(AND(L590=1,OR(Dashboard!$C$13="All",A590=Dashboard!$C$13),OR(Dashboard!$C$15="All",C590=Dashboard!$C$15),OR(Dashboard!$C$16="All",K590=Dashboard!$C$16),OR(Dashboard!$C$17="All",J590=Dashboard!$C$17)),1,0)</f>
        <v>0</v>
      </c>
      <c r="P590" s="24">
        <f>IF(AND(L590=1,OR(Dashboard!$C$13="All",A590=Dashboard!$C$13),OR(Dashboard!$C$14="All",B590=Dashboard!$C$14),OR(Dashboard!$C$15="All",C590=Dashboard!$C$15),OR(Dashboard!$C$17="All",J590=Dashboard!$C$17)),1,0)</f>
        <v>0</v>
      </c>
      <c r="Q590" s="24">
        <f>IF(AND(L590=1,OR(Dashboard!$C$14="All",B590=Dashboard!$C$14),OR(Dashboard!$C$15="All",C590=Dashboard!$C$15),OR(Dashboard!$C$16="All",K590=Dashboard!$C$16),OR(Dashboard!$C$17="All",J590=Dashboard!$C$17)),1,0)</f>
        <v>0</v>
      </c>
      <c r="R590" s="24">
        <f>IF(AND(L590=1,OR(Dashboard!$C$13="All",A590=Dashboard!$C$13),OR(Dashboard!$C$14="All",B590=Dashboard!$C$14),OR(Dashboard!$C$15="All",C590=Dashboard!$C$15),OR(Dashboard!$C$16="All",K590=Dashboard!$C$16)),1,0)</f>
        <v>0</v>
      </c>
      <c r="S590" s="25" t="str">
        <f t="shared" si="3"/>
        <v/>
      </c>
    </row>
    <row r="591" ht="15.75" customHeight="1">
      <c r="A591" s="27"/>
      <c r="B591" s="27"/>
      <c r="C591" s="27"/>
      <c r="D591" s="27"/>
      <c r="E591" s="28"/>
      <c r="F591" s="28" t="str">
        <f t="shared" si="4"/>
        <v/>
      </c>
      <c r="G591" s="6"/>
      <c r="H591" s="22"/>
      <c r="I591" s="29" t="str">
        <f t="shared" si="5"/>
        <v/>
      </c>
      <c r="J591" s="27"/>
      <c r="K591" s="27"/>
      <c r="L591" s="25" t="str">
        <f>IF(A591="","",IF(OR(G591="",AND(G591&gt;=Dashboard!$C$18,G591&lt;=Dashboard!$C$19)),1,0))</f>
        <v/>
      </c>
      <c r="M591" s="24">
        <f>IF(AND(L591=1,OR(Dashboard!$C$13="All",A591=Dashboard!$C$13),OR(Dashboard!$C$14="All",B591=Dashboard!$C$14),OR(Dashboard!$C$15="All",C591=Dashboard!$C$15),OR(Dashboard!$C$16="All",K591=Dashboard!$C$16),OR(Dashboard!$C$17="All",J591=Dashboard!$C$17)),1,0)</f>
        <v>0</v>
      </c>
      <c r="N591" s="24">
        <f>IF(AND(L591=1,OR(Dashboard!$C$13="All",A591=Dashboard!$C$13),OR(Dashboard!$C$14="All",B591=Dashboard!$C$14),OR(Dashboard!$C$16="All",K591=Dashboard!$C$16),OR(Dashboard!$C$17="All",J591=Dashboard!$C$17)),1,0)</f>
        <v>0</v>
      </c>
      <c r="O591" s="24">
        <f>IF(AND(L591=1,OR(Dashboard!$C$13="All",A591=Dashboard!$C$13),OR(Dashboard!$C$15="All",C591=Dashboard!$C$15),OR(Dashboard!$C$16="All",K591=Dashboard!$C$16),OR(Dashboard!$C$17="All",J591=Dashboard!$C$17)),1,0)</f>
        <v>0</v>
      </c>
      <c r="P591" s="24">
        <f>IF(AND(L591=1,OR(Dashboard!$C$13="All",A591=Dashboard!$C$13),OR(Dashboard!$C$14="All",B591=Dashboard!$C$14),OR(Dashboard!$C$15="All",C591=Dashboard!$C$15),OR(Dashboard!$C$17="All",J591=Dashboard!$C$17)),1,0)</f>
        <v>0</v>
      </c>
      <c r="Q591" s="24">
        <f>IF(AND(L591=1,OR(Dashboard!$C$14="All",B591=Dashboard!$C$14),OR(Dashboard!$C$15="All",C591=Dashboard!$C$15),OR(Dashboard!$C$16="All",K591=Dashboard!$C$16),OR(Dashboard!$C$17="All",J591=Dashboard!$C$17)),1,0)</f>
        <v>0</v>
      </c>
      <c r="R591" s="24">
        <f>IF(AND(L591=1,OR(Dashboard!$C$13="All",A591=Dashboard!$C$13),OR(Dashboard!$C$14="All",B591=Dashboard!$C$14),OR(Dashboard!$C$15="All",C591=Dashboard!$C$15),OR(Dashboard!$C$16="All",K591=Dashboard!$C$16)),1,0)</f>
        <v>0</v>
      </c>
      <c r="S591" s="25" t="str">
        <f t="shared" si="3"/>
        <v/>
      </c>
    </row>
    <row r="592" ht="15.75" customHeight="1">
      <c r="A592" s="27"/>
      <c r="B592" s="27"/>
      <c r="C592" s="27"/>
      <c r="D592" s="27"/>
      <c r="E592" s="28"/>
      <c r="F592" s="28" t="str">
        <f t="shared" si="4"/>
        <v/>
      </c>
      <c r="G592" s="6"/>
      <c r="H592" s="22"/>
      <c r="I592" s="29" t="str">
        <f t="shared" si="5"/>
        <v/>
      </c>
      <c r="J592" s="27"/>
      <c r="K592" s="27"/>
      <c r="L592" s="25" t="str">
        <f>IF(A592="","",IF(OR(G592="",AND(G592&gt;=Dashboard!$C$18,G592&lt;=Dashboard!$C$19)),1,0))</f>
        <v/>
      </c>
      <c r="M592" s="24">
        <f>IF(AND(L592=1,OR(Dashboard!$C$13="All",A592=Dashboard!$C$13),OR(Dashboard!$C$14="All",B592=Dashboard!$C$14),OR(Dashboard!$C$15="All",C592=Dashboard!$C$15),OR(Dashboard!$C$16="All",K592=Dashboard!$C$16),OR(Dashboard!$C$17="All",J592=Dashboard!$C$17)),1,0)</f>
        <v>0</v>
      </c>
      <c r="N592" s="24">
        <f>IF(AND(L592=1,OR(Dashboard!$C$13="All",A592=Dashboard!$C$13),OR(Dashboard!$C$14="All",B592=Dashboard!$C$14),OR(Dashboard!$C$16="All",K592=Dashboard!$C$16),OR(Dashboard!$C$17="All",J592=Dashboard!$C$17)),1,0)</f>
        <v>0</v>
      </c>
      <c r="O592" s="24">
        <f>IF(AND(L592=1,OR(Dashboard!$C$13="All",A592=Dashboard!$C$13),OR(Dashboard!$C$15="All",C592=Dashboard!$C$15),OR(Dashboard!$C$16="All",K592=Dashboard!$C$16),OR(Dashboard!$C$17="All",J592=Dashboard!$C$17)),1,0)</f>
        <v>0</v>
      </c>
      <c r="P592" s="24">
        <f>IF(AND(L592=1,OR(Dashboard!$C$13="All",A592=Dashboard!$C$13),OR(Dashboard!$C$14="All",B592=Dashboard!$C$14),OR(Dashboard!$C$15="All",C592=Dashboard!$C$15),OR(Dashboard!$C$17="All",J592=Dashboard!$C$17)),1,0)</f>
        <v>0</v>
      </c>
      <c r="Q592" s="24">
        <f>IF(AND(L592=1,OR(Dashboard!$C$14="All",B592=Dashboard!$C$14),OR(Dashboard!$C$15="All",C592=Dashboard!$C$15),OR(Dashboard!$C$16="All",K592=Dashboard!$C$16),OR(Dashboard!$C$17="All",J592=Dashboard!$C$17)),1,0)</f>
        <v>0</v>
      </c>
      <c r="R592" s="24">
        <f>IF(AND(L592=1,OR(Dashboard!$C$13="All",A592=Dashboard!$C$13),OR(Dashboard!$C$14="All",B592=Dashboard!$C$14),OR(Dashboard!$C$15="All",C592=Dashboard!$C$15),OR(Dashboard!$C$16="All",K592=Dashboard!$C$16)),1,0)</f>
        <v>0</v>
      </c>
      <c r="S592" s="25" t="str">
        <f t="shared" si="3"/>
        <v/>
      </c>
    </row>
    <row r="593" ht="15.75" customHeight="1">
      <c r="A593" s="27"/>
      <c r="B593" s="27"/>
      <c r="C593" s="27"/>
      <c r="D593" s="27"/>
      <c r="E593" s="28"/>
      <c r="F593" s="28" t="str">
        <f t="shared" si="4"/>
        <v/>
      </c>
      <c r="G593" s="6"/>
      <c r="H593" s="22"/>
      <c r="I593" s="29" t="str">
        <f t="shared" si="5"/>
        <v/>
      </c>
      <c r="J593" s="27"/>
      <c r="K593" s="27"/>
      <c r="L593" s="25" t="str">
        <f>IF(A593="","",IF(OR(G593="",AND(G593&gt;=Dashboard!$C$18,G593&lt;=Dashboard!$C$19)),1,0))</f>
        <v/>
      </c>
      <c r="M593" s="24">
        <f>IF(AND(L593=1,OR(Dashboard!$C$13="All",A593=Dashboard!$C$13),OR(Dashboard!$C$14="All",B593=Dashboard!$C$14),OR(Dashboard!$C$15="All",C593=Dashboard!$C$15),OR(Dashboard!$C$16="All",K593=Dashboard!$C$16),OR(Dashboard!$C$17="All",J593=Dashboard!$C$17)),1,0)</f>
        <v>0</v>
      </c>
      <c r="N593" s="24">
        <f>IF(AND(L593=1,OR(Dashboard!$C$13="All",A593=Dashboard!$C$13),OR(Dashboard!$C$14="All",B593=Dashboard!$C$14),OR(Dashboard!$C$16="All",K593=Dashboard!$C$16),OR(Dashboard!$C$17="All",J593=Dashboard!$C$17)),1,0)</f>
        <v>0</v>
      </c>
      <c r="O593" s="24">
        <f>IF(AND(L593=1,OR(Dashboard!$C$13="All",A593=Dashboard!$C$13),OR(Dashboard!$C$15="All",C593=Dashboard!$C$15),OR(Dashboard!$C$16="All",K593=Dashboard!$C$16),OR(Dashboard!$C$17="All",J593=Dashboard!$C$17)),1,0)</f>
        <v>0</v>
      </c>
      <c r="P593" s="24">
        <f>IF(AND(L593=1,OR(Dashboard!$C$13="All",A593=Dashboard!$C$13),OR(Dashboard!$C$14="All",B593=Dashboard!$C$14),OR(Dashboard!$C$15="All",C593=Dashboard!$C$15),OR(Dashboard!$C$17="All",J593=Dashboard!$C$17)),1,0)</f>
        <v>0</v>
      </c>
      <c r="Q593" s="24">
        <f>IF(AND(L593=1,OR(Dashboard!$C$14="All",B593=Dashboard!$C$14),OR(Dashboard!$C$15="All",C593=Dashboard!$C$15),OR(Dashboard!$C$16="All",K593=Dashboard!$C$16),OR(Dashboard!$C$17="All",J593=Dashboard!$C$17)),1,0)</f>
        <v>0</v>
      </c>
      <c r="R593" s="24">
        <f>IF(AND(L593=1,OR(Dashboard!$C$13="All",A593=Dashboard!$C$13),OR(Dashboard!$C$14="All",B593=Dashboard!$C$14),OR(Dashboard!$C$15="All",C593=Dashboard!$C$15),OR(Dashboard!$C$16="All",K593=Dashboard!$C$16)),1,0)</f>
        <v>0</v>
      </c>
      <c r="S593" s="25" t="str">
        <f t="shared" si="3"/>
        <v/>
      </c>
    </row>
    <row r="594" ht="15.75" customHeight="1">
      <c r="A594" s="27"/>
      <c r="B594" s="27"/>
      <c r="C594" s="27"/>
      <c r="D594" s="27"/>
      <c r="E594" s="28"/>
      <c r="F594" s="28" t="str">
        <f t="shared" si="4"/>
        <v/>
      </c>
      <c r="G594" s="6"/>
      <c r="H594" s="22"/>
      <c r="I594" s="29" t="str">
        <f t="shared" si="5"/>
        <v/>
      </c>
      <c r="J594" s="27"/>
      <c r="K594" s="27"/>
      <c r="L594" s="25" t="str">
        <f>IF(A594="","",IF(OR(G594="",AND(G594&gt;=Dashboard!$C$18,G594&lt;=Dashboard!$C$19)),1,0))</f>
        <v/>
      </c>
      <c r="M594" s="24">
        <f>IF(AND(L594=1,OR(Dashboard!$C$13="All",A594=Dashboard!$C$13),OR(Dashboard!$C$14="All",B594=Dashboard!$C$14),OR(Dashboard!$C$15="All",C594=Dashboard!$C$15),OR(Dashboard!$C$16="All",K594=Dashboard!$C$16),OR(Dashboard!$C$17="All",J594=Dashboard!$C$17)),1,0)</f>
        <v>0</v>
      </c>
      <c r="N594" s="24">
        <f>IF(AND(L594=1,OR(Dashboard!$C$13="All",A594=Dashboard!$C$13),OR(Dashboard!$C$14="All",B594=Dashboard!$C$14),OR(Dashboard!$C$16="All",K594=Dashboard!$C$16),OR(Dashboard!$C$17="All",J594=Dashboard!$C$17)),1,0)</f>
        <v>0</v>
      </c>
      <c r="O594" s="24">
        <f>IF(AND(L594=1,OR(Dashboard!$C$13="All",A594=Dashboard!$C$13),OR(Dashboard!$C$15="All",C594=Dashboard!$C$15),OR(Dashboard!$C$16="All",K594=Dashboard!$C$16),OR(Dashboard!$C$17="All",J594=Dashboard!$C$17)),1,0)</f>
        <v>0</v>
      </c>
      <c r="P594" s="24">
        <f>IF(AND(L594=1,OR(Dashboard!$C$13="All",A594=Dashboard!$C$13),OR(Dashboard!$C$14="All",B594=Dashboard!$C$14),OR(Dashboard!$C$15="All",C594=Dashboard!$C$15),OR(Dashboard!$C$17="All",J594=Dashboard!$C$17)),1,0)</f>
        <v>0</v>
      </c>
      <c r="Q594" s="24">
        <f>IF(AND(L594=1,OR(Dashboard!$C$14="All",B594=Dashboard!$C$14),OR(Dashboard!$C$15="All",C594=Dashboard!$C$15),OR(Dashboard!$C$16="All",K594=Dashboard!$C$16),OR(Dashboard!$C$17="All",J594=Dashboard!$C$17)),1,0)</f>
        <v>0</v>
      </c>
      <c r="R594" s="24">
        <f>IF(AND(L594=1,OR(Dashboard!$C$13="All",A594=Dashboard!$C$13),OR(Dashboard!$C$14="All",B594=Dashboard!$C$14),OR(Dashboard!$C$15="All",C594=Dashboard!$C$15),OR(Dashboard!$C$16="All",K594=Dashboard!$C$16)),1,0)</f>
        <v>0</v>
      </c>
      <c r="S594" s="25" t="str">
        <f t="shared" si="3"/>
        <v/>
      </c>
    </row>
    <row r="595" ht="15.75" customHeight="1">
      <c r="A595" s="27"/>
      <c r="B595" s="27"/>
      <c r="C595" s="27"/>
      <c r="D595" s="27"/>
      <c r="E595" s="28"/>
      <c r="F595" s="28" t="str">
        <f t="shared" si="4"/>
        <v/>
      </c>
      <c r="G595" s="6"/>
      <c r="H595" s="22"/>
      <c r="I595" s="29" t="str">
        <f t="shared" si="5"/>
        <v/>
      </c>
      <c r="J595" s="27"/>
      <c r="K595" s="27"/>
      <c r="L595" s="25" t="str">
        <f>IF(A595="","",IF(OR(G595="",AND(G595&gt;=Dashboard!$C$18,G595&lt;=Dashboard!$C$19)),1,0))</f>
        <v/>
      </c>
      <c r="M595" s="24">
        <f>IF(AND(L595=1,OR(Dashboard!$C$13="All",A595=Dashboard!$C$13),OR(Dashboard!$C$14="All",B595=Dashboard!$C$14),OR(Dashboard!$C$15="All",C595=Dashboard!$C$15),OR(Dashboard!$C$16="All",K595=Dashboard!$C$16),OR(Dashboard!$C$17="All",J595=Dashboard!$C$17)),1,0)</f>
        <v>0</v>
      </c>
      <c r="N595" s="24">
        <f>IF(AND(L595=1,OR(Dashboard!$C$13="All",A595=Dashboard!$C$13),OR(Dashboard!$C$14="All",B595=Dashboard!$C$14),OR(Dashboard!$C$16="All",K595=Dashboard!$C$16),OR(Dashboard!$C$17="All",J595=Dashboard!$C$17)),1,0)</f>
        <v>0</v>
      </c>
      <c r="O595" s="24">
        <f>IF(AND(L595=1,OR(Dashboard!$C$13="All",A595=Dashboard!$C$13),OR(Dashboard!$C$15="All",C595=Dashboard!$C$15),OR(Dashboard!$C$16="All",K595=Dashboard!$C$16),OR(Dashboard!$C$17="All",J595=Dashboard!$C$17)),1,0)</f>
        <v>0</v>
      </c>
      <c r="P595" s="24">
        <f>IF(AND(L595=1,OR(Dashboard!$C$13="All",A595=Dashboard!$C$13),OR(Dashboard!$C$14="All",B595=Dashboard!$C$14),OR(Dashboard!$C$15="All",C595=Dashboard!$C$15),OR(Dashboard!$C$17="All",J595=Dashboard!$C$17)),1,0)</f>
        <v>0</v>
      </c>
      <c r="Q595" s="24">
        <f>IF(AND(L595=1,OR(Dashboard!$C$14="All",B595=Dashboard!$C$14),OR(Dashboard!$C$15="All",C595=Dashboard!$C$15),OR(Dashboard!$C$16="All",K595=Dashboard!$C$16),OR(Dashboard!$C$17="All",J595=Dashboard!$C$17)),1,0)</f>
        <v>0</v>
      </c>
      <c r="R595" s="24">
        <f>IF(AND(L595=1,OR(Dashboard!$C$13="All",A595=Dashboard!$C$13),OR(Dashboard!$C$14="All",B595=Dashboard!$C$14),OR(Dashboard!$C$15="All",C595=Dashboard!$C$15),OR(Dashboard!$C$16="All",K595=Dashboard!$C$16)),1,0)</f>
        <v>0</v>
      </c>
      <c r="S595" s="25" t="str">
        <f t="shared" si="3"/>
        <v/>
      </c>
    </row>
    <row r="596" ht="15.75" customHeight="1">
      <c r="A596" s="27"/>
      <c r="B596" s="27"/>
      <c r="C596" s="27"/>
      <c r="D596" s="27"/>
      <c r="E596" s="28"/>
      <c r="F596" s="28" t="str">
        <f t="shared" si="4"/>
        <v/>
      </c>
      <c r="G596" s="6"/>
      <c r="H596" s="22"/>
      <c r="I596" s="29" t="str">
        <f t="shared" si="5"/>
        <v/>
      </c>
      <c r="J596" s="27"/>
      <c r="K596" s="27"/>
      <c r="L596" s="25" t="str">
        <f>IF(A596="","",IF(OR(G596="",AND(G596&gt;=Dashboard!$C$18,G596&lt;=Dashboard!$C$19)),1,0))</f>
        <v/>
      </c>
      <c r="M596" s="24">
        <f>IF(AND(L596=1,OR(Dashboard!$C$13="All",A596=Dashboard!$C$13),OR(Dashboard!$C$14="All",B596=Dashboard!$C$14),OR(Dashboard!$C$15="All",C596=Dashboard!$C$15),OR(Dashboard!$C$16="All",K596=Dashboard!$C$16),OR(Dashboard!$C$17="All",J596=Dashboard!$C$17)),1,0)</f>
        <v>0</v>
      </c>
      <c r="N596" s="24">
        <f>IF(AND(L596=1,OR(Dashboard!$C$13="All",A596=Dashboard!$C$13),OR(Dashboard!$C$14="All",B596=Dashboard!$C$14),OR(Dashboard!$C$16="All",K596=Dashboard!$C$16),OR(Dashboard!$C$17="All",J596=Dashboard!$C$17)),1,0)</f>
        <v>0</v>
      </c>
      <c r="O596" s="24">
        <f>IF(AND(L596=1,OR(Dashboard!$C$13="All",A596=Dashboard!$C$13),OR(Dashboard!$C$15="All",C596=Dashboard!$C$15),OR(Dashboard!$C$16="All",K596=Dashboard!$C$16),OR(Dashboard!$C$17="All",J596=Dashboard!$C$17)),1,0)</f>
        <v>0</v>
      </c>
      <c r="P596" s="24">
        <f>IF(AND(L596=1,OR(Dashboard!$C$13="All",A596=Dashboard!$C$13),OR(Dashboard!$C$14="All",B596=Dashboard!$C$14),OR(Dashboard!$C$15="All",C596=Dashboard!$C$15),OR(Dashboard!$C$17="All",J596=Dashboard!$C$17)),1,0)</f>
        <v>0</v>
      </c>
      <c r="Q596" s="24">
        <f>IF(AND(L596=1,OR(Dashboard!$C$14="All",B596=Dashboard!$C$14),OR(Dashboard!$C$15="All",C596=Dashboard!$C$15),OR(Dashboard!$C$16="All",K596=Dashboard!$C$16),OR(Dashboard!$C$17="All",J596=Dashboard!$C$17)),1,0)</f>
        <v>0</v>
      </c>
      <c r="R596" s="24">
        <f>IF(AND(L596=1,OR(Dashboard!$C$13="All",A596=Dashboard!$C$13),OR(Dashboard!$C$14="All",B596=Dashboard!$C$14),OR(Dashboard!$C$15="All",C596=Dashboard!$C$15),OR(Dashboard!$C$16="All",K596=Dashboard!$C$16)),1,0)</f>
        <v>0</v>
      </c>
      <c r="S596" s="25" t="str">
        <f t="shared" si="3"/>
        <v/>
      </c>
    </row>
    <row r="597" ht="15.75" customHeight="1">
      <c r="A597" s="27"/>
      <c r="B597" s="27"/>
      <c r="C597" s="27"/>
      <c r="D597" s="27"/>
      <c r="E597" s="28"/>
      <c r="F597" s="28" t="str">
        <f t="shared" si="4"/>
        <v/>
      </c>
      <c r="G597" s="6"/>
      <c r="H597" s="22"/>
      <c r="I597" s="29" t="str">
        <f t="shared" si="5"/>
        <v/>
      </c>
      <c r="J597" s="27"/>
      <c r="K597" s="27"/>
      <c r="L597" s="25" t="str">
        <f>IF(A597="","",IF(OR(G597="",AND(G597&gt;=Dashboard!$C$18,G597&lt;=Dashboard!$C$19)),1,0))</f>
        <v/>
      </c>
      <c r="M597" s="24">
        <f>IF(AND(L597=1,OR(Dashboard!$C$13="All",A597=Dashboard!$C$13),OR(Dashboard!$C$14="All",B597=Dashboard!$C$14),OR(Dashboard!$C$15="All",C597=Dashboard!$C$15),OR(Dashboard!$C$16="All",K597=Dashboard!$C$16),OR(Dashboard!$C$17="All",J597=Dashboard!$C$17)),1,0)</f>
        <v>0</v>
      </c>
      <c r="N597" s="24">
        <f>IF(AND(L597=1,OR(Dashboard!$C$13="All",A597=Dashboard!$C$13),OR(Dashboard!$C$14="All",B597=Dashboard!$C$14),OR(Dashboard!$C$16="All",K597=Dashboard!$C$16),OR(Dashboard!$C$17="All",J597=Dashboard!$C$17)),1,0)</f>
        <v>0</v>
      </c>
      <c r="O597" s="24">
        <f>IF(AND(L597=1,OR(Dashboard!$C$13="All",A597=Dashboard!$C$13),OR(Dashboard!$C$15="All",C597=Dashboard!$C$15),OR(Dashboard!$C$16="All",K597=Dashboard!$C$16),OR(Dashboard!$C$17="All",J597=Dashboard!$C$17)),1,0)</f>
        <v>0</v>
      </c>
      <c r="P597" s="24">
        <f>IF(AND(L597=1,OR(Dashboard!$C$13="All",A597=Dashboard!$C$13),OR(Dashboard!$C$14="All",B597=Dashboard!$C$14),OR(Dashboard!$C$15="All",C597=Dashboard!$C$15),OR(Dashboard!$C$17="All",J597=Dashboard!$C$17)),1,0)</f>
        <v>0</v>
      </c>
      <c r="Q597" s="24">
        <f>IF(AND(L597=1,OR(Dashboard!$C$14="All",B597=Dashboard!$C$14),OR(Dashboard!$C$15="All",C597=Dashboard!$C$15),OR(Dashboard!$C$16="All",K597=Dashboard!$C$16),OR(Dashboard!$C$17="All",J597=Dashboard!$C$17)),1,0)</f>
        <v>0</v>
      </c>
      <c r="R597" s="24">
        <f>IF(AND(L597=1,OR(Dashboard!$C$13="All",A597=Dashboard!$C$13),OR(Dashboard!$C$14="All",B597=Dashboard!$C$14),OR(Dashboard!$C$15="All",C597=Dashboard!$C$15),OR(Dashboard!$C$16="All",K597=Dashboard!$C$16)),1,0)</f>
        <v>0</v>
      </c>
      <c r="S597" s="25" t="str">
        <f t="shared" si="3"/>
        <v/>
      </c>
    </row>
    <row r="598" ht="15.75" customHeight="1">
      <c r="A598" s="27"/>
      <c r="B598" s="27"/>
      <c r="C598" s="27"/>
      <c r="D598" s="27"/>
      <c r="E598" s="28"/>
      <c r="F598" s="28" t="str">
        <f t="shared" si="4"/>
        <v/>
      </c>
      <c r="G598" s="6"/>
      <c r="H598" s="22"/>
      <c r="I598" s="29" t="str">
        <f t="shared" si="5"/>
        <v/>
      </c>
      <c r="J598" s="27"/>
      <c r="K598" s="27"/>
      <c r="L598" s="25" t="str">
        <f>IF(A598="","",IF(OR(G598="",AND(G598&gt;=Dashboard!$C$18,G598&lt;=Dashboard!$C$19)),1,0))</f>
        <v/>
      </c>
      <c r="M598" s="24">
        <f>IF(AND(L598=1,OR(Dashboard!$C$13="All",A598=Dashboard!$C$13),OR(Dashboard!$C$14="All",B598=Dashboard!$C$14),OR(Dashboard!$C$15="All",C598=Dashboard!$C$15),OR(Dashboard!$C$16="All",K598=Dashboard!$C$16),OR(Dashboard!$C$17="All",J598=Dashboard!$C$17)),1,0)</f>
        <v>0</v>
      </c>
      <c r="N598" s="24">
        <f>IF(AND(L598=1,OR(Dashboard!$C$13="All",A598=Dashboard!$C$13),OR(Dashboard!$C$14="All",B598=Dashboard!$C$14),OR(Dashboard!$C$16="All",K598=Dashboard!$C$16),OR(Dashboard!$C$17="All",J598=Dashboard!$C$17)),1,0)</f>
        <v>0</v>
      </c>
      <c r="O598" s="24">
        <f>IF(AND(L598=1,OR(Dashboard!$C$13="All",A598=Dashboard!$C$13),OR(Dashboard!$C$15="All",C598=Dashboard!$C$15),OR(Dashboard!$C$16="All",K598=Dashboard!$C$16),OR(Dashboard!$C$17="All",J598=Dashboard!$C$17)),1,0)</f>
        <v>0</v>
      </c>
      <c r="P598" s="24">
        <f>IF(AND(L598=1,OR(Dashboard!$C$13="All",A598=Dashboard!$C$13),OR(Dashboard!$C$14="All",B598=Dashboard!$C$14),OR(Dashboard!$C$15="All",C598=Dashboard!$C$15),OR(Dashboard!$C$17="All",J598=Dashboard!$C$17)),1,0)</f>
        <v>0</v>
      </c>
      <c r="Q598" s="24">
        <f>IF(AND(L598=1,OR(Dashboard!$C$14="All",B598=Dashboard!$C$14),OR(Dashboard!$C$15="All",C598=Dashboard!$C$15),OR(Dashboard!$C$16="All",K598=Dashboard!$C$16),OR(Dashboard!$C$17="All",J598=Dashboard!$C$17)),1,0)</f>
        <v>0</v>
      </c>
      <c r="R598" s="24">
        <f>IF(AND(L598=1,OR(Dashboard!$C$13="All",A598=Dashboard!$C$13),OR(Dashboard!$C$14="All",B598=Dashboard!$C$14),OR(Dashboard!$C$15="All",C598=Dashboard!$C$15),OR(Dashboard!$C$16="All",K598=Dashboard!$C$16)),1,0)</f>
        <v>0</v>
      </c>
      <c r="S598" s="25" t="str">
        <f t="shared" si="3"/>
        <v/>
      </c>
    </row>
    <row r="599" ht="15.75" customHeight="1">
      <c r="A599" s="27"/>
      <c r="B599" s="27"/>
      <c r="C599" s="27"/>
      <c r="D599" s="27"/>
      <c r="E599" s="28"/>
      <c r="F599" s="28" t="str">
        <f t="shared" si="4"/>
        <v/>
      </c>
      <c r="G599" s="6"/>
      <c r="H599" s="22"/>
      <c r="I599" s="29" t="str">
        <f t="shared" si="5"/>
        <v/>
      </c>
      <c r="J599" s="27"/>
      <c r="K599" s="27"/>
      <c r="L599" s="25" t="str">
        <f>IF(A599="","",IF(OR(G599="",AND(G599&gt;=Dashboard!$C$18,G599&lt;=Dashboard!$C$19)),1,0))</f>
        <v/>
      </c>
      <c r="M599" s="24">
        <f>IF(AND(L599=1,OR(Dashboard!$C$13="All",A599=Dashboard!$C$13),OR(Dashboard!$C$14="All",B599=Dashboard!$C$14),OR(Dashboard!$C$15="All",C599=Dashboard!$C$15),OR(Dashboard!$C$16="All",K599=Dashboard!$C$16),OR(Dashboard!$C$17="All",J599=Dashboard!$C$17)),1,0)</f>
        <v>0</v>
      </c>
      <c r="N599" s="24">
        <f>IF(AND(L599=1,OR(Dashboard!$C$13="All",A599=Dashboard!$C$13),OR(Dashboard!$C$14="All",B599=Dashboard!$C$14),OR(Dashboard!$C$16="All",K599=Dashboard!$C$16),OR(Dashboard!$C$17="All",J599=Dashboard!$C$17)),1,0)</f>
        <v>0</v>
      </c>
      <c r="O599" s="24">
        <f>IF(AND(L599=1,OR(Dashboard!$C$13="All",A599=Dashboard!$C$13),OR(Dashboard!$C$15="All",C599=Dashboard!$C$15),OR(Dashboard!$C$16="All",K599=Dashboard!$C$16),OR(Dashboard!$C$17="All",J599=Dashboard!$C$17)),1,0)</f>
        <v>0</v>
      </c>
      <c r="P599" s="24">
        <f>IF(AND(L599=1,OR(Dashboard!$C$13="All",A599=Dashboard!$C$13),OR(Dashboard!$C$14="All",B599=Dashboard!$C$14),OR(Dashboard!$C$15="All",C599=Dashboard!$C$15),OR(Dashboard!$C$17="All",J599=Dashboard!$C$17)),1,0)</f>
        <v>0</v>
      </c>
      <c r="Q599" s="24">
        <f>IF(AND(L599=1,OR(Dashboard!$C$14="All",B599=Dashboard!$C$14),OR(Dashboard!$C$15="All",C599=Dashboard!$C$15),OR(Dashboard!$C$16="All",K599=Dashboard!$C$16),OR(Dashboard!$C$17="All",J599=Dashboard!$C$17)),1,0)</f>
        <v>0</v>
      </c>
      <c r="R599" s="24">
        <f>IF(AND(L599=1,OR(Dashboard!$C$13="All",A599=Dashboard!$C$13),OR(Dashboard!$C$14="All",B599=Dashboard!$C$14),OR(Dashboard!$C$15="All",C599=Dashboard!$C$15),OR(Dashboard!$C$16="All",K599=Dashboard!$C$16)),1,0)</f>
        <v>0</v>
      </c>
      <c r="S599" s="25" t="str">
        <f t="shared" si="3"/>
        <v/>
      </c>
    </row>
    <row r="600" ht="15.75" customHeight="1">
      <c r="A600" s="27"/>
      <c r="B600" s="27"/>
      <c r="C600" s="27"/>
      <c r="D600" s="27"/>
      <c r="E600" s="28"/>
      <c r="F600" s="28" t="str">
        <f t="shared" si="4"/>
        <v/>
      </c>
      <c r="G600" s="6"/>
      <c r="H600" s="22"/>
      <c r="I600" s="29" t="str">
        <f t="shared" si="5"/>
        <v/>
      </c>
      <c r="J600" s="27"/>
      <c r="K600" s="27"/>
      <c r="L600" s="25" t="str">
        <f>IF(A600="","",IF(OR(G600="",AND(G600&gt;=Dashboard!$C$18,G600&lt;=Dashboard!$C$19)),1,0))</f>
        <v/>
      </c>
      <c r="M600" s="24">
        <f>IF(AND(L600=1,OR(Dashboard!$C$13="All",A600=Dashboard!$C$13),OR(Dashboard!$C$14="All",B600=Dashboard!$C$14),OR(Dashboard!$C$15="All",C600=Dashboard!$C$15),OR(Dashboard!$C$16="All",K600=Dashboard!$C$16),OR(Dashboard!$C$17="All",J600=Dashboard!$C$17)),1,0)</f>
        <v>0</v>
      </c>
      <c r="N600" s="24">
        <f>IF(AND(L600=1,OR(Dashboard!$C$13="All",A600=Dashboard!$C$13),OR(Dashboard!$C$14="All",B600=Dashboard!$C$14),OR(Dashboard!$C$16="All",K600=Dashboard!$C$16),OR(Dashboard!$C$17="All",J600=Dashboard!$C$17)),1,0)</f>
        <v>0</v>
      </c>
      <c r="O600" s="24">
        <f>IF(AND(L600=1,OR(Dashboard!$C$13="All",A600=Dashboard!$C$13),OR(Dashboard!$C$15="All",C600=Dashboard!$C$15),OR(Dashboard!$C$16="All",K600=Dashboard!$C$16),OR(Dashboard!$C$17="All",J600=Dashboard!$C$17)),1,0)</f>
        <v>0</v>
      </c>
      <c r="P600" s="24">
        <f>IF(AND(L600=1,OR(Dashboard!$C$13="All",A600=Dashboard!$C$13),OR(Dashboard!$C$14="All",B600=Dashboard!$C$14),OR(Dashboard!$C$15="All",C600=Dashboard!$C$15),OR(Dashboard!$C$17="All",J600=Dashboard!$C$17)),1,0)</f>
        <v>0</v>
      </c>
      <c r="Q600" s="24">
        <f>IF(AND(L600=1,OR(Dashboard!$C$14="All",B600=Dashboard!$C$14),OR(Dashboard!$C$15="All",C600=Dashboard!$C$15),OR(Dashboard!$C$16="All",K600=Dashboard!$C$16),OR(Dashboard!$C$17="All",J600=Dashboard!$C$17)),1,0)</f>
        <v>0</v>
      </c>
      <c r="R600" s="24">
        <f>IF(AND(L600=1,OR(Dashboard!$C$13="All",A600=Dashboard!$C$13),OR(Dashboard!$C$14="All",B600=Dashboard!$C$14),OR(Dashboard!$C$15="All",C600=Dashboard!$C$15),OR(Dashboard!$C$16="All",K600=Dashboard!$C$16)),1,0)</f>
        <v>0</v>
      </c>
      <c r="S600" s="25" t="str">
        <f t="shared" si="3"/>
        <v/>
      </c>
    </row>
    <row r="601" ht="15.75" customHeight="1">
      <c r="A601" s="27"/>
      <c r="B601" s="27"/>
      <c r="C601" s="27"/>
      <c r="D601" s="27"/>
      <c r="E601" s="28"/>
      <c r="F601" s="28" t="str">
        <f t="shared" si="4"/>
        <v/>
      </c>
      <c r="G601" s="6"/>
      <c r="H601" s="22"/>
      <c r="I601" s="29" t="str">
        <f t="shared" si="5"/>
        <v/>
      </c>
      <c r="J601" s="27"/>
      <c r="K601" s="27"/>
      <c r="L601" s="25" t="str">
        <f>IF(A601="","",IF(OR(G601="",AND(G601&gt;=Dashboard!$C$18,G601&lt;=Dashboard!$C$19)),1,0))</f>
        <v/>
      </c>
      <c r="M601" s="24">
        <f>IF(AND(L601=1,OR(Dashboard!$C$13="All",A601=Dashboard!$C$13),OR(Dashboard!$C$14="All",B601=Dashboard!$C$14),OR(Dashboard!$C$15="All",C601=Dashboard!$C$15),OR(Dashboard!$C$16="All",K601=Dashboard!$C$16),OR(Dashboard!$C$17="All",J601=Dashboard!$C$17)),1,0)</f>
        <v>0</v>
      </c>
      <c r="N601" s="24">
        <f>IF(AND(L601=1,OR(Dashboard!$C$13="All",A601=Dashboard!$C$13),OR(Dashboard!$C$14="All",B601=Dashboard!$C$14),OR(Dashboard!$C$16="All",K601=Dashboard!$C$16),OR(Dashboard!$C$17="All",J601=Dashboard!$C$17)),1,0)</f>
        <v>0</v>
      </c>
      <c r="O601" s="24">
        <f>IF(AND(L601=1,OR(Dashboard!$C$13="All",A601=Dashboard!$C$13),OR(Dashboard!$C$15="All",C601=Dashboard!$C$15),OR(Dashboard!$C$16="All",K601=Dashboard!$C$16),OR(Dashboard!$C$17="All",J601=Dashboard!$C$17)),1,0)</f>
        <v>0</v>
      </c>
      <c r="P601" s="24">
        <f>IF(AND(L601=1,OR(Dashboard!$C$13="All",A601=Dashboard!$C$13),OR(Dashboard!$C$14="All",B601=Dashboard!$C$14),OR(Dashboard!$C$15="All",C601=Dashboard!$C$15),OR(Dashboard!$C$17="All",J601=Dashboard!$C$17)),1,0)</f>
        <v>0</v>
      </c>
      <c r="Q601" s="24">
        <f>IF(AND(L601=1,OR(Dashboard!$C$14="All",B601=Dashboard!$C$14),OR(Dashboard!$C$15="All",C601=Dashboard!$C$15),OR(Dashboard!$C$16="All",K601=Dashboard!$C$16),OR(Dashboard!$C$17="All",J601=Dashboard!$C$17)),1,0)</f>
        <v>0</v>
      </c>
      <c r="R601" s="24">
        <f>IF(AND(L601=1,OR(Dashboard!$C$13="All",A601=Dashboard!$C$13),OR(Dashboard!$C$14="All",B601=Dashboard!$C$14),OR(Dashboard!$C$15="All",C601=Dashboard!$C$15),OR(Dashboard!$C$16="All",K601=Dashboard!$C$16)),1,0)</f>
        <v>0</v>
      </c>
      <c r="S601" s="25" t="str">
        <f t="shared" si="3"/>
        <v/>
      </c>
    </row>
    <row r="602" ht="15.75" customHeight="1">
      <c r="A602" s="27"/>
      <c r="B602" s="27"/>
      <c r="C602" s="27"/>
      <c r="D602" s="27"/>
      <c r="E602" s="28"/>
      <c r="F602" s="28" t="str">
        <f t="shared" si="4"/>
        <v/>
      </c>
      <c r="G602" s="29"/>
      <c r="H602" s="22"/>
      <c r="I602" s="29" t="str">
        <f t="shared" si="5"/>
        <v/>
      </c>
      <c r="J602" s="27"/>
      <c r="K602" s="27"/>
      <c r="L602" s="25" t="str">
        <f>IF(A602="","",IF(OR(G602="",AND(G602&gt;=Dashboard!$C$18,G602&lt;=Dashboard!$C$19)),1,0))</f>
        <v/>
      </c>
      <c r="M602" s="24">
        <f>IF(AND(L602=1,OR(Dashboard!$C$13="All",A602=Dashboard!$C$13),OR(Dashboard!$C$14="All",B602=Dashboard!$C$14),OR(Dashboard!$C$15="All",C602=Dashboard!$C$15),OR(Dashboard!$C$16="All",K602=Dashboard!$C$16),OR(Dashboard!$C$17="All",J602=Dashboard!$C$17)),1,0)</f>
        <v>0</v>
      </c>
      <c r="N602" s="24">
        <f>IF(AND(L602=1,OR(Dashboard!$C$13="All",A602=Dashboard!$C$13),OR(Dashboard!$C$14="All",B602=Dashboard!$C$14),OR(Dashboard!$C$16="All",K602=Dashboard!$C$16),OR(Dashboard!$C$17="All",J602=Dashboard!$C$17)),1,0)</f>
        <v>0</v>
      </c>
      <c r="O602" s="24">
        <f>IF(AND(L602=1,OR(Dashboard!$C$13="All",A602=Dashboard!$C$13),OR(Dashboard!$C$15="All",C602=Dashboard!$C$15),OR(Dashboard!$C$16="All",K602=Dashboard!$C$16),OR(Dashboard!$C$17="All",J602=Dashboard!$C$17)),1,0)</f>
        <v>0</v>
      </c>
      <c r="P602" s="24">
        <f>IF(AND(L602=1,OR(Dashboard!$C$13="All",A602=Dashboard!$C$13),OR(Dashboard!$C$14="All",B602=Dashboard!$C$14),OR(Dashboard!$C$15="All",C602=Dashboard!$C$15),OR(Dashboard!$C$17="All",J602=Dashboard!$C$17)),1,0)</f>
        <v>0</v>
      </c>
      <c r="Q602" s="24">
        <f>IF(AND(L602=1,OR(Dashboard!$C$14="All",B602=Dashboard!$C$14),OR(Dashboard!$C$15="All",C602=Dashboard!$C$15),OR(Dashboard!$C$16="All",K602=Dashboard!$C$16),OR(Dashboard!$C$17="All",J602=Dashboard!$C$17)),1,0)</f>
        <v>0</v>
      </c>
      <c r="R602" s="24">
        <f>IF(AND(L602=1,OR(Dashboard!$C$13="All",A602=Dashboard!$C$13),OR(Dashboard!$C$14="All",B602=Dashboard!$C$14),OR(Dashboard!$C$15="All",C602=Dashboard!$C$15),OR(Dashboard!$C$16="All",K602=Dashboard!$C$16)),1,0)</f>
        <v>0</v>
      </c>
      <c r="S602" s="25" t="str">
        <f t="shared" si="3"/>
        <v/>
      </c>
    </row>
    <row r="603" ht="15.75" customHeight="1">
      <c r="A603" s="27"/>
      <c r="B603" s="27"/>
      <c r="C603" s="27"/>
      <c r="D603" s="27"/>
      <c r="E603" s="28"/>
      <c r="F603" s="28" t="str">
        <f t="shared" si="4"/>
        <v/>
      </c>
      <c r="G603" s="29"/>
      <c r="H603" s="27"/>
      <c r="I603" s="29" t="str">
        <f t="shared" si="5"/>
        <v/>
      </c>
      <c r="J603" s="27"/>
      <c r="K603" s="27"/>
      <c r="L603" s="25" t="str">
        <f>IF(A603="","",IF(OR(G603="",AND(G603&gt;=Dashboard!$C$18,G603&lt;=Dashboard!$C$19)),1,0))</f>
        <v/>
      </c>
      <c r="M603" s="24">
        <f>IF(AND(L603=1,OR(Dashboard!$C$13="All",A603=Dashboard!$C$13),OR(Dashboard!$C$14="All",B603=Dashboard!$C$14),OR(Dashboard!$C$15="All",C603=Dashboard!$C$15),OR(Dashboard!$C$16="All",K603=Dashboard!$C$16),OR(Dashboard!$C$17="All",J603=Dashboard!$C$17)),1,0)</f>
        <v>0</v>
      </c>
      <c r="N603" s="24">
        <f>IF(AND(L603=1,OR(Dashboard!$C$13="All",A603=Dashboard!$C$13),OR(Dashboard!$C$14="All",B603=Dashboard!$C$14),OR(Dashboard!$C$16="All",K603=Dashboard!$C$16),OR(Dashboard!$C$17="All",J603=Dashboard!$C$17)),1,0)</f>
        <v>0</v>
      </c>
      <c r="O603" s="24">
        <f>IF(AND(L603=1,OR(Dashboard!$C$13="All",A603=Dashboard!$C$13),OR(Dashboard!$C$15="All",C603=Dashboard!$C$15),OR(Dashboard!$C$16="All",K603=Dashboard!$C$16),OR(Dashboard!$C$17="All",J603=Dashboard!$C$17)),1,0)</f>
        <v>0</v>
      </c>
      <c r="P603" s="24">
        <f>IF(AND(L603=1,OR(Dashboard!$C$13="All",A603=Dashboard!$C$13),OR(Dashboard!$C$14="All",B603=Dashboard!$C$14),OR(Dashboard!$C$15="All",C603=Dashboard!$C$15),OR(Dashboard!$C$17="All",J603=Dashboard!$C$17)),1,0)</f>
        <v>0</v>
      </c>
      <c r="Q603" s="24">
        <f>IF(AND(L603=1,OR(Dashboard!$C$14="All",B603=Dashboard!$C$14),OR(Dashboard!$C$15="All",C603=Dashboard!$C$15),OR(Dashboard!$C$16="All",K603=Dashboard!$C$16),OR(Dashboard!$C$17="All",J603=Dashboard!$C$17)),1,0)</f>
        <v>0</v>
      </c>
      <c r="R603" s="24">
        <f>IF(AND(L603=1,OR(Dashboard!$C$13="All",A603=Dashboard!$C$13),OR(Dashboard!$C$14="All",B603=Dashboard!$C$14),OR(Dashboard!$C$15="All",C603=Dashboard!$C$15),OR(Dashboard!$C$16="All",K603=Dashboard!$C$16)),1,0)</f>
        <v>0</v>
      </c>
      <c r="S603" s="25" t="str">
        <f t="shared" si="3"/>
        <v/>
      </c>
    </row>
    <row r="604" ht="15.75" customHeight="1">
      <c r="A604" s="27"/>
      <c r="B604" s="27"/>
      <c r="C604" s="27"/>
      <c r="D604" s="27"/>
      <c r="E604" s="28"/>
      <c r="F604" s="28" t="str">
        <f t="shared" si="4"/>
        <v/>
      </c>
      <c r="G604" s="29"/>
      <c r="H604" s="27"/>
      <c r="I604" s="29" t="str">
        <f t="shared" si="5"/>
        <v/>
      </c>
      <c r="J604" s="27"/>
      <c r="K604" s="27"/>
      <c r="L604" s="25" t="str">
        <f>IF(A604="","",IF(OR(G604="",AND(G604&gt;=Dashboard!$C$18,G604&lt;=Dashboard!$C$19)),1,0))</f>
        <v/>
      </c>
      <c r="M604" s="24">
        <f>IF(AND(L604=1,OR(Dashboard!$C$13="All",A604=Dashboard!$C$13),OR(Dashboard!$C$14="All",B604=Dashboard!$C$14),OR(Dashboard!$C$15="All",C604=Dashboard!$C$15),OR(Dashboard!$C$16="All",K604=Dashboard!$C$16),OR(Dashboard!$C$17="All",J604=Dashboard!$C$17)),1,0)</f>
        <v>0</v>
      </c>
      <c r="N604" s="24">
        <f>IF(AND(L604=1,OR(Dashboard!$C$13="All",A604=Dashboard!$C$13),OR(Dashboard!$C$14="All",B604=Dashboard!$C$14),OR(Dashboard!$C$16="All",K604=Dashboard!$C$16),OR(Dashboard!$C$17="All",J604=Dashboard!$C$17)),1,0)</f>
        <v>0</v>
      </c>
      <c r="O604" s="24">
        <f>IF(AND(L604=1,OR(Dashboard!$C$13="All",A604=Dashboard!$C$13),OR(Dashboard!$C$15="All",C604=Dashboard!$C$15),OR(Dashboard!$C$16="All",K604=Dashboard!$C$16),OR(Dashboard!$C$17="All",J604=Dashboard!$C$17)),1,0)</f>
        <v>0</v>
      </c>
      <c r="P604" s="24">
        <f>IF(AND(L604=1,OR(Dashboard!$C$13="All",A604=Dashboard!$C$13),OR(Dashboard!$C$14="All",B604=Dashboard!$C$14),OR(Dashboard!$C$15="All",C604=Dashboard!$C$15),OR(Dashboard!$C$17="All",J604=Dashboard!$C$17)),1,0)</f>
        <v>0</v>
      </c>
      <c r="Q604" s="24">
        <f>IF(AND(L604=1,OR(Dashboard!$C$14="All",B604=Dashboard!$C$14),OR(Dashboard!$C$15="All",C604=Dashboard!$C$15),OR(Dashboard!$C$16="All",K604=Dashboard!$C$16),OR(Dashboard!$C$17="All",J604=Dashboard!$C$17)),1,0)</f>
        <v>0</v>
      </c>
      <c r="R604" s="24">
        <f>IF(AND(L604=1,OR(Dashboard!$C$13="All",A604=Dashboard!$C$13),OR(Dashboard!$C$14="All",B604=Dashboard!$C$14),OR(Dashboard!$C$15="All",C604=Dashboard!$C$15),OR(Dashboard!$C$16="All",K604=Dashboard!$C$16)),1,0)</f>
        <v>0</v>
      </c>
      <c r="S604" s="25" t="str">
        <f t="shared" si="3"/>
        <v/>
      </c>
    </row>
    <row r="605" ht="15.75" customHeight="1">
      <c r="A605" s="27"/>
      <c r="B605" s="27"/>
      <c r="C605" s="27"/>
      <c r="D605" s="27"/>
      <c r="E605" s="28"/>
      <c r="F605" s="28" t="str">
        <f t="shared" si="4"/>
        <v/>
      </c>
      <c r="G605" s="29"/>
      <c r="H605" s="27"/>
      <c r="I605" s="29" t="str">
        <f t="shared" si="5"/>
        <v/>
      </c>
      <c r="J605" s="27"/>
      <c r="K605" s="27"/>
      <c r="L605" s="25" t="str">
        <f>IF(A605="","",IF(OR(G605="",AND(G605&gt;=Dashboard!$C$18,G605&lt;=Dashboard!$C$19)),1,0))</f>
        <v/>
      </c>
      <c r="M605" s="24">
        <f>IF(AND(L605=1,OR(Dashboard!$C$13="All",A605=Dashboard!$C$13),OR(Dashboard!$C$14="All",B605=Dashboard!$C$14),OR(Dashboard!$C$15="All",C605=Dashboard!$C$15),OR(Dashboard!$C$16="All",K605=Dashboard!$C$16),OR(Dashboard!$C$17="All",J605=Dashboard!$C$17)),1,0)</f>
        <v>0</v>
      </c>
      <c r="N605" s="24">
        <f>IF(AND(L605=1,OR(Dashboard!$C$13="All",A605=Dashboard!$C$13),OR(Dashboard!$C$14="All",B605=Dashboard!$C$14),OR(Dashboard!$C$16="All",K605=Dashboard!$C$16),OR(Dashboard!$C$17="All",J605=Dashboard!$C$17)),1,0)</f>
        <v>0</v>
      </c>
      <c r="O605" s="24">
        <f>IF(AND(L605=1,OR(Dashboard!$C$13="All",A605=Dashboard!$C$13),OR(Dashboard!$C$15="All",C605=Dashboard!$C$15),OR(Dashboard!$C$16="All",K605=Dashboard!$C$16),OR(Dashboard!$C$17="All",J605=Dashboard!$C$17)),1,0)</f>
        <v>0</v>
      </c>
      <c r="P605" s="24">
        <f>IF(AND(L605=1,OR(Dashboard!$C$13="All",A605=Dashboard!$C$13),OR(Dashboard!$C$14="All",B605=Dashboard!$C$14),OR(Dashboard!$C$15="All",C605=Dashboard!$C$15),OR(Dashboard!$C$17="All",J605=Dashboard!$C$17)),1,0)</f>
        <v>0</v>
      </c>
      <c r="Q605" s="24">
        <f>IF(AND(L605=1,OR(Dashboard!$C$14="All",B605=Dashboard!$C$14),OR(Dashboard!$C$15="All",C605=Dashboard!$C$15),OR(Dashboard!$C$16="All",K605=Dashboard!$C$16),OR(Dashboard!$C$17="All",J605=Dashboard!$C$17)),1,0)</f>
        <v>0</v>
      </c>
      <c r="R605" s="24">
        <f>IF(AND(L605=1,OR(Dashboard!$C$13="All",A605=Dashboard!$C$13),OR(Dashboard!$C$14="All",B605=Dashboard!$C$14),OR(Dashboard!$C$15="All",C605=Dashboard!$C$15),OR(Dashboard!$C$16="All",K605=Dashboard!$C$16)),1,0)</f>
        <v>0</v>
      </c>
      <c r="S605" s="25" t="str">
        <f t="shared" si="3"/>
        <v/>
      </c>
    </row>
    <row r="606" ht="15.75" customHeight="1">
      <c r="A606" s="27"/>
      <c r="B606" s="27"/>
      <c r="C606" s="27"/>
      <c r="D606" s="27"/>
      <c r="E606" s="28"/>
      <c r="F606" s="28" t="str">
        <f t="shared" si="4"/>
        <v/>
      </c>
      <c r="G606" s="29"/>
      <c r="H606" s="27"/>
      <c r="I606" s="29" t="str">
        <f t="shared" si="5"/>
        <v/>
      </c>
      <c r="J606" s="27"/>
      <c r="K606" s="27"/>
      <c r="L606" s="25" t="str">
        <f>IF(A606="","",IF(OR(G606="",AND(G606&gt;=Dashboard!$C$18,G606&lt;=Dashboard!$C$19)),1,0))</f>
        <v/>
      </c>
      <c r="M606" s="24">
        <f>IF(AND(L606=1,OR(Dashboard!$C$13="All",A606=Dashboard!$C$13),OR(Dashboard!$C$14="All",B606=Dashboard!$C$14),OR(Dashboard!$C$15="All",C606=Dashboard!$C$15),OR(Dashboard!$C$16="All",K606=Dashboard!$C$16),OR(Dashboard!$C$17="All",J606=Dashboard!$C$17)),1,0)</f>
        <v>0</v>
      </c>
      <c r="N606" s="24">
        <f>IF(AND(L606=1,OR(Dashboard!$C$13="All",A606=Dashboard!$C$13),OR(Dashboard!$C$14="All",B606=Dashboard!$C$14),OR(Dashboard!$C$16="All",K606=Dashboard!$C$16),OR(Dashboard!$C$17="All",J606=Dashboard!$C$17)),1,0)</f>
        <v>0</v>
      </c>
      <c r="O606" s="24">
        <f>IF(AND(L606=1,OR(Dashboard!$C$13="All",A606=Dashboard!$C$13),OR(Dashboard!$C$15="All",C606=Dashboard!$C$15),OR(Dashboard!$C$16="All",K606=Dashboard!$C$16),OR(Dashboard!$C$17="All",J606=Dashboard!$C$17)),1,0)</f>
        <v>0</v>
      </c>
      <c r="P606" s="24">
        <f>IF(AND(L606=1,OR(Dashboard!$C$13="All",A606=Dashboard!$C$13),OR(Dashboard!$C$14="All",B606=Dashboard!$C$14),OR(Dashboard!$C$15="All",C606=Dashboard!$C$15),OR(Dashboard!$C$17="All",J606=Dashboard!$C$17)),1,0)</f>
        <v>0</v>
      </c>
      <c r="Q606" s="24">
        <f>IF(AND(L606=1,OR(Dashboard!$C$14="All",B606=Dashboard!$C$14),OR(Dashboard!$C$15="All",C606=Dashboard!$C$15),OR(Dashboard!$C$16="All",K606=Dashboard!$C$16),OR(Dashboard!$C$17="All",J606=Dashboard!$C$17)),1,0)</f>
        <v>0</v>
      </c>
      <c r="R606" s="24">
        <f>IF(AND(L606=1,OR(Dashboard!$C$13="All",A606=Dashboard!$C$13),OR(Dashboard!$C$14="All",B606=Dashboard!$C$14),OR(Dashboard!$C$15="All",C606=Dashboard!$C$15),OR(Dashboard!$C$16="All",K606=Dashboard!$C$16)),1,0)</f>
        <v>0</v>
      </c>
      <c r="S606" s="25" t="str">
        <f t="shared" si="3"/>
        <v/>
      </c>
    </row>
    <row r="607" ht="15.75" customHeight="1">
      <c r="A607" s="27"/>
      <c r="B607" s="27"/>
      <c r="C607" s="27"/>
      <c r="D607" s="27"/>
      <c r="E607" s="28"/>
      <c r="F607" s="28" t="str">
        <f t="shared" si="4"/>
        <v/>
      </c>
      <c r="G607" s="29"/>
      <c r="H607" s="27"/>
      <c r="I607" s="29" t="str">
        <f t="shared" si="5"/>
        <v/>
      </c>
      <c r="J607" s="27"/>
      <c r="K607" s="27"/>
      <c r="L607" s="25" t="str">
        <f>IF(A607="","",IF(OR(G607="",AND(G607&gt;=Dashboard!$C$18,G607&lt;=Dashboard!$C$19)),1,0))</f>
        <v/>
      </c>
      <c r="M607" s="24">
        <f>IF(AND(L607=1,OR(Dashboard!$C$13="All",A607=Dashboard!$C$13),OR(Dashboard!$C$14="All",B607=Dashboard!$C$14),OR(Dashboard!$C$15="All",C607=Dashboard!$C$15),OR(Dashboard!$C$16="All",K607=Dashboard!$C$16),OR(Dashboard!$C$17="All",J607=Dashboard!$C$17)),1,0)</f>
        <v>0</v>
      </c>
      <c r="N607" s="24">
        <f>IF(AND(L607=1,OR(Dashboard!$C$13="All",A607=Dashboard!$C$13),OR(Dashboard!$C$14="All",B607=Dashboard!$C$14),OR(Dashboard!$C$16="All",K607=Dashboard!$C$16),OR(Dashboard!$C$17="All",J607=Dashboard!$C$17)),1,0)</f>
        <v>0</v>
      </c>
      <c r="O607" s="24">
        <f>IF(AND(L607=1,OR(Dashboard!$C$13="All",A607=Dashboard!$C$13),OR(Dashboard!$C$15="All",C607=Dashboard!$C$15),OR(Dashboard!$C$16="All",K607=Dashboard!$C$16),OR(Dashboard!$C$17="All",J607=Dashboard!$C$17)),1,0)</f>
        <v>0</v>
      </c>
      <c r="P607" s="24">
        <f>IF(AND(L607=1,OR(Dashboard!$C$13="All",A607=Dashboard!$C$13),OR(Dashboard!$C$14="All",B607=Dashboard!$C$14),OR(Dashboard!$C$15="All",C607=Dashboard!$C$15),OR(Dashboard!$C$17="All",J607=Dashboard!$C$17)),1,0)</f>
        <v>0</v>
      </c>
      <c r="Q607" s="24">
        <f>IF(AND(L607=1,OR(Dashboard!$C$14="All",B607=Dashboard!$C$14),OR(Dashboard!$C$15="All",C607=Dashboard!$C$15),OR(Dashboard!$C$16="All",K607=Dashboard!$C$16),OR(Dashboard!$C$17="All",J607=Dashboard!$C$17)),1,0)</f>
        <v>0</v>
      </c>
      <c r="R607" s="24">
        <f>IF(AND(L607=1,OR(Dashboard!$C$13="All",A607=Dashboard!$C$13),OR(Dashboard!$C$14="All",B607=Dashboard!$C$14),OR(Dashboard!$C$15="All",C607=Dashboard!$C$15),OR(Dashboard!$C$16="All",K607=Dashboard!$C$16)),1,0)</f>
        <v>0</v>
      </c>
      <c r="S607" s="25" t="str">
        <f t="shared" si="3"/>
        <v/>
      </c>
    </row>
    <row r="608" ht="15.75" customHeight="1">
      <c r="A608" s="27"/>
      <c r="B608" s="27"/>
      <c r="C608" s="27"/>
      <c r="D608" s="27"/>
      <c r="E608" s="28"/>
      <c r="F608" s="28" t="str">
        <f t="shared" si="4"/>
        <v/>
      </c>
      <c r="G608" s="29"/>
      <c r="H608" s="27"/>
      <c r="I608" s="29" t="str">
        <f t="shared" si="5"/>
        <v/>
      </c>
      <c r="J608" s="27"/>
      <c r="K608" s="27"/>
      <c r="L608" s="25" t="str">
        <f>IF(A608="","",IF(OR(G608="",AND(G608&gt;=Dashboard!$C$18,G608&lt;=Dashboard!$C$19)),1,0))</f>
        <v/>
      </c>
      <c r="M608" s="24">
        <f>IF(AND(L608=1,OR(Dashboard!$C$13="All",A608=Dashboard!$C$13),OR(Dashboard!$C$14="All",B608=Dashboard!$C$14),OR(Dashboard!$C$15="All",C608=Dashboard!$C$15),OR(Dashboard!$C$16="All",K608=Dashboard!$C$16),OR(Dashboard!$C$17="All",J608=Dashboard!$C$17)),1,0)</f>
        <v>0</v>
      </c>
      <c r="N608" s="24">
        <f>IF(AND(L608=1,OR(Dashboard!$C$13="All",A608=Dashboard!$C$13),OR(Dashboard!$C$14="All",B608=Dashboard!$C$14),OR(Dashboard!$C$16="All",K608=Dashboard!$C$16),OR(Dashboard!$C$17="All",J608=Dashboard!$C$17)),1,0)</f>
        <v>0</v>
      </c>
      <c r="O608" s="24">
        <f>IF(AND(L608=1,OR(Dashboard!$C$13="All",A608=Dashboard!$C$13),OR(Dashboard!$C$15="All",C608=Dashboard!$C$15),OR(Dashboard!$C$16="All",K608=Dashboard!$C$16),OR(Dashboard!$C$17="All",J608=Dashboard!$C$17)),1,0)</f>
        <v>0</v>
      </c>
      <c r="P608" s="24">
        <f>IF(AND(L608=1,OR(Dashboard!$C$13="All",A608=Dashboard!$C$13),OR(Dashboard!$C$14="All",B608=Dashboard!$C$14),OR(Dashboard!$C$15="All",C608=Dashboard!$C$15),OR(Dashboard!$C$17="All",J608=Dashboard!$C$17)),1,0)</f>
        <v>0</v>
      </c>
      <c r="Q608" s="24">
        <f>IF(AND(L608=1,OR(Dashboard!$C$14="All",B608=Dashboard!$C$14),OR(Dashboard!$C$15="All",C608=Dashboard!$C$15),OR(Dashboard!$C$16="All",K608=Dashboard!$C$16),OR(Dashboard!$C$17="All",J608=Dashboard!$C$17)),1,0)</f>
        <v>0</v>
      </c>
      <c r="R608" s="24">
        <f>IF(AND(L608=1,OR(Dashboard!$C$13="All",A608=Dashboard!$C$13),OR(Dashboard!$C$14="All",B608=Dashboard!$C$14),OR(Dashboard!$C$15="All",C608=Dashboard!$C$15),OR(Dashboard!$C$16="All",K608=Dashboard!$C$16)),1,0)</f>
        <v>0</v>
      </c>
      <c r="S608" s="25" t="str">
        <f t="shared" si="3"/>
        <v/>
      </c>
    </row>
    <row r="609" ht="15.75" customHeight="1">
      <c r="A609" s="27"/>
      <c r="B609" s="27"/>
      <c r="C609" s="27"/>
      <c r="D609" s="27"/>
      <c r="E609" s="28"/>
      <c r="F609" s="28" t="str">
        <f t="shared" si="4"/>
        <v/>
      </c>
      <c r="G609" s="29"/>
      <c r="H609" s="27"/>
      <c r="I609" s="29" t="str">
        <f t="shared" si="5"/>
        <v/>
      </c>
      <c r="J609" s="27"/>
      <c r="K609" s="27"/>
      <c r="L609" s="25" t="str">
        <f>IF(A609="","",IF(OR(G609="",AND(G609&gt;=Dashboard!$C$18,G609&lt;=Dashboard!$C$19)),1,0))</f>
        <v/>
      </c>
      <c r="M609" s="24">
        <f>IF(AND(L609=1,OR(Dashboard!$C$13="All",A609=Dashboard!$C$13),OR(Dashboard!$C$14="All",B609=Dashboard!$C$14),OR(Dashboard!$C$15="All",C609=Dashboard!$C$15),OR(Dashboard!$C$16="All",K609=Dashboard!$C$16),OR(Dashboard!$C$17="All",J609=Dashboard!$C$17)),1,0)</f>
        <v>0</v>
      </c>
      <c r="N609" s="24">
        <f>IF(AND(L609=1,OR(Dashboard!$C$13="All",A609=Dashboard!$C$13),OR(Dashboard!$C$14="All",B609=Dashboard!$C$14),OR(Dashboard!$C$16="All",K609=Dashboard!$C$16),OR(Dashboard!$C$17="All",J609=Dashboard!$C$17)),1,0)</f>
        <v>0</v>
      </c>
      <c r="O609" s="24">
        <f>IF(AND(L609=1,OR(Dashboard!$C$13="All",A609=Dashboard!$C$13),OR(Dashboard!$C$15="All",C609=Dashboard!$C$15),OR(Dashboard!$C$16="All",K609=Dashboard!$C$16),OR(Dashboard!$C$17="All",J609=Dashboard!$C$17)),1,0)</f>
        <v>0</v>
      </c>
      <c r="P609" s="24">
        <f>IF(AND(L609=1,OR(Dashboard!$C$13="All",A609=Dashboard!$C$13),OR(Dashboard!$C$14="All",B609=Dashboard!$C$14),OR(Dashboard!$C$15="All",C609=Dashboard!$C$15),OR(Dashboard!$C$17="All",J609=Dashboard!$C$17)),1,0)</f>
        <v>0</v>
      </c>
      <c r="Q609" s="24">
        <f>IF(AND(L609=1,OR(Dashboard!$C$14="All",B609=Dashboard!$C$14),OR(Dashboard!$C$15="All",C609=Dashboard!$C$15),OR(Dashboard!$C$16="All",K609=Dashboard!$C$16),OR(Dashboard!$C$17="All",J609=Dashboard!$C$17)),1,0)</f>
        <v>0</v>
      </c>
      <c r="R609" s="24">
        <f>IF(AND(L609=1,OR(Dashboard!$C$13="All",A609=Dashboard!$C$13),OR(Dashboard!$C$14="All",B609=Dashboard!$C$14),OR(Dashboard!$C$15="All",C609=Dashboard!$C$15),OR(Dashboard!$C$16="All",K609=Dashboard!$C$16)),1,0)</f>
        <v>0</v>
      </c>
      <c r="S609" s="25" t="str">
        <f t="shared" si="3"/>
        <v/>
      </c>
    </row>
    <row r="610" ht="15.75" customHeight="1">
      <c r="A610" s="27"/>
      <c r="B610" s="27"/>
      <c r="C610" s="27"/>
      <c r="D610" s="27"/>
      <c r="E610" s="28"/>
      <c r="F610" s="28" t="str">
        <f t="shared" si="4"/>
        <v/>
      </c>
      <c r="G610" s="29"/>
      <c r="H610" s="27"/>
      <c r="I610" s="29" t="str">
        <f t="shared" si="5"/>
        <v/>
      </c>
      <c r="J610" s="27"/>
      <c r="K610" s="27"/>
      <c r="L610" s="25" t="str">
        <f>IF(A610="","",IF(OR(G610="",AND(G610&gt;=Dashboard!$C$18,G610&lt;=Dashboard!$C$19)),1,0))</f>
        <v/>
      </c>
      <c r="M610" s="24">
        <f>IF(AND(L610=1,OR(Dashboard!$C$13="All",A610=Dashboard!$C$13),OR(Dashboard!$C$14="All",B610=Dashboard!$C$14),OR(Dashboard!$C$15="All",C610=Dashboard!$C$15),OR(Dashboard!$C$16="All",K610=Dashboard!$C$16),OR(Dashboard!$C$17="All",J610=Dashboard!$C$17)),1,0)</f>
        <v>0</v>
      </c>
      <c r="N610" s="24">
        <f>IF(AND(L610=1,OR(Dashboard!$C$13="All",A610=Dashboard!$C$13),OR(Dashboard!$C$14="All",B610=Dashboard!$C$14),OR(Dashboard!$C$16="All",K610=Dashboard!$C$16),OR(Dashboard!$C$17="All",J610=Dashboard!$C$17)),1,0)</f>
        <v>0</v>
      </c>
      <c r="O610" s="24">
        <f>IF(AND(L610=1,OR(Dashboard!$C$13="All",A610=Dashboard!$C$13),OR(Dashboard!$C$15="All",C610=Dashboard!$C$15),OR(Dashboard!$C$16="All",K610=Dashboard!$C$16),OR(Dashboard!$C$17="All",J610=Dashboard!$C$17)),1,0)</f>
        <v>0</v>
      </c>
      <c r="P610" s="24">
        <f>IF(AND(L610=1,OR(Dashboard!$C$13="All",A610=Dashboard!$C$13),OR(Dashboard!$C$14="All",B610=Dashboard!$C$14),OR(Dashboard!$C$15="All",C610=Dashboard!$C$15),OR(Dashboard!$C$17="All",J610=Dashboard!$C$17)),1,0)</f>
        <v>0</v>
      </c>
      <c r="Q610" s="24">
        <f>IF(AND(L610=1,OR(Dashboard!$C$14="All",B610=Dashboard!$C$14),OR(Dashboard!$C$15="All",C610=Dashboard!$C$15),OR(Dashboard!$C$16="All",K610=Dashboard!$C$16),OR(Dashboard!$C$17="All",J610=Dashboard!$C$17)),1,0)</f>
        <v>0</v>
      </c>
      <c r="R610" s="24">
        <f>IF(AND(L610=1,OR(Dashboard!$C$13="All",A610=Dashboard!$C$13),OR(Dashboard!$C$14="All",B610=Dashboard!$C$14),OR(Dashboard!$C$15="All",C610=Dashboard!$C$15),OR(Dashboard!$C$16="All",K610=Dashboard!$C$16)),1,0)</f>
        <v>0</v>
      </c>
      <c r="S610" s="25" t="str">
        <f t="shared" si="3"/>
        <v/>
      </c>
    </row>
    <row r="611" ht="15.75" customHeight="1">
      <c r="A611" s="27"/>
      <c r="B611" s="27"/>
      <c r="C611" s="27"/>
      <c r="D611" s="27"/>
      <c r="E611" s="28"/>
      <c r="F611" s="28" t="str">
        <f t="shared" si="4"/>
        <v/>
      </c>
      <c r="G611" s="29"/>
      <c r="H611" s="27"/>
      <c r="I611" s="29" t="str">
        <f t="shared" si="5"/>
        <v/>
      </c>
      <c r="J611" s="27"/>
      <c r="K611" s="27"/>
      <c r="L611" s="25" t="str">
        <f>IF(A611="","",IF(OR(G611="",AND(G611&gt;=Dashboard!$C$18,G611&lt;=Dashboard!$C$19)),1,0))</f>
        <v/>
      </c>
      <c r="M611" s="24">
        <f>IF(AND(L611=1,OR(Dashboard!$C$13="All",A611=Dashboard!$C$13),OR(Dashboard!$C$14="All",B611=Dashboard!$C$14),OR(Dashboard!$C$15="All",C611=Dashboard!$C$15),OR(Dashboard!$C$16="All",K611=Dashboard!$C$16),OR(Dashboard!$C$17="All",J611=Dashboard!$C$17)),1,0)</f>
        <v>0</v>
      </c>
      <c r="N611" s="24">
        <f>IF(AND(L611=1,OR(Dashboard!$C$13="All",A611=Dashboard!$C$13),OR(Dashboard!$C$14="All",B611=Dashboard!$C$14),OR(Dashboard!$C$16="All",K611=Dashboard!$C$16),OR(Dashboard!$C$17="All",J611=Dashboard!$C$17)),1,0)</f>
        <v>0</v>
      </c>
      <c r="O611" s="24">
        <f>IF(AND(L611=1,OR(Dashboard!$C$13="All",A611=Dashboard!$C$13),OR(Dashboard!$C$15="All",C611=Dashboard!$C$15),OR(Dashboard!$C$16="All",K611=Dashboard!$C$16),OR(Dashboard!$C$17="All",J611=Dashboard!$C$17)),1,0)</f>
        <v>0</v>
      </c>
      <c r="P611" s="24">
        <f>IF(AND(L611=1,OR(Dashboard!$C$13="All",A611=Dashboard!$C$13),OR(Dashboard!$C$14="All",B611=Dashboard!$C$14),OR(Dashboard!$C$15="All",C611=Dashboard!$C$15),OR(Dashboard!$C$17="All",J611=Dashboard!$C$17)),1,0)</f>
        <v>0</v>
      </c>
      <c r="Q611" s="24">
        <f>IF(AND(L611=1,OR(Dashboard!$C$14="All",B611=Dashboard!$C$14),OR(Dashboard!$C$15="All",C611=Dashboard!$C$15),OR(Dashboard!$C$16="All",K611=Dashboard!$C$16),OR(Dashboard!$C$17="All",J611=Dashboard!$C$17)),1,0)</f>
        <v>0</v>
      </c>
      <c r="R611" s="24">
        <f>IF(AND(L611=1,OR(Dashboard!$C$13="All",A611=Dashboard!$C$13),OR(Dashboard!$C$14="All",B611=Dashboard!$C$14),OR(Dashboard!$C$15="All",C611=Dashboard!$C$15),OR(Dashboard!$C$16="All",K611=Dashboard!$C$16)),1,0)</f>
        <v>0</v>
      </c>
      <c r="S611" s="25" t="str">
        <f t="shared" si="3"/>
        <v/>
      </c>
    </row>
    <row r="612" ht="15.75" customHeight="1">
      <c r="A612" s="27"/>
      <c r="B612" s="27"/>
      <c r="C612" s="27"/>
      <c r="D612" s="27"/>
      <c r="E612" s="28"/>
      <c r="F612" s="28" t="str">
        <f t="shared" si="4"/>
        <v/>
      </c>
      <c r="G612" s="29"/>
      <c r="H612" s="27"/>
      <c r="I612" s="29" t="str">
        <f t="shared" si="5"/>
        <v/>
      </c>
      <c r="J612" s="27"/>
      <c r="K612" s="27"/>
      <c r="L612" s="25" t="str">
        <f>IF(A612="","",IF(OR(G612="",AND(G612&gt;=Dashboard!$C$18,G612&lt;=Dashboard!$C$19)),1,0))</f>
        <v/>
      </c>
      <c r="M612" s="24">
        <f>IF(AND(L612=1,OR(Dashboard!$C$13="All",A612=Dashboard!$C$13),OR(Dashboard!$C$14="All",B612=Dashboard!$C$14),OR(Dashboard!$C$15="All",C612=Dashboard!$C$15),OR(Dashboard!$C$16="All",K612=Dashboard!$C$16),OR(Dashboard!$C$17="All",J612=Dashboard!$C$17)),1,0)</f>
        <v>0</v>
      </c>
      <c r="N612" s="24">
        <f>IF(AND(L612=1,OR(Dashboard!$C$13="All",A612=Dashboard!$C$13),OR(Dashboard!$C$14="All",B612=Dashboard!$C$14),OR(Dashboard!$C$16="All",K612=Dashboard!$C$16),OR(Dashboard!$C$17="All",J612=Dashboard!$C$17)),1,0)</f>
        <v>0</v>
      </c>
      <c r="O612" s="24">
        <f>IF(AND(L612=1,OR(Dashboard!$C$13="All",A612=Dashboard!$C$13),OR(Dashboard!$C$15="All",C612=Dashboard!$C$15),OR(Dashboard!$C$16="All",K612=Dashboard!$C$16),OR(Dashboard!$C$17="All",J612=Dashboard!$C$17)),1,0)</f>
        <v>0</v>
      </c>
      <c r="P612" s="24">
        <f>IF(AND(L612=1,OR(Dashboard!$C$13="All",A612=Dashboard!$C$13),OR(Dashboard!$C$14="All",B612=Dashboard!$C$14),OR(Dashboard!$C$15="All",C612=Dashboard!$C$15),OR(Dashboard!$C$17="All",J612=Dashboard!$C$17)),1,0)</f>
        <v>0</v>
      </c>
      <c r="Q612" s="24">
        <f>IF(AND(L612=1,OR(Dashboard!$C$14="All",B612=Dashboard!$C$14),OR(Dashboard!$C$15="All",C612=Dashboard!$C$15),OR(Dashboard!$C$16="All",K612=Dashboard!$C$16),OR(Dashboard!$C$17="All",J612=Dashboard!$C$17)),1,0)</f>
        <v>0</v>
      </c>
      <c r="R612" s="24">
        <f>IF(AND(L612=1,OR(Dashboard!$C$13="All",A612=Dashboard!$C$13),OR(Dashboard!$C$14="All",B612=Dashboard!$C$14),OR(Dashboard!$C$15="All",C612=Dashboard!$C$15),OR(Dashboard!$C$16="All",K612=Dashboard!$C$16)),1,0)</f>
        <v>0</v>
      </c>
      <c r="S612" s="25" t="str">
        <f t="shared" si="3"/>
        <v/>
      </c>
    </row>
    <row r="613" ht="15.75" customHeight="1">
      <c r="A613" s="27"/>
      <c r="B613" s="27"/>
      <c r="C613" s="27"/>
      <c r="D613" s="27"/>
      <c r="E613" s="28"/>
      <c r="F613" s="28" t="str">
        <f t="shared" si="4"/>
        <v/>
      </c>
      <c r="G613" s="29"/>
      <c r="H613" s="27"/>
      <c r="I613" s="29" t="str">
        <f t="shared" si="5"/>
        <v/>
      </c>
      <c r="J613" s="27"/>
      <c r="K613" s="27"/>
      <c r="L613" s="25" t="str">
        <f>IF(A613="","",IF(OR(G613="",AND(G613&gt;=Dashboard!$C$18,G613&lt;=Dashboard!$C$19)),1,0))</f>
        <v/>
      </c>
      <c r="M613" s="24">
        <f>IF(AND(L613=1,OR(Dashboard!$C$13="All",A613=Dashboard!$C$13),OR(Dashboard!$C$14="All",B613=Dashboard!$C$14),OR(Dashboard!$C$15="All",C613=Dashboard!$C$15),OR(Dashboard!$C$16="All",K613=Dashboard!$C$16),OR(Dashboard!$C$17="All",J613=Dashboard!$C$17)),1,0)</f>
        <v>0</v>
      </c>
      <c r="N613" s="24">
        <f>IF(AND(L613=1,OR(Dashboard!$C$13="All",A613=Dashboard!$C$13),OR(Dashboard!$C$14="All",B613=Dashboard!$C$14),OR(Dashboard!$C$16="All",K613=Dashboard!$C$16),OR(Dashboard!$C$17="All",J613=Dashboard!$C$17)),1,0)</f>
        <v>0</v>
      </c>
      <c r="O613" s="24">
        <f>IF(AND(L613=1,OR(Dashboard!$C$13="All",A613=Dashboard!$C$13),OR(Dashboard!$C$15="All",C613=Dashboard!$C$15),OR(Dashboard!$C$16="All",K613=Dashboard!$C$16),OR(Dashboard!$C$17="All",J613=Dashboard!$C$17)),1,0)</f>
        <v>0</v>
      </c>
      <c r="P613" s="24">
        <f>IF(AND(L613=1,OR(Dashboard!$C$13="All",A613=Dashboard!$C$13),OR(Dashboard!$C$14="All",B613=Dashboard!$C$14),OR(Dashboard!$C$15="All",C613=Dashboard!$C$15),OR(Dashboard!$C$17="All",J613=Dashboard!$C$17)),1,0)</f>
        <v>0</v>
      </c>
      <c r="Q613" s="24">
        <f>IF(AND(L613=1,OR(Dashboard!$C$14="All",B613=Dashboard!$C$14),OR(Dashboard!$C$15="All",C613=Dashboard!$C$15),OR(Dashboard!$C$16="All",K613=Dashboard!$C$16),OR(Dashboard!$C$17="All",J613=Dashboard!$C$17)),1,0)</f>
        <v>0</v>
      </c>
      <c r="R613" s="24">
        <f>IF(AND(L613=1,OR(Dashboard!$C$13="All",A613=Dashboard!$C$13),OR(Dashboard!$C$14="All",B613=Dashboard!$C$14),OR(Dashboard!$C$15="All",C613=Dashboard!$C$15),OR(Dashboard!$C$16="All",K613=Dashboard!$C$16)),1,0)</f>
        <v>0</v>
      </c>
      <c r="S613" s="25" t="str">
        <f t="shared" si="3"/>
        <v/>
      </c>
    </row>
    <row r="614" ht="15.75" customHeight="1">
      <c r="A614" s="27"/>
      <c r="B614" s="27"/>
      <c r="C614" s="27"/>
      <c r="D614" s="27"/>
      <c r="E614" s="28"/>
      <c r="F614" s="28" t="str">
        <f t="shared" si="4"/>
        <v/>
      </c>
      <c r="G614" s="29"/>
      <c r="H614" s="27"/>
      <c r="I614" s="29" t="str">
        <f t="shared" si="5"/>
        <v/>
      </c>
      <c r="J614" s="27"/>
      <c r="K614" s="27"/>
      <c r="L614" s="25" t="str">
        <f>IF(A614="","",IF(OR(G614="",AND(G614&gt;=Dashboard!$C$18,G614&lt;=Dashboard!$C$19)),1,0))</f>
        <v/>
      </c>
      <c r="M614" s="24">
        <f>IF(AND(L614=1,OR(Dashboard!$C$13="All",A614=Dashboard!$C$13),OR(Dashboard!$C$14="All",B614=Dashboard!$C$14),OR(Dashboard!$C$15="All",C614=Dashboard!$C$15),OR(Dashboard!$C$16="All",K614=Dashboard!$C$16),OR(Dashboard!$C$17="All",J614=Dashboard!$C$17)),1,0)</f>
        <v>0</v>
      </c>
      <c r="N614" s="24">
        <f>IF(AND(L614=1,OR(Dashboard!$C$13="All",A614=Dashboard!$C$13),OR(Dashboard!$C$14="All",B614=Dashboard!$C$14),OR(Dashboard!$C$16="All",K614=Dashboard!$C$16),OR(Dashboard!$C$17="All",J614=Dashboard!$C$17)),1,0)</f>
        <v>0</v>
      </c>
      <c r="O614" s="24">
        <f>IF(AND(L614=1,OR(Dashboard!$C$13="All",A614=Dashboard!$C$13),OR(Dashboard!$C$15="All",C614=Dashboard!$C$15),OR(Dashboard!$C$16="All",K614=Dashboard!$C$16),OR(Dashboard!$C$17="All",J614=Dashboard!$C$17)),1,0)</f>
        <v>0</v>
      </c>
      <c r="P614" s="24">
        <f>IF(AND(L614=1,OR(Dashboard!$C$13="All",A614=Dashboard!$C$13),OR(Dashboard!$C$14="All",B614=Dashboard!$C$14),OR(Dashboard!$C$15="All",C614=Dashboard!$C$15),OR(Dashboard!$C$17="All",J614=Dashboard!$C$17)),1,0)</f>
        <v>0</v>
      </c>
      <c r="Q614" s="24">
        <f>IF(AND(L614=1,OR(Dashboard!$C$14="All",B614=Dashboard!$C$14),OR(Dashboard!$C$15="All",C614=Dashboard!$C$15),OR(Dashboard!$C$16="All",K614=Dashboard!$C$16),OR(Dashboard!$C$17="All",J614=Dashboard!$C$17)),1,0)</f>
        <v>0</v>
      </c>
      <c r="R614" s="24">
        <f>IF(AND(L614=1,OR(Dashboard!$C$13="All",A614=Dashboard!$C$13),OR(Dashboard!$C$14="All",B614=Dashboard!$C$14),OR(Dashboard!$C$15="All",C614=Dashboard!$C$15),OR(Dashboard!$C$16="All",K614=Dashboard!$C$16)),1,0)</f>
        <v>0</v>
      </c>
      <c r="S614" s="25" t="str">
        <f t="shared" si="3"/>
        <v/>
      </c>
    </row>
    <row r="615" ht="15.75" customHeight="1">
      <c r="A615" s="27"/>
      <c r="B615" s="27"/>
      <c r="C615" s="27"/>
      <c r="D615" s="27"/>
      <c r="E615" s="28"/>
      <c r="F615" s="28" t="str">
        <f t="shared" si="4"/>
        <v/>
      </c>
      <c r="G615" s="29"/>
      <c r="H615" s="27"/>
      <c r="I615" s="29" t="str">
        <f t="shared" si="5"/>
        <v/>
      </c>
      <c r="J615" s="27"/>
      <c r="K615" s="27"/>
      <c r="L615" s="25" t="str">
        <f>IF(A615="","",IF(OR(G615="",AND(G615&gt;=Dashboard!$C$18,G615&lt;=Dashboard!$C$19)),1,0))</f>
        <v/>
      </c>
      <c r="M615" s="24">
        <f>IF(AND(L615=1,OR(Dashboard!$C$13="All",A615=Dashboard!$C$13),OR(Dashboard!$C$14="All",B615=Dashboard!$C$14),OR(Dashboard!$C$15="All",C615=Dashboard!$C$15),OR(Dashboard!$C$16="All",K615=Dashboard!$C$16),OR(Dashboard!$C$17="All",J615=Dashboard!$C$17)),1,0)</f>
        <v>0</v>
      </c>
      <c r="N615" s="24">
        <f>IF(AND(L615=1,OR(Dashboard!$C$13="All",A615=Dashboard!$C$13),OR(Dashboard!$C$14="All",B615=Dashboard!$C$14),OR(Dashboard!$C$16="All",K615=Dashboard!$C$16),OR(Dashboard!$C$17="All",J615=Dashboard!$C$17)),1,0)</f>
        <v>0</v>
      </c>
      <c r="O615" s="24">
        <f>IF(AND(L615=1,OR(Dashboard!$C$13="All",A615=Dashboard!$C$13),OR(Dashboard!$C$15="All",C615=Dashboard!$C$15),OR(Dashboard!$C$16="All",K615=Dashboard!$C$16),OR(Dashboard!$C$17="All",J615=Dashboard!$C$17)),1,0)</f>
        <v>0</v>
      </c>
      <c r="P615" s="24">
        <f>IF(AND(L615=1,OR(Dashboard!$C$13="All",A615=Dashboard!$C$13),OR(Dashboard!$C$14="All",B615=Dashboard!$C$14),OR(Dashboard!$C$15="All",C615=Dashboard!$C$15),OR(Dashboard!$C$17="All",J615=Dashboard!$C$17)),1,0)</f>
        <v>0</v>
      </c>
      <c r="Q615" s="24">
        <f>IF(AND(L615=1,OR(Dashboard!$C$14="All",B615=Dashboard!$C$14),OR(Dashboard!$C$15="All",C615=Dashboard!$C$15),OR(Dashboard!$C$16="All",K615=Dashboard!$C$16),OR(Dashboard!$C$17="All",J615=Dashboard!$C$17)),1,0)</f>
        <v>0</v>
      </c>
      <c r="R615" s="24">
        <f>IF(AND(L615=1,OR(Dashboard!$C$13="All",A615=Dashboard!$C$13),OR(Dashboard!$C$14="All",B615=Dashboard!$C$14),OR(Dashboard!$C$15="All",C615=Dashboard!$C$15),OR(Dashboard!$C$16="All",K615=Dashboard!$C$16)),1,0)</f>
        <v>0</v>
      </c>
      <c r="S615" s="25" t="str">
        <f t="shared" si="3"/>
        <v/>
      </c>
    </row>
    <row r="616" ht="15.75" customHeight="1">
      <c r="A616" s="27"/>
      <c r="B616" s="27"/>
      <c r="C616" s="27"/>
      <c r="D616" s="27"/>
      <c r="E616" s="28"/>
      <c r="F616" s="28" t="str">
        <f t="shared" si="4"/>
        <v/>
      </c>
      <c r="G616" s="29"/>
      <c r="H616" s="27"/>
      <c r="I616" s="29" t="str">
        <f t="shared" si="5"/>
        <v/>
      </c>
      <c r="J616" s="27"/>
      <c r="K616" s="27"/>
      <c r="L616" s="25" t="str">
        <f>IF(A616="","",IF(OR(G616="",AND(G616&gt;=Dashboard!$C$18,G616&lt;=Dashboard!$C$19)),1,0))</f>
        <v/>
      </c>
      <c r="M616" s="24">
        <f>IF(AND(L616=1,OR(Dashboard!$C$13="All",A616=Dashboard!$C$13),OR(Dashboard!$C$14="All",B616=Dashboard!$C$14),OR(Dashboard!$C$15="All",C616=Dashboard!$C$15),OR(Dashboard!$C$16="All",K616=Dashboard!$C$16),OR(Dashboard!$C$17="All",J616=Dashboard!$C$17)),1,0)</f>
        <v>0</v>
      </c>
      <c r="N616" s="24">
        <f>IF(AND(L616=1,OR(Dashboard!$C$13="All",A616=Dashboard!$C$13),OR(Dashboard!$C$14="All",B616=Dashboard!$C$14),OR(Dashboard!$C$16="All",K616=Dashboard!$C$16),OR(Dashboard!$C$17="All",J616=Dashboard!$C$17)),1,0)</f>
        <v>0</v>
      </c>
      <c r="O616" s="24">
        <f>IF(AND(L616=1,OR(Dashboard!$C$13="All",A616=Dashboard!$C$13),OR(Dashboard!$C$15="All",C616=Dashboard!$C$15),OR(Dashboard!$C$16="All",K616=Dashboard!$C$16),OR(Dashboard!$C$17="All",J616=Dashboard!$C$17)),1,0)</f>
        <v>0</v>
      </c>
      <c r="P616" s="24">
        <f>IF(AND(L616=1,OR(Dashboard!$C$13="All",A616=Dashboard!$C$13),OR(Dashboard!$C$14="All",B616=Dashboard!$C$14),OR(Dashboard!$C$15="All",C616=Dashboard!$C$15),OR(Dashboard!$C$17="All",J616=Dashboard!$C$17)),1,0)</f>
        <v>0</v>
      </c>
      <c r="Q616" s="24">
        <f>IF(AND(L616=1,OR(Dashboard!$C$14="All",B616=Dashboard!$C$14),OR(Dashboard!$C$15="All",C616=Dashboard!$C$15),OR(Dashboard!$C$16="All",K616=Dashboard!$C$16),OR(Dashboard!$C$17="All",J616=Dashboard!$C$17)),1,0)</f>
        <v>0</v>
      </c>
      <c r="R616" s="24">
        <f>IF(AND(L616=1,OR(Dashboard!$C$13="All",A616=Dashboard!$C$13),OR(Dashboard!$C$14="All",B616=Dashboard!$C$14),OR(Dashboard!$C$15="All",C616=Dashboard!$C$15),OR(Dashboard!$C$16="All",K616=Dashboard!$C$16)),1,0)</f>
        <v>0</v>
      </c>
      <c r="S616" s="25" t="str">
        <f t="shared" si="3"/>
        <v/>
      </c>
    </row>
    <row r="617" ht="15.75" customHeight="1">
      <c r="A617" s="27"/>
      <c r="B617" s="27"/>
      <c r="C617" s="27"/>
      <c r="D617" s="27"/>
      <c r="E617" s="28"/>
      <c r="F617" s="28" t="str">
        <f t="shared" si="4"/>
        <v/>
      </c>
      <c r="G617" s="29"/>
      <c r="H617" s="27"/>
      <c r="I617" s="29" t="str">
        <f t="shared" si="5"/>
        <v/>
      </c>
      <c r="J617" s="27"/>
      <c r="K617" s="27"/>
      <c r="L617" s="25" t="str">
        <f>IF(A617="","",IF(OR(G617="",AND(G617&gt;=Dashboard!$C$18,G617&lt;=Dashboard!$C$19)),1,0))</f>
        <v/>
      </c>
      <c r="M617" s="24">
        <f>IF(AND(L617=1,OR(Dashboard!$C$13="All",A617=Dashboard!$C$13),OR(Dashboard!$C$14="All",B617=Dashboard!$C$14),OR(Dashboard!$C$15="All",C617=Dashboard!$C$15),OR(Dashboard!$C$16="All",K617=Dashboard!$C$16),OR(Dashboard!$C$17="All",J617=Dashboard!$C$17)),1,0)</f>
        <v>0</v>
      </c>
      <c r="N617" s="24">
        <f>IF(AND(L617=1,OR(Dashboard!$C$13="All",A617=Dashboard!$C$13),OR(Dashboard!$C$14="All",B617=Dashboard!$C$14),OR(Dashboard!$C$16="All",K617=Dashboard!$C$16),OR(Dashboard!$C$17="All",J617=Dashboard!$C$17)),1,0)</f>
        <v>0</v>
      </c>
      <c r="O617" s="24">
        <f>IF(AND(L617=1,OR(Dashboard!$C$13="All",A617=Dashboard!$C$13),OR(Dashboard!$C$15="All",C617=Dashboard!$C$15),OR(Dashboard!$C$16="All",K617=Dashboard!$C$16),OR(Dashboard!$C$17="All",J617=Dashboard!$C$17)),1,0)</f>
        <v>0</v>
      </c>
      <c r="P617" s="24">
        <f>IF(AND(L617=1,OR(Dashboard!$C$13="All",A617=Dashboard!$C$13),OR(Dashboard!$C$14="All",B617=Dashboard!$C$14),OR(Dashboard!$C$15="All",C617=Dashboard!$C$15),OR(Dashboard!$C$17="All",J617=Dashboard!$C$17)),1,0)</f>
        <v>0</v>
      </c>
      <c r="Q617" s="24">
        <f>IF(AND(L617=1,OR(Dashboard!$C$14="All",B617=Dashboard!$C$14),OR(Dashboard!$C$15="All",C617=Dashboard!$C$15),OR(Dashboard!$C$16="All",K617=Dashboard!$C$16),OR(Dashboard!$C$17="All",J617=Dashboard!$C$17)),1,0)</f>
        <v>0</v>
      </c>
      <c r="R617" s="24">
        <f>IF(AND(L617=1,OR(Dashboard!$C$13="All",A617=Dashboard!$C$13),OR(Dashboard!$C$14="All",B617=Dashboard!$C$14),OR(Dashboard!$C$15="All",C617=Dashboard!$C$15),OR(Dashboard!$C$16="All",K617=Dashboard!$C$16)),1,0)</f>
        <v>0</v>
      </c>
      <c r="S617" s="25" t="str">
        <f t="shared" si="3"/>
        <v/>
      </c>
    </row>
    <row r="618" ht="15.75" customHeight="1">
      <c r="A618" s="27"/>
      <c r="B618" s="27"/>
      <c r="C618" s="27"/>
      <c r="D618" s="27"/>
      <c r="E618" s="28"/>
      <c r="F618" s="28" t="str">
        <f t="shared" si="4"/>
        <v/>
      </c>
      <c r="G618" s="29"/>
      <c r="H618" s="27"/>
      <c r="I618" s="29" t="str">
        <f t="shared" si="5"/>
        <v/>
      </c>
      <c r="J618" s="27"/>
      <c r="K618" s="27"/>
      <c r="L618" s="25" t="str">
        <f>IF(A618="","",IF(OR(G618="",AND(G618&gt;=Dashboard!$C$18,G618&lt;=Dashboard!$C$19)),1,0))</f>
        <v/>
      </c>
      <c r="M618" s="24">
        <f>IF(AND(L618=1,OR(Dashboard!$C$13="All",A618=Dashboard!$C$13),OR(Dashboard!$C$14="All",B618=Dashboard!$C$14),OR(Dashboard!$C$15="All",C618=Dashboard!$C$15),OR(Dashboard!$C$16="All",K618=Dashboard!$C$16),OR(Dashboard!$C$17="All",J618=Dashboard!$C$17)),1,0)</f>
        <v>0</v>
      </c>
      <c r="N618" s="24">
        <f>IF(AND(L618=1,OR(Dashboard!$C$13="All",A618=Dashboard!$C$13),OR(Dashboard!$C$14="All",B618=Dashboard!$C$14),OR(Dashboard!$C$16="All",K618=Dashboard!$C$16),OR(Dashboard!$C$17="All",J618=Dashboard!$C$17)),1,0)</f>
        <v>0</v>
      </c>
      <c r="O618" s="24">
        <f>IF(AND(L618=1,OR(Dashboard!$C$13="All",A618=Dashboard!$C$13),OR(Dashboard!$C$15="All",C618=Dashboard!$C$15),OR(Dashboard!$C$16="All",K618=Dashboard!$C$16),OR(Dashboard!$C$17="All",J618=Dashboard!$C$17)),1,0)</f>
        <v>0</v>
      </c>
      <c r="P618" s="24">
        <f>IF(AND(L618=1,OR(Dashboard!$C$13="All",A618=Dashboard!$C$13),OR(Dashboard!$C$14="All",B618=Dashboard!$C$14),OR(Dashboard!$C$15="All",C618=Dashboard!$C$15),OR(Dashboard!$C$17="All",J618=Dashboard!$C$17)),1,0)</f>
        <v>0</v>
      </c>
      <c r="Q618" s="24">
        <f>IF(AND(L618=1,OR(Dashboard!$C$14="All",B618=Dashboard!$C$14),OR(Dashboard!$C$15="All",C618=Dashboard!$C$15),OR(Dashboard!$C$16="All",K618=Dashboard!$C$16),OR(Dashboard!$C$17="All",J618=Dashboard!$C$17)),1,0)</f>
        <v>0</v>
      </c>
      <c r="R618" s="24">
        <f>IF(AND(L618=1,OR(Dashboard!$C$13="All",A618=Dashboard!$C$13),OR(Dashboard!$C$14="All",B618=Dashboard!$C$14),OR(Dashboard!$C$15="All",C618=Dashboard!$C$15),OR(Dashboard!$C$16="All",K618=Dashboard!$C$16)),1,0)</f>
        <v>0</v>
      </c>
      <c r="S618" s="25" t="str">
        <f t="shared" si="3"/>
        <v/>
      </c>
    </row>
    <row r="619" ht="15.75" customHeight="1">
      <c r="A619" s="27"/>
      <c r="B619" s="27"/>
      <c r="C619" s="27"/>
      <c r="D619" s="27"/>
      <c r="E619" s="28"/>
      <c r="F619" s="28" t="str">
        <f t="shared" si="4"/>
        <v/>
      </c>
      <c r="G619" s="29"/>
      <c r="H619" s="27"/>
      <c r="I619" s="29" t="str">
        <f t="shared" si="5"/>
        <v/>
      </c>
      <c r="J619" s="27"/>
      <c r="K619" s="27"/>
      <c r="L619" s="25" t="str">
        <f>IF(A619="","",IF(OR(G619="",AND(G619&gt;=Dashboard!$C$18,G619&lt;=Dashboard!$C$19)),1,0))</f>
        <v/>
      </c>
      <c r="M619" s="24">
        <f>IF(AND(L619=1,OR(Dashboard!$C$13="All",A619=Dashboard!$C$13),OR(Dashboard!$C$14="All",B619=Dashboard!$C$14),OR(Dashboard!$C$15="All",C619=Dashboard!$C$15),OR(Dashboard!$C$16="All",K619=Dashboard!$C$16),OR(Dashboard!$C$17="All",J619=Dashboard!$C$17)),1,0)</f>
        <v>0</v>
      </c>
      <c r="N619" s="24">
        <f>IF(AND(L619=1,OR(Dashboard!$C$13="All",A619=Dashboard!$C$13),OR(Dashboard!$C$14="All",B619=Dashboard!$C$14),OR(Dashboard!$C$16="All",K619=Dashboard!$C$16),OR(Dashboard!$C$17="All",J619=Dashboard!$C$17)),1,0)</f>
        <v>0</v>
      </c>
      <c r="O619" s="24">
        <f>IF(AND(L619=1,OR(Dashboard!$C$13="All",A619=Dashboard!$C$13),OR(Dashboard!$C$15="All",C619=Dashboard!$C$15),OR(Dashboard!$C$16="All",K619=Dashboard!$C$16),OR(Dashboard!$C$17="All",J619=Dashboard!$C$17)),1,0)</f>
        <v>0</v>
      </c>
      <c r="P619" s="24">
        <f>IF(AND(L619=1,OR(Dashboard!$C$13="All",A619=Dashboard!$C$13),OR(Dashboard!$C$14="All",B619=Dashboard!$C$14),OR(Dashboard!$C$15="All",C619=Dashboard!$C$15),OR(Dashboard!$C$17="All",J619=Dashboard!$C$17)),1,0)</f>
        <v>0</v>
      </c>
      <c r="Q619" s="24">
        <f>IF(AND(L619=1,OR(Dashboard!$C$14="All",B619=Dashboard!$C$14),OR(Dashboard!$C$15="All",C619=Dashboard!$C$15),OR(Dashboard!$C$16="All",K619=Dashboard!$C$16),OR(Dashboard!$C$17="All",J619=Dashboard!$C$17)),1,0)</f>
        <v>0</v>
      </c>
      <c r="R619" s="24">
        <f>IF(AND(L619=1,OR(Dashboard!$C$13="All",A619=Dashboard!$C$13),OR(Dashboard!$C$14="All",B619=Dashboard!$C$14),OR(Dashboard!$C$15="All",C619=Dashboard!$C$15),OR(Dashboard!$C$16="All",K619=Dashboard!$C$16)),1,0)</f>
        <v>0</v>
      </c>
      <c r="S619" s="25" t="str">
        <f t="shared" si="3"/>
        <v/>
      </c>
    </row>
    <row r="620" ht="15.75" customHeight="1">
      <c r="A620" s="27"/>
      <c r="B620" s="27"/>
      <c r="C620" s="27"/>
      <c r="D620" s="27"/>
      <c r="E620" s="28"/>
      <c r="F620" s="28" t="str">
        <f t="shared" si="4"/>
        <v/>
      </c>
      <c r="G620" s="29"/>
      <c r="H620" s="27"/>
      <c r="I620" s="29" t="str">
        <f t="shared" si="5"/>
        <v/>
      </c>
      <c r="J620" s="27"/>
      <c r="K620" s="27"/>
      <c r="L620" s="25" t="str">
        <f>IF(A620="","",IF(OR(G620="",AND(G620&gt;=Dashboard!$C$18,G620&lt;=Dashboard!$C$19)),1,0))</f>
        <v/>
      </c>
      <c r="M620" s="24">
        <f>IF(AND(L620=1,OR(Dashboard!$C$13="All",A620=Dashboard!$C$13),OR(Dashboard!$C$14="All",B620=Dashboard!$C$14),OR(Dashboard!$C$15="All",C620=Dashboard!$C$15),OR(Dashboard!$C$16="All",K620=Dashboard!$C$16),OR(Dashboard!$C$17="All",J620=Dashboard!$C$17)),1,0)</f>
        <v>0</v>
      </c>
      <c r="N620" s="24">
        <f>IF(AND(L620=1,OR(Dashboard!$C$13="All",A620=Dashboard!$C$13),OR(Dashboard!$C$14="All",B620=Dashboard!$C$14),OR(Dashboard!$C$16="All",K620=Dashboard!$C$16),OR(Dashboard!$C$17="All",J620=Dashboard!$C$17)),1,0)</f>
        <v>0</v>
      </c>
      <c r="O620" s="24">
        <f>IF(AND(L620=1,OR(Dashboard!$C$13="All",A620=Dashboard!$C$13),OR(Dashboard!$C$15="All",C620=Dashboard!$C$15),OR(Dashboard!$C$16="All",K620=Dashboard!$C$16),OR(Dashboard!$C$17="All",J620=Dashboard!$C$17)),1,0)</f>
        <v>0</v>
      </c>
      <c r="P620" s="24">
        <f>IF(AND(L620=1,OR(Dashboard!$C$13="All",A620=Dashboard!$C$13),OR(Dashboard!$C$14="All",B620=Dashboard!$C$14),OR(Dashboard!$C$15="All",C620=Dashboard!$C$15),OR(Dashboard!$C$17="All",J620=Dashboard!$C$17)),1,0)</f>
        <v>0</v>
      </c>
      <c r="Q620" s="24">
        <f>IF(AND(L620=1,OR(Dashboard!$C$14="All",B620=Dashboard!$C$14),OR(Dashboard!$C$15="All",C620=Dashboard!$C$15),OR(Dashboard!$C$16="All",K620=Dashboard!$C$16),OR(Dashboard!$C$17="All",J620=Dashboard!$C$17)),1,0)</f>
        <v>0</v>
      </c>
      <c r="R620" s="24">
        <f>IF(AND(L620=1,OR(Dashboard!$C$13="All",A620=Dashboard!$C$13),OR(Dashboard!$C$14="All",B620=Dashboard!$C$14),OR(Dashboard!$C$15="All",C620=Dashboard!$C$15),OR(Dashboard!$C$16="All",K620=Dashboard!$C$16)),1,0)</f>
        <v>0</v>
      </c>
      <c r="S620" s="25" t="str">
        <f t="shared" si="3"/>
        <v/>
      </c>
    </row>
    <row r="621" ht="15.75" customHeight="1">
      <c r="A621" s="27"/>
      <c r="B621" s="27"/>
      <c r="C621" s="27"/>
      <c r="D621" s="27"/>
      <c r="E621" s="28"/>
      <c r="F621" s="28" t="str">
        <f t="shared" si="4"/>
        <v/>
      </c>
      <c r="G621" s="29"/>
      <c r="H621" s="27"/>
      <c r="I621" s="29" t="str">
        <f t="shared" si="5"/>
        <v/>
      </c>
      <c r="J621" s="27"/>
      <c r="K621" s="27"/>
      <c r="L621" s="25" t="str">
        <f>IF(A621="","",IF(OR(G621="",AND(G621&gt;=Dashboard!$C$18,G621&lt;=Dashboard!$C$19)),1,0))</f>
        <v/>
      </c>
      <c r="M621" s="24">
        <f>IF(AND(L621=1,OR(Dashboard!$C$13="All",A621=Dashboard!$C$13),OR(Dashboard!$C$14="All",B621=Dashboard!$C$14),OR(Dashboard!$C$15="All",C621=Dashboard!$C$15),OR(Dashboard!$C$16="All",K621=Dashboard!$C$16),OR(Dashboard!$C$17="All",J621=Dashboard!$C$17)),1,0)</f>
        <v>0</v>
      </c>
      <c r="N621" s="24">
        <f>IF(AND(L621=1,OR(Dashboard!$C$13="All",A621=Dashboard!$C$13),OR(Dashboard!$C$14="All",B621=Dashboard!$C$14),OR(Dashboard!$C$16="All",K621=Dashboard!$C$16),OR(Dashboard!$C$17="All",J621=Dashboard!$C$17)),1,0)</f>
        <v>0</v>
      </c>
      <c r="O621" s="24">
        <f>IF(AND(L621=1,OR(Dashboard!$C$13="All",A621=Dashboard!$C$13),OR(Dashboard!$C$15="All",C621=Dashboard!$C$15),OR(Dashboard!$C$16="All",K621=Dashboard!$C$16),OR(Dashboard!$C$17="All",J621=Dashboard!$C$17)),1,0)</f>
        <v>0</v>
      </c>
      <c r="P621" s="24">
        <f>IF(AND(L621=1,OR(Dashboard!$C$13="All",A621=Dashboard!$C$13),OR(Dashboard!$C$14="All",B621=Dashboard!$C$14),OR(Dashboard!$C$15="All",C621=Dashboard!$C$15),OR(Dashboard!$C$17="All",J621=Dashboard!$C$17)),1,0)</f>
        <v>0</v>
      </c>
      <c r="Q621" s="24">
        <f>IF(AND(L621=1,OR(Dashboard!$C$14="All",B621=Dashboard!$C$14),OR(Dashboard!$C$15="All",C621=Dashboard!$C$15),OR(Dashboard!$C$16="All",K621=Dashboard!$C$16),OR(Dashboard!$C$17="All",J621=Dashboard!$C$17)),1,0)</f>
        <v>0</v>
      </c>
      <c r="R621" s="24">
        <f>IF(AND(L621=1,OR(Dashboard!$C$13="All",A621=Dashboard!$C$13),OR(Dashboard!$C$14="All",B621=Dashboard!$C$14),OR(Dashboard!$C$15="All",C621=Dashboard!$C$15),OR(Dashboard!$C$16="All",K621=Dashboard!$C$16)),1,0)</f>
        <v>0</v>
      </c>
      <c r="S621" s="25" t="str">
        <f t="shared" si="3"/>
        <v/>
      </c>
    </row>
    <row r="622" ht="15.75" customHeight="1">
      <c r="A622" s="27"/>
      <c r="B622" s="27"/>
      <c r="C622" s="27"/>
      <c r="D622" s="27"/>
      <c r="E622" s="28"/>
      <c r="F622" s="28" t="str">
        <f t="shared" si="4"/>
        <v/>
      </c>
      <c r="G622" s="29"/>
      <c r="H622" s="27"/>
      <c r="I622" s="29" t="str">
        <f t="shared" si="5"/>
        <v/>
      </c>
      <c r="J622" s="27"/>
      <c r="K622" s="27"/>
      <c r="L622" s="25" t="str">
        <f>IF(A622="","",IF(OR(G622="",AND(G622&gt;=Dashboard!$C$18,G622&lt;=Dashboard!$C$19)),1,0))</f>
        <v/>
      </c>
      <c r="M622" s="24">
        <f>IF(AND(L622=1,OR(Dashboard!$C$13="All",A622=Dashboard!$C$13),OR(Dashboard!$C$14="All",B622=Dashboard!$C$14),OR(Dashboard!$C$15="All",C622=Dashboard!$C$15),OR(Dashboard!$C$16="All",K622=Dashboard!$C$16),OR(Dashboard!$C$17="All",J622=Dashboard!$C$17)),1,0)</f>
        <v>0</v>
      </c>
      <c r="N622" s="24">
        <f>IF(AND(L622=1,OR(Dashboard!$C$13="All",A622=Dashboard!$C$13),OR(Dashboard!$C$14="All",B622=Dashboard!$C$14),OR(Dashboard!$C$16="All",K622=Dashboard!$C$16),OR(Dashboard!$C$17="All",J622=Dashboard!$C$17)),1,0)</f>
        <v>0</v>
      </c>
      <c r="O622" s="24">
        <f>IF(AND(L622=1,OR(Dashboard!$C$13="All",A622=Dashboard!$C$13),OR(Dashboard!$C$15="All",C622=Dashboard!$C$15),OR(Dashboard!$C$16="All",K622=Dashboard!$C$16),OR(Dashboard!$C$17="All",J622=Dashboard!$C$17)),1,0)</f>
        <v>0</v>
      </c>
      <c r="P622" s="24">
        <f>IF(AND(L622=1,OR(Dashboard!$C$13="All",A622=Dashboard!$C$13),OR(Dashboard!$C$14="All",B622=Dashboard!$C$14),OR(Dashboard!$C$15="All",C622=Dashboard!$C$15),OR(Dashboard!$C$17="All",J622=Dashboard!$C$17)),1,0)</f>
        <v>0</v>
      </c>
      <c r="Q622" s="24">
        <f>IF(AND(L622=1,OR(Dashboard!$C$14="All",B622=Dashboard!$C$14),OR(Dashboard!$C$15="All",C622=Dashboard!$C$15),OR(Dashboard!$C$16="All",K622=Dashboard!$C$16),OR(Dashboard!$C$17="All",J622=Dashboard!$C$17)),1,0)</f>
        <v>0</v>
      </c>
      <c r="R622" s="24">
        <f>IF(AND(L622=1,OR(Dashboard!$C$13="All",A622=Dashboard!$C$13),OR(Dashboard!$C$14="All",B622=Dashboard!$C$14),OR(Dashboard!$C$15="All",C622=Dashboard!$C$15),OR(Dashboard!$C$16="All",K622=Dashboard!$C$16)),1,0)</f>
        <v>0</v>
      </c>
      <c r="S622" s="25" t="str">
        <f t="shared" si="3"/>
        <v/>
      </c>
    </row>
    <row r="623" ht="15.75" customHeight="1">
      <c r="A623" s="27"/>
      <c r="B623" s="27"/>
      <c r="C623" s="27"/>
      <c r="D623" s="27"/>
      <c r="E623" s="28"/>
      <c r="F623" s="28" t="str">
        <f t="shared" si="4"/>
        <v/>
      </c>
      <c r="G623" s="29"/>
      <c r="H623" s="27"/>
      <c r="I623" s="29" t="str">
        <f t="shared" si="5"/>
        <v/>
      </c>
      <c r="J623" s="27"/>
      <c r="K623" s="27"/>
      <c r="L623" s="25" t="str">
        <f>IF(A623="","",IF(OR(G623="",AND(G623&gt;=Dashboard!$C$18,G623&lt;=Dashboard!$C$19)),1,0))</f>
        <v/>
      </c>
      <c r="M623" s="24">
        <f>IF(AND(L623=1,OR(Dashboard!$C$13="All",A623=Dashboard!$C$13),OR(Dashboard!$C$14="All",B623=Dashboard!$C$14),OR(Dashboard!$C$15="All",C623=Dashboard!$C$15),OR(Dashboard!$C$16="All",K623=Dashboard!$C$16),OR(Dashboard!$C$17="All",J623=Dashboard!$C$17)),1,0)</f>
        <v>0</v>
      </c>
      <c r="N623" s="24">
        <f>IF(AND(L623=1,OR(Dashboard!$C$13="All",A623=Dashboard!$C$13),OR(Dashboard!$C$14="All",B623=Dashboard!$C$14),OR(Dashboard!$C$16="All",K623=Dashboard!$C$16),OR(Dashboard!$C$17="All",J623=Dashboard!$C$17)),1,0)</f>
        <v>0</v>
      </c>
      <c r="O623" s="24">
        <f>IF(AND(L623=1,OR(Dashboard!$C$13="All",A623=Dashboard!$C$13),OR(Dashboard!$C$15="All",C623=Dashboard!$C$15),OR(Dashboard!$C$16="All",K623=Dashboard!$C$16),OR(Dashboard!$C$17="All",J623=Dashboard!$C$17)),1,0)</f>
        <v>0</v>
      </c>
      <c r="P623" s="24">
        <f>IF(AND(L623=1,OR(Dashboard!$C$13="All",A623=Dashboard!$C$13),OR(Dashboard!$C$14="All",B623=Dashboard!$C$14),OR(Dashboard!$C$15="All",C623=Dashboard!$C$15),OR(Dashboard!$C$17="All",J623=Dashboard!$C$17)),1,0)</f>
        <v>0</v>
      </c>
      <c r="Q623" s="24">
        <f>IF(AND(L623=1,OR(Dashboard!$C$14="All",B623=Dashboard!$C$14),OR(Dashboard!$C$15="All",C623=Dashboard!$C$15),OR(Dashboard!$C$16="All",K623=Dashboard!$C$16),OR(Dashboard!$C$17="All",J623=Dashboard!$C$17)),1,0)</f>
        <v>0</v>
      </c>
      <c r="R623" s="24">
        <f>IF(AND(L623=1,OR(Dashboard!$C$13="All",A623=Dashboard!$C$13),OR(Dashboard!$C$14="All",B623=Dashboard!$C$14),OR(Dashboard!$C$15="All",C623=Dashboard!$C$15),OR(Dashboard!$C$16="All",K623=Dashboard!$C$16)),1,0)</f>
        <v>0</v>
      </c>
      <c r="S623" s="25" t="str">
        <f t="shared" si="3"/>
        <v/>
      </c>
    </row>
    <row r="624" ht="15.75" customHeight="1">
      <c r="A624" s="27"/>
      <c r="B624" s="27"/>
      <c r="C624" s="27"/>
      <c r="D624" s="27"/>
      <c r="E624" s="28"/>
      <c r="F624" s="28" t="str">
        <f t="shared" si="4"/>
        <v/>
      </c>
      <c r="G624" s="29"/>
      <c r="H624" s="27"/>
      <c r="I624" s="29" t="str">
        <f t="shared" si="5"/>
        <v/>
      </c>
      <c r="J624" s="27"/>
      <c r="K624" s="27"/>
      <c r="L624" s="25" t="str">
        <f>IF(A624="","",IF(OR(G624="",AND(G624&gt;=Dashboard!$C$18,G624&lt;=Dashboard!$C$19)),1,0))</f>
        <v/>
      </c>
      <c r="M624" s="24">
        <f>IF(AND(L624=1,OR(Dashboard!$C$13="All",A624=Dashboard!$C$13),OR(Dashboard!$C$14="All",B624=Dashboard!$C$14),OR(Dashboard!$C$15="All",C624=Dashboard!$C$15),OR(Dashboard!$C$16="All",K624=Dashboard!$C$16),OR(Dashboard!$C$17="All",J624=Dashboard!$C$17)),1,0)</f>
        <v>0</v>
      </c>
      <c r="N624" s="24">
        <f>IF(AND(L624=1,OR(Dashboard!$C$13="All",A624=Dashboard!$C$13),OR(Dashboard!$C$14="All",B624=Dashboard!$C$14),OR(Dashboard!$C$16="All",K624=Dashboard!$C$16),OR(Dashboard!$C$17="All",J624=Dashboard!$C$17)),1,0)</f>
        <v>0</v>
      </c>
      <c r="O624" s="24">
        <f>IF(AND(L624=1,OR(Dashboard!$C$13="All",A624=Dashboard!$C$13),OR(Dashboard!$C$15="All",C624=Dashboard!$C$15),OR(Dashboard!$C$16="All",K624=Dashboard!$C$16),OR(Dashboard!$C$17="All",J624=Dashboard!$C$17)),1,0)</f>
        <v>0</v>
      </c>
      <c r="P624" s="24">
        <f>IF(AND(L624=1,OR(Dashboard!$C$13="All",A624=Dashboard!$C$13),OR(Dashboard!$C$14="All",B624=Dashboard!$C$14),OR(Dashboard!$C$15="All",C624=Dashboard!$C$15),OR(Dashboard!$C$17="All",J624=Dashboard!$C$17)),1,0)</f>
        <v>0</v>
      </c>
      <c r="Q624" s="24">
        <f>IF(AND(L624=1,OR(Dashboard!$C$14="All",B624=Dashboard!$C$14),OR(Dashboard!$C$15="All",C624=Dashboard!$C$15),OR(Dashboard!$C$16="All",K624=Dashboard!$C$16),OR(Dashboard!$C$17="All",J624=Dashboard!$C$17)),1,0)</f>
        <v>0</v>
      </c>
      <c r="R624" s="24">
        <f>IF(AND(L624=1,OR(Dashboard!$C$13="All",A624=Dashboard!$C$13),OR(Dashboard!$C$14="All",B624=Dashboard!$C$14),OR(Dashboard!$C$15="All",C624=Dashboard!$C$15),OR(Dashboard!$C$16="All",K624=Dashboard!$C$16)),1,0)</f>
        <v>0</v>
      </c>
      <c r="S624" s="25" t="str">
        <f t="shared" si="3"/>
        <v/>
      </c>
    </row>
    <row r="625" ht="15.75" customHeight="1">
      <c r="A625" s="27"/>
      <c r="B625" s="27"/>
      <c r="C625" s="27"/>
      <c r="D625" s="27"/>
      <c r="E625" s="28"/>
      <c r="F625" s="28" t="str">
        <f t="shared" si="4"/>
        <v/>
      </c>
      <c r="G625" s="29"/>
      <c r="H625" s="27"/>
      <c r="I625" s="29" t="str">
        <f t="shared" si="5"/>
        <v/>
      </c>
      <c r="J625" s="27"/>
      <c r="K625" s="27"/>
      <c r="L625" s="25" t="str">
        <f>IF(A625="","",IF(OR(G625="",AND(G625&gt;=Dashboard!$C$18,G625&lt;=Dashboard!$C$19)),1,0))</f>
        <v/>
      </c>
      <c r="M625" s="24">
        <f>IF(AND(L625=1,OR(Dashboard!$C$13="All",A625=Dashboard!$C$13),OR(Dashboard!$C$14="All",B625=Dashboard!$C$14),OR(Dashboard!$C$15="All",C625=Dashboard!$C$15),OR(Dashboard!$C$16="All",K625=Dashboard!$C$16),OR(Dashboard!$C$17="All",J625=Dashboard!$C$17)),1,0)</f>
        <v>0</v>
      </c>
      <c r="N625" s="24">
        <f>IF(AND(L625=1,OR(Dashboard!$C$13="All",A625=Dashboard!$C$13),OR(Dashboard!$C$14="All",B625=Dashboard!$C$14),OR(Dashboard!$C$16="All",K625=Dashboard!$C$16),OR(Dashboard!$C$17="All",J625=Dashboard!$C$17)),1,0)</f>
        <v>0</v>
      </c>
      <c r="O625" s="24">
        <f>IF(AND(L625=1,OR(Dashboard!$C$13="All",A625=Dashboard!$C$13),OR(Dashboard!$C$15="All",C625=Dashboard!$C$15),OR(Dashboard!$C$16="All",K625=Dashboard!$C$16),OR(Dashboard!$C$17="All",J625=Dashboard!$C$17)),1,0)</f>
        <v>0</v>
      </c>
      <c r="P625" s="24">
        <f>IF(AND(L625=1,OR(Dashboard!$C$13="All",A625=Dashboard!$C$13),OR(Dashboard!$C$14="All",B625=Dashboard!$C$14),OR(Dashboard!$C$15="All",C625=Dashboard!$C$15),OR(Dashboard!$C$17="All",J625=Dashboard!$C$17)),1,0)</f>
        <v>0</v>
      </c>
      <c r="Q625" s="24">
        <f>IF(AND(L625=1,OR(Dashboard!$C$14="All",B625=Dashboard!$C$14),OR(Dashboard!$C$15="All",C625=Dashboard!$C$15),OR(Dashboard!$C$16="All",K625=Dashboard!$C$16),OR(Dashboard!$C$17="All",J625=Dashboard!$C$17)),1,0)</f>
        <v>0</v>
      </c>
      <c r="R625" s="24">
        <f>IF(AND(L625=1,OR(Dashboard!$C$13="All",A625=Dashboard!$C$13),OR(Dashboard!$C$14="All",B625=Dashboard!$C$14),OR(Dashboard!$C$15="All",C625=Dashboard!$C$15),OR(Dashboard!$C$16="All",K625=Dashboard!$C$16)),1,0)</f>
        <v>0</v>
      </c>
      <c r="S625" s="25" t="str">
        <f t="shared" si="3"/>
        <v/>
      </c>
    </row>
    <row r="626" ht="15.75" customHeight="1">
      <c r="A626" s="27"/>
      <c r="B626" s="27"/>
      <c r="C626" s="27"/>
      <c r="D626" s="27"/>
      <c r="E626" s="28"/>
      <c r="F626" s="28" t="str">
        <f t="shared" si="4"/>
        <v/>
      </c>
      <c r="G626" s="29"/>
      <c r="H626" s="27"/>
      <c r="I626" s="29" t="str">
        <f t="shared" si="5"/>
        <v/>
      </c>
      <c r="J626" s="27"/>
      <c r="K626" s="27"/>
      <c r="L626" s="25" t="str">
        <f>IF(A626="","",IF(OR(G626="",AND(G626&gt;=Dashboard!$C$18,G626&lt;=Dashboard!$C$19)),1,0))</f>
        <v/>
      </c>
      <c r="M626" s="24">
        <f>IF(AND(L626=1,OR(Dashboard!$C$13="All",A626=Dashboard!$C$13),OR(Dashboard!$C$14="All",B626=Dashboard!$C$14),OR(Dashboard!$C$15="All",C626=Dashboard!$C$15),OR(Dashboard!$C$16="All",K626=Dashboard!$C$16),OR(Dashboard!$C$17="All",J626=Dashboard!$C$17)),1,0)</f>
        <v>0</v>
      </c>
      <c r="N626" s="24">
        <f>IF(AND(L626=1,OR(Dashboard!$C$13="All",A626=Dashboard!$C$13),OR(Dashboard!$C$14="All",B626=Dashboard!$C$14),OR(Dashboard!$C$16="All",K626=Dashboard!$C$16),OR(Dashboard!$C$17="All",J626=Dashboard!$C$17)),1,0)</f>
        <v>0</v>
      </c>
      <c r="O626" s="24">
        <f>IF(AND(L626=1,OR(Dashboard!$C$13="All",A626=Dashboard!$C$13),OR(Dashboard!$C$15="All",C626=Dashboard!$C$15),OR(Dashboard!$C$16="All",K626=Dashboard!$C$16),OR(Dashboard!$C$17="All",J626=Dashboard!$C$17)),1,0)</f>
        <v>0</v>
      </c>
      <c r="P626" s="24">
        <f>IF(AND(L626=1,OR(Dashboard!$C$13="All",A626=Dashboard!$C$13),OR(Dashboard!$C$14="All",B626=Dashboard!$C$14),OR(Dashboard!$C$15="All",C626=Dashboard!$C$15),OR(Dashboard!$C$17="All",J626=Dashboard!$C$17)),1,0)</f>
        <v>0</v>
      </c>
      <c r="Q626" s="24">
        <f>IF(AND(L626=1,OR(Dashboard!$C$14="All",B626=Dashboard!$C$14),OR(Dashboard!$C$15="All",C626=Dashboard!$C$15),OR(Dashboard!$C$16="All",K626=Dashboard!$C$16),OR(Dashboard!$C$17="All",J626=Dashboard!$C$17)),1,0)</f>
        <v>0</v>
      </c>
      <c r="R626" s="24">
        <f>IF(AND(L626=1,OR(Dashboard!$C$13="All",A626=Dashboard!$C$13),OR(Dashboard!$C$14="All",B626=Dashboard!$C$14),OR(Dashboard!$C$15="All",C626=Dashboard!$C$15),OR(Dashboard!$C$16="All",K626=Dashboard!$C$16)),1,0)</f>
        <v>0</v>
      </c>
      <c r="S626" s="25" t="str">
        <f t="shared" si="3"/>
        <v/>
      </c>
    </row>
    <row r="627" ht="15.75" customHeight="1">
      <c r="A627" s="27"/>
      <c r="B627" s="27"/>
      <c r="C627" s="27"/>
      <c r="D627" s="27"/>
      <c r="E627" s="28"/>
      <c r="F627" s="28" t="str">
        <f t="shared" si="4"/>
        <v/>
      </c>
      <c r="G627" s="29"/>
      <c r="H627" s="27"/>
      <c r="I627" s="29" t="str">
        <f t="shared" si="5"/>
        <v/>
      </c>
      <c r="J627" s="27"/>
      <c r="K627" s="27"/>
      <c r="L627" s="25" t="str">
        <f>IF(A627="","",IF(OR(G627="",AND(G627&gt;=Dashboard!$C$18,G627&lt;=Dashboard!$C$19)),1,0))</f>
        <v/>
      </c>
      <c r="M627" s="24">
        <f>IF(AND(L627=1,OR(Dashboard!$C$13="All",A627=Dashboard!$C$13),OR(Dashboard!$C$14="All",B627=Dashboard!$C$14),OR(Dashboard!$C$15="All",C627=Dashboard!$C$15),OR(Dashboard!$C$16="All",K627=Dashboard!$C$16),OR(Dashboard!$C$17="All",J627=Dashboard!$C$17)),1,0)</f>
        <v>0</v>
      </c>
      <c r="N627" s="24">
        <f>IF(AND(L627=1,OR(Dashboard!$C$13="All",A627=Dashboard!$C$13),OR(Dashboard!$C$14="All",B627=Dashboard!$C$14),OR(Dashboard!$C$16="All",K627=Dashboard!$C$16),OR(Dashboard!$C$17="All",J627=Dashboard!$C$17)),1,0)</f>
        <v>0</v>
      </c>
      <c r="O627" s="24">
        <f>IF(AND(L627=1,OR(Dashboard!$C$13="All",A627=Dashboard!$C$13),OR(Dashboard!$C$15="All",C627=Dashboard!$C$15),OR(Dashboard!$C$16="All",K627=Dashboard!$C$16),OR(Dashboard!$C$17="All",J627=Dashboard!$C$17)),1,0)</f>
        <v>0</v>
      </c>
      <c r="P627" s="24">
        <f>IF(AND(L627=1,OR(Dashboard!$C$13="All",A627=Dashboard!$C$13),OR(Dashboard!$C$14="All",B627=Dashboard!$C$14),OR(Dashboard!$C$15="All",C627=Dashboard!$C$15),OR(Dashboard!$C$17="All",J627=Dashboard!$C$17)),1,0)</f>
        <v>0</v>
      </c>
      <c r="Q627" s="24">
        <f>IF(AND(L627=1,OR(Dashboard!$C$14="All",B627=Dashboard!$C$14),OR(Dashboard!$C$15="All",C627=Dashboard!$C$15),OR(Dashboard!$C$16="All",K627=Dashboard!$C$16),OR(Dashboard!$C$17="All",J627=Dashboard!$C$17)),1,0)</f>
        <v>0</v>
      </c>
      <c r="R627" s="24">
        <f>IF(AND(L627=1,OR(Dashboard!$C$13="All",A627=Dashboard!$C$13),OR(Dashboard!$C$14="All",B627=Dashboard!$C$14),OR(Dashboard!$C$15="All",C627=Dashboard!$C$15),OR(Dashboard!$C$16="All",K627=Dashboard!$C$16)),1,0)</f>
        <v>0</v>
      </c>
      <c r="S627" s="25" t="str">
        <f t="shared" si="3"/>
        <v/>
      </c>
    </row>
    <row r="628" ht="15.75" customHeight="1">
      <c r="A628" s="27"/>
      <c r="B628" s="27"/>
      <c r="C628" s="27"/>
      <c r="D628" s="27"/>
      <c r="E628" s="28"/>
      <c r="F628" s="28" t="str">
        <f t="shared" si="4"/>
        <v/>
      </c>
      <c r="G628" s="29"/>
      <c r="H628" s="27"/>
      <c r="I628" s="29" t="str">
        <f t="shared" si="5"/>
        <v/>
      </c>
      <c r="J628" s="27"/>
      <c r="K628" s="27"/>
      <c r="L628" s="25" t="str">
        <f>IF(A628="","",IF(OR(G628="",AND(G628&gt;=Dashboard!$C$18,G628&lt;=Dashboard!$C$19)),1,0))</f>
        <v/>
      </c>
      <c r="M628" s="24">
        <f>IF(AND(L628=1,OR(Dashboard!$C$13="All",A628=Dashboard!$C$13),OR(Dashboard!$C$14="All",B628=Dashboard!$C$14),OR(Dashboard!$C$15="All",C628=Dashboard!$C$15),OR(Dashboard!$C$16="All",K628=Dashboard!$C$16),OR(Dashboard!$C$17="All",J628=Dashboard!$C$17)),1,0)</f>
        <v>0</v>
      </c>
      <c r="N628" s="24">
        <f>IF(AND(L628=1,OR(Dashboard!$C$13="All",A628=Dashboard!$C$13),OR(Dashboard!$C$14="All",B628=Dashboard!$C$14),OR(Dashboard!$C$16="All",K628=Dashboard!$C$16),OR(Dashboard!$C$17="All",J628=Dashboard!$C$17)),1,0)</f>
        <v>0</v>
      </c>
      <c r="O628" s="24">
        <f>IF(AND(L628=1,OR(Dashboard!$C$13="All",A628=Dashboard!$C$13),OR(Dashboard!$C$15="All",C628=Dashboard!$C$15),OR(Dashboard!$C$16="All",K628=Dashboard!$C$16),OR(Dashboard!$C$17="All",J628=Dashboard!$C$17)),1,0)</f>
        <v>0</v>
      </c>
      <c r="P628" s="24">
        <f>IF(AND(L628=1,OR(Dashboard!$C$13="All",A628=Dashboard!$C$13),OR(Dashboard!$C$14="All",B628=Dashboard!$C$14),OR(Dashboard!$C$15="All",C628=Dashboard!$C$15),OR(Dashboard!$C$17="All",J628=Dashboard!$C$17)),1,0)</f>
        <v>0</v>
      </c>
      <c r="Q628" s="24">
        <f>IF(AND(L628=1,OR(Dashboard!$C$14="All",B628=Dashboard!$C$14),OR(Dashboard!$C$15="All",C628=Dashboard!$C$15),OR(Dashboard!$C$16="All",K628=Dashboard!$C$16),OR(Dashboard!$C$17="All",J628=Dashboard!$C$17)),1,0)</f>
        <v>0</v>
      </c>
      <c r="R628" s="24">
        <f>IF(AND(L628=1,OR(Dashboard!$C$13="All",A628=Dashboard!$C$13),OR(Dashboard!$C$14="All",B628=Dashboard!$C$14),OR(Dashboard!$C$15="All",C628=Dashboard!$C$15),OR(Dashboard!$C$16="All",K628=Dashboard!$C$16)),1,0)</f>
        <v>0</v>
      </c>
      <c r="S628" s="25" t="str">
        <f t="shared" si="3"/>
        <v/>
      </c>
    </row>
    <row r="629" ht="15.75" customHeight="1">
      <c r="A629" s="27"/>
      <c r="B629" s="27"/>
      <c r="C629" s="27"/>
      <c r="D629" s="27"/>
      <c r="E629" s="28"/>
      <c r="F629" s="28" t="str">
        <f t="shared" si="4"/>
        <v/>
      </c>
      <c r="G629" s="29"/>
      <c r="H629" s="27"/>
      <c r="I629" s="29" t="str">
        <f t="shared" si="5"/>
        <v/>
      </c>
      <c r="J629" s="27"/>
      <c r="K629" s="27"/>
      <c r="L629" s="25" t="str">
        <f>IF(A629="","",IF(OR(G629="",AND(G629&gt;=Dashboard!$C$18,G629&lt;=Dashboard!$C$19)),1,0))</f>
        <v/>
      </c>
      <c r="M629" s="24">
        <f>IF(AND(L629=1,OR(Dashboard!$C$13="All",A629=Dashboard!$C$13),OR(Dashboard!$C$14="All",B629=Dashboard!$C$14),OR(Dashboard!$C$15="All",C629=Dashboard!$C$15),OR(Dashboard!$C$16="All",K629=Dashboard!$C$16),OR(Dashboard!$C$17="All",J629=Dashboard!$C$17)),1,0)</f>
        <v>0</v>
      </c>
      <c r="N629" s="24">
        <f>IF(AND(L629=1,OR(Dashboard!$C$13="All",A629=Dashboard!$C$13),OR(Dashboard!$C$14="All",B629=Dashboard!$C$14),OR(Dashboard!$C$16="All",K629=Dashboard!$C$16),OR(Dashboard!$C$17="All",J629=Dashboard!$C$17)),1,0)</f>
        <v>0</v>
      </c>
      <c r="O629" s="24">
        <f>IF(AND(L629=1,OR(Dashboard!$C$13="All",A629=Dashboard!$C$13),OR(Dashboard!$C$15="All",C629=Dashboard!$C$15),OR(Dashboard!$C$16="All",K629=Dashboard!$C$16),OR(Dashboard!$C$17="All",J629=Dashboard!$C$17)),1,0)</f>
        <v>0</v>
      </c>
      <c r="P629" s="24">
        <f>IF(AND(L629=1,OR(Dashboard!$C$13="All",A629=Dashboard!$C$13),OR(Dashboard!$C$14="All",B629=Dashboard!$C$14),OR(Dashboard!$C$15="All",C629=Dashboard!$C$15),OR(Dashboard!$C$17="All",J629=Dashboard!$C$17)),1,0)</f>
        <v>0</v>
      </c>
      <c r="Q629" s="24">
        <f>IF(AND(L629=1,OR(Dashboard!$C$14="All",B629=Dashboard!$C$14),OR(Dashboard!$C$15="All",C629=Dashboard!$C$15),OR(Dashboard!$C$16="All",K629=Dashboard!$C$16),OR(Dashboard!$C$17="All",J629=Dashboard!$C$17)),1,0)</f>
        <v>0</v>
      </c>
      <c r="R629" s="24">
        <f>IF(AND(L629=1,OR(Dashboard!$C$13="All",A629=Dashboard!$C$13),OR(Dashboard!$C$14="All",B629=Dashboard!$C$14),OR(Dashboard!$C$15="All",C629=Dashboard!$C$15),OR(Dashboard!$C$16="All",K629=Dashboard!$C$16)),1,0)</f>
        <v>0</v>
      </c>
      <c r="S629" s="25" t="str">
        <f t="shared" si="3"/>
        <v/>
      </c>
    </row>
    <row r="630" ht="15.75" customHeight="1">
      <c r="A630" s="27"/>
      <c r="B630" s="27"/>
      <c r="C630" s="27"/>
      <c r="D630" s="27"/>
      <c r="E630" s="28"/>
      <c r="F630" s="28" t="str">
        <f t="shared" si="4"/>
        <v/>
      </c>
      <c r="G630" s="29"/>
      <c r="H630" s="27"/>
      <c r="I630" s="29" t="str">
        <f t="shared" si="5"/>
        <v/>
      </c>
      <c r="J630" s="27"/>
      <c r="K630" s="27"/>
      <c r="L630" s="25" t="str">
        <f>IF(A630="","",IF(OR(G630="",AND(G630&gt;=Dashboard!$C$18,G630&lt;=Dashboard!$C$19)),1,0))</f>
        <v/>
      </c>
      <c r="M630" s="24">
        <f>IF(AND(L630=1,OR(Dashboard!$C$13="All",A630=Dashboard!$C$13),OR(Dashboard!$C$14="All",B630=Dashboard!$C$14),OR(Dashboard!$C$15="All",C630=Dashboard!$C$15),OR(Dashboard!$C$16="All",K630=Dashboard!$C$16),OR(Dashboard!$C$17="All",J630=Dashboard!$C$17)),1,0)</f>
        <v>0</v>
      </c>
      <c r="N630" s="24">
        <f>IF(AND(L630=1,OR(Dashboard!$C$13="All",A630=Dashboard!$C$13),OR(Dashboard!$C$14="All",B630=Dashboard!$C$14),OR(Dashboard!$C$16="All",K630=Dashboard!$C$16),OR(Dashboard!$C$17="All",J630=Dashboard!$C$17)),1,0)</f>
        <v>0</v>
      </c>
      <c r="O630" s="24">
        <f>IF(AND(L630=1,OR(Dashboard!$C$13="All",A630=Dashboard!$C$13),OR(Dashboard!$C$15="All",C630=Dashboard!$C$15),OR(Dashboard!$C$16="All",K630=Dashboard!$C$16),OR(Dashboard!$C$17="All",J630=Dashboard!$C$17)),1,0)</f>
        <v>0</v>
      </c>
      <c r="P630" s="24">
        <f>IF(AND(L630=1,OR(Dashboard!$C$13="All",A630=Dashboard!$C$13),OR(Dashboard!$C$14="All",B630=Dashboard!$C$14),OR(Dashboard!$C$15="All",C630=Dashboard!$C$15),OR(Dashboard!$C$17="All",J630=Dashboard!$C$17)),1,0)</f>
        <v>0</v>
      </c>
      <c r="Q630" s="24">
        <f>IF(AND(L630=1,OR(Dashboard!$C$14="All",B630=Dashboard!$C$14),OR(Dashboard!$C$15="All",C630=Dashboard!$C$15),OR(Dashboard!$C$16="All",K630=Dashboard!$C$16),OR(Dashboard!$C$17="All",J630=Dashboard!$C$17)),1,0)</f>
        <v>0</v>
      </c>
      <c r="R630" s="24">
        <f>IF(AND(L630=1,OR(Dashboard!$C$13="All",A630=Dashboard!$C$13),OR(Dashboard!$C$14="All",B630=Dashboard!$C$14),OR(Dashboard!$C$15="All",C630=Dashboard!$C$15),OR(Dashboard!$C$16="All",K630=Dashboard!$C$16)),1,0)</f>
        <v>0</v>
      </c>
      <c r="S630" s="25" t="str">
        <f t="shared" si="3"/>
        <v/>
      </c>
    </row>
    <row r="631" ht="15.75" customHeight="1">
      <c r="A631" s="27"/>
      <c r="B631" s="27"/>
      <c r="C631" s="27"/>
      <c r="D631" s="27"/>
      <c r="E631" s="28"/>
      <c r="F631" s="28" t="str">
        <f t="shared" si="4"/>
        <v/>
      </c>
      <c r="G631" s="29"/>
      <c r="H631" s="27"/>
      <c r="I631" s="29" t="str">
        <f t="shared" si="5"/>
        <v/>
      </c>
      <c r="J631" s="27"/>
      <c r="K631" s="27"/>
      <c r="L631" s="25" t="str">
        <f>IF(A631="","",IF(OR(G631="",AND(G631&gt;=Dashboard!$C$18,G631&lt;=Dashboard!$C$19)),1,0))</f>
        <v/>
      </c>
      <c r="M631" s="24">
        <f>IF(AND(L631=1,OR(Dashboard!$C$13="All",A631=Dashboard!$C$13),OR(Dashboard!$C$14="All",B631=Dashboard!$C$14),OR(Dashboard!$C$15="All",C631=Dashboard!$C$15),OR(Dashboard!$C$16="All",K631=Dashboard!$C$16),OR(Dashboard!$C$17="All",J631=Dashboard!$C$17)),1,0)</f>
        <v>0</v>
      </c>
      <c r="N631" s="24">
        <f>IF(AND(L631=1,OR(Dashboard!$C$13="All",A631=Dashboard!$C$13),OR(Dashboard!$C$14="All",B631=Dashboard!$C$14),OR(Dashboard!$C$16="All",K631=Dashboard!$C$16),OR(Dashboard!$C$17="All",J631=Dashboard!$C$17)),1,0)</f>
        <v>0</v>
      </c>
      <c r="O631" s="24">
        <f>IF(AND(L631=1,OR(Dashboard!$C$13="All",A631=Dashboard!$C$13),OR(Dashboard!$C$15="All",C631=Dashboard!$C$15),OR(Dashboard!$C$16="All",K631=Dashboard!$C$16),OR(Dashboard!$C$17="All",J631=Dashboard!$C$17)),1,0)</f>
        <v>0</v>
      </c>
      <c r="P631" s="24">
        <f>IF(AND(L631=1,OR(Dashboard!$C$13="All",A631=Dashboard!$C$13),OR(Dashboard!$C$14="All",B631=Dashboard!$C$14),OR(Dashboard!$C$15="All",C631=Dashboard!$C$15),OR(Dashboard!$C$17="All",J631=Dashboard!$C$17)),1,0)</f>
        <v>0</v>
      </c>
      <c r="Q631" s="24">
        <f>IF(AND(L631=1,OR(Dashboard!$C$14="All",B631=Dashboard!$C$14),OR(Dashboard!$C$15="All",C631=Dashboard!$C$15),OR(Dashboard!$C$16="All",K631=Dashboard!$C$16),OR(Dashboard!$C$17="All",J631=Dashboard!$C$17)),1,0)</f>
        <v>0</v>
      </c>
      <c r="R631" s="24">
        <f>IF(AND(L631=1,OR(Dashboard!$C$13="All",A631=Dashboard!$C$13),OR(Dashboard!$C$14="All",B631=Dashboard!$C$14),OR(Dashboard!$C$15="All",C631=Dashboard!$C$15),OR(Dashboard!$C$16="All",K631=Dashboard!$C$16)),1,0)</f>
        <v>0</v>
      </c>
      <c r="S631" s="25" t="str">
        <f t="shared" si="3"/>
        <v/>
      </c>
    </row>
    <row r="632" ht="15.75" customHeight="1">
      <c r="A632" s="27"/>
      <c r="B632" s="27"/>
      <c r="C632" s="27"/>
      <c r="D632" s="27"/>
      <c r="E632" s="28"/>
      <c r="F632" s="28" t="str">
        <f t="shared" si="4"/>
        <v/>
      </c>
      <c r="G632" s="29"/>
      <c r="H632" s="27"/>
      <c r="I632" s="29" t="str">
        <f t="shared" si="5"/>
        <v/>
      </c>
      <c r="J632" s="27"/>
      <c r="K632" s="27"/>
      <c r="L632" s="25" t="str">
        <f>IF(A632="","",IF(OR(G632="",AND(G632&gt;=Dashboard!$C$18,G632&lt;=Dashboard!$C$19)),1,0))</f>
        <v/>
      </c>
      <c r="M632" s="24">
        <f>IF(AND(L632=1,OR(Dashboard!$C$13="All",A632=Dashboard!$C$13),OR(Dashboard!$C$14="All",B632=Dashboard!$C$14),OR(Dashboard!$C$15="All",C632=Dashboard!$C$15),OR(Dashboard!$C$16="All",K632=Dashboard!$C$16),OR(Dashboard!$C$17="All",J632=Dashboard!$C$17)),1,0)</f>
        <v>0</v>
      </c>
      <c r="N632" s="24">
        <f>IF(AND(L632=1,OR(Dashboard!$C$13="All",A632=Dashboard!$C$13),OR(Dashboard!$C$14="All",B632=Dashboard!$C$14),OR(Dashboard!$C$16="All",K632=Dashboard!$C$16),OR(Dashboard!$C$17="All",J632=Dashboard!$C$17)),1,0)</f>
        <v>0</v>
      </c>
      <c r="O632" s="24">
        <f>IF(AND(L632=1,OR(Dashboard!$C$13="All",A632=Dashboard!$C$13),OR(Dashboard!$C$15="All",C632=Dashboard!$C$15),OR(Dashboard!$C$16="All",K632=Dashboard!$C$16),OR(Dashboard!$C$17="All",J632=Dashboard!$C$17)),1,0)</f>
        <v>0</v>
      </c>
      <c r="P632" s="24">
        <f>IF(AND(L632=1,OR(Dashboard!$C$13="All",A632=Dashboard!$C$13),OR(Dashboard!$C$14="All",B632=Dashboard!$C$14),OR(Dashboard!$C$15="All",C632=Dashboard!$C$15),OR(Dashboard!$C$17="All",J632=Dashboard!$C$17)),1,0)</f>
        <v>0</v>
      </c>
      <c r="Q632" s="24">
        <f>IF(AND(L632=1,OR(Dashboard!$C$14="All",B632=Dashboard!$C$14),OR(Dashboard!$C$15="All",C632=Dashboard!$C$15),OR(Dashboard!$C$16="All",K632=Dashboard!$C$16),OR(Dashboard!$C$17="All",J632=Dashboard!$C$17)),1,0)</f>
        <v>0</v>
      </c>
      <c r="R632" s="24">
        <f>IF(AND(L632=1,OR(Dashboard!$C$13="All",A632=Dashboard!$C$13),OR(Dashboard!$C$14="All",B632=Dashboard!$C$14),OR(Dashboard!$C$15="All",C632=Dashboard!$C$15),OR(Dashboard!$C$16="All",K632=Dashboard!$C$16)),1,0)</f>
        <v>0</v>
      </c>
      <c r="S632" s="25" t="str">
        <f t="shared" si="3"/>
        <v/>
      </c>
    </row>
    <row r="633" ht="15.75" customHeight="1">
      <c r="A633" s="27"/>
      <c r="B633" s="27"/>
      <c r="C633" s="27"/>
      <c r="D633" s="27"/>
      <c r="E633" s="28"/>
      <c r="F633" s="28" t="str">
        <f t="shared" si="4"/>
        <v/>
      </c>
      <c r="G633" s="29"/>
      <c r="H633" s="27"/>
      <c r="I633" s="29" t="str">
        <f t="shared" si="5"/>
        <v/>
      </c>
      <c r="J633" s="27"/>
      <c r="K633" s="27"/>
      <c r="L633" s="25" t="str">
        <f>IF(A633="","",IF(OR(G633="",AND(G633&gt;=Dashboard!$C$18,G633&lt;=Dashboard!$C$19)),1,0))</f>
        <v/>
      </c>
      <c r="M633" s="24">
        <f>IF(AND(L633=1,OR(Dashboard!$C$13="All",A633=Dashboard!$C$13),OR(Dashboard!$C$14="All",B633=Dashboard!$C$14),OR(Dashboard!$C$15="All",C633=Dashboard!$C$15),OR(Dashboard!$C$16="All",K633=Dashboard!$C$16),OR(Dashboard!$C$17="All",J633=Dashboard!$C$17)),1,0)</f>
        <v>0</v>
      </c>
      <c r="N633" s="24">
        <f>IF(AND(L633=1,OR(Dashboard!$C$13="All",A633=Dashboard!$C$13),OR(Dashboard!$C$14="All",B633=Dashboard!$C$14),OR(Dashboard!$C$16="All",K633=Dashboard!$C$16),OR(Dashboard!$C$17="All",J633=Dashboard!$C$17)),1,0)</f>
        <v>0</v>
      </c>
      <c r="O633" s="24">
        <f>IF(AND(L633=1,OR(Dashboard!$C$13="All",A633=Dashboard!$C$13),OR(Dashboard!$C$15="All",C633=Dashboard!$C$15),OR(Dashboard!$C$16="All",K633=Dashboard!$C$16),OR(Dashboard!$C$17="All",J633=Dashboard!$C$17)),1,0)</f>
        <v>0</v>
      </c>
      <c r="P633" s="24">
        <f>IF(AND(L633=1,OR(Dashboard!$C$13="All",A633=Dashboard!$C$13),OR(Dashboard!$C$14="All",B633=Dashboard!$C$14),OR(Dashboard!$C$15="All",C633=Dashboard!$C$15),OR(Dashboard!$C$17="All",J633=Dashboard!$C$17)),1,0)</f>
        <v>0</v>
      </c>
      <c r="Q633" s="24">
        <f>IF(AND(L633=1,OR(Dashboard!$C$14="All",B633=Dashboard!$C$14),OR(Dashboard!$C$15="All",C633=Dashboard!$C$15),OR(Dashboard!$C$16="All",K633=Dashboard!$C$16),OR(Dashboard!$C$17="All",J633=Dashboard!$C$17)),1,0)</f>
        <v>0</v>
      </c>
      <c r="R633" s="24">
        <f>IF(AND(L633=1,OR(Dashboard!$C$13="All",A633=Dashboard!$C$13),OR(Dashboard!$C$14="All",B633=Dashboard!$C$14),OR(Dashboard!$C$15="All",C633=Dashboard!$C$15),OR(Dashboard!$C$16="All",K633=Dashboard!$C$16)),1,0)</f>
        <v>0</v>
      </c>
      <c r="S633" s="25" t="str">
        <f t="shared" si="3"/>
        <v/>
      </c>
    </row>
    <row r="634" ht="15.75" customHeight="1">
      <c r="A634" s="27"/>
      <c r="B634" s="27"/>
      <c r="C634" s="27"/>
      <c r="D634" s="27"/>
      <c r="E634" s="28"/>
      <c r="F634" s="28" t="str">
        <f t="shared" si="4"/>
        <v/>
      </c>
      <c r="G634" s="29"/>
      <c r="H634" s="27"/>
      <c r="I634" s="29" t="str">
        <f t="shared" si="5"/>
        <v/>
      </c>
      <c r="J634" s="27"/>
      <c r="K634" s="27"/>
      <c r="L634" s="25" t="str">
        <f>IF(A634="","",IF(OR(G634="",AND(G634&gt;=Dashboard!$C$18,G634&lt;=Dashboard!$C$19)),1,0))</f>
        <v/>
      </c>
      <c r="M634" s="24">
        <f>IF(AND(L634=1,OR(Dashboard!$C$13="All",A634=Dashboard!$C$13),OR(Dashboard!$C$14="All",B634=Dashboard!$C$14),OR(Dashboard!$C$15="All",C634=Dashboard!$C$15),OR(Dashboard!$C$16="All",K634=Dashboard!$C$16),OR(Dashboard!$C$17="All",J634=Dashboard!$C$17)),1,0)</f>
        <v>0</v>
      </c>
      <c r="N634" s="24">
        <f>IF(AND(L634=1,OR(Dashboard!$C$13="All",A634=Dashboard!$C$13),OR(Dashboard!$C$14="All",B634=Dashboard!$C$14),OR(Dashboard!$C$16="All",K634=Dashboard!$C$16),OR(Dashboard!$C$17="All",J634=Dashboard!$C$17)),1,0)</f>
        <v>0</v>
      </c>
      <c r="O634" s="24">
        <f>IF(AND(L634=1,OR(Dashboard!$C$13="All",A634=Dashboard!$C$13),OR(Dashboard!$C$15="All",C634=Dashboard!$C$15),OR(Dashboard!$C$16="All",K634=Dashboard!$C$16),OR(Dashboard!$C$17="All",J634=Dashboard!$C$17)),1,0)</f>
        <v>0</v>
      </c>
      <c r="P634" s="24">
        <f>IF(AND(L634=1,OR(Dashboard!$C$13="All",A634=Dashboard!$C$13),OR(Dashboard!$C$14="All",B634=Dashboard!$C$14),OR(Dashboard!$C$15="All",C634=Dashboard!$C$15),OR(Dashboard!$C$17="All",J634=Dashboard!$C$17)),1,0)</f>
        <v>0</v>
      </c>
      <c r="Q634" s="24">
        <f>IF(AND(L634=1,OR(Dashboard!$C$14="All",B634=Dashboard!$C$14),OR(Dashboard!$C$15="All",C634=Dashboard!$C$15),OR(Dashboard!$C$16="All",K634=Dashboard!$C$16),OR(Dashboard!$C$17="All",J634=Dashboard!$C$17)),1,0)</f>
        <v>0</v>
      </c>
      <c r="R634" s="24">
        <f>IF(AND(L634=1,OR(Dashboard!$C$13="All",A634=Dashboard!$C$13),OR(Dashboard!$C$14="All",B634=Dashboard!$C$14),OR(Dashboard!$C$15="All",C634=Dashboard!$C$15),OR(Dashboard!$C$16="All",K634=Dashboard!$C$16)),1,0)</f>
        <v>0</v>
      </c>
      <c r="S634" s="25" t="str">
        <f t="shared" si="3"/>
        <v/>
      </c>
    </row>
    <row r="635" ht="15.75" customHeight="1">
      <c r="A635" s="27"/>
      <c r="B635" s="27"/>
      <c r="C635" s="27"/>
      <c r="D635" s="27"/>
      <c r="E635" s="28"/>
      <c r="F635" s="28" t="str">
        <f t="shared" si="4"/>
        <v/>
      </c>
      <c r="G635" s="29"/>
      <c r="H635" s="27"/>
      <c r="I635" s="29" t="str">
        <f t="shared" si="5"/>
        <v/>
      </c>
      <c r="J635" s="27"/>
      <c r="K635" s="27"/>
      <c r="L635" s="25" t="str">
        <f>IF(A635="","",IF(OR(G635="",AND(G635&gt;=Dashboard!$C$18,G635&lt;=Dashboard!$C$19)),1,0))</f>
        <v/>
      </c>
      <c r="M635" s="24">
        <f>IF(AND(L635=1,OR(Dashboard!$C$13="All",A635=Dashboard!$C$13),OR(Dashboard!$C$14="All",B635=Dashboard!$C$14),OR(Dashboard!$C$15="All",C635=Dashboard!$C$15),OR(Dashboard!$C$16="All",K635=Dashboard!$C$16),OR(Dashboard!$C$17="All",J635=Dashboard!$C$17)),1,0)</f>
        <v>0</v>
      </c>
      <c r="N635" s="24">
        <f>IF(AND(L635=1,OR(Dashboard!$C$13="All",A635=Dashboard!$C$13),OR(Dashboard!$C$14="All",B635=Dashboard!$C$14),OR(Dashboard!$C$16="All",K635=Dashboard!$C$16),OR(Dashboard!$C$17="All",J635=Dashboard!$C$17)),1,0)</f>
        <v>0</v>
      </c>
      <c r="O635" s="24">
        <f>IF(AND(L635=1,OR(Dashboard!$C$13="All",A635=Dashboard!$C$13),OR(Dashboard!$C$15="All",C635=Dashboard!$C$15),OR(Dashboard!$C$16="All",K635=Dashboard!$C$16),OR(Dashboard!$C$17="All",J635=Dashboard!$C$17)),1,0)</f>
        <v>0</v>
      </c>
      <c r="P635" s="24">
        <f>IF(AND(L635=1,OR(Dashboard!$C$13="All",A635=Dashboard!$C$13),OR(Dashboard!$C$14="All",B635=Dashboard!$C$14),OR(Dashboard!$C$15="All",C635=Dashboard!$C$15),OR(Dashboard!$C$17="All",J635=Dashboard!$C$17)),1,0)</f>
        <v>0</v>
      </c>
      <c r="Q635" s="24">
        <f>IF(AND(L635=1,OR(Dashboard!$C$14="All",B635=Dashboard!$C$14),OR(Dashboard!$C$15="All",C635=Dashboard!$C$15),OR(Dashboard!$C$16="All",K635=Dashboard!$C$16),OR(Dashboard!$C$17="All",J635=Dashboard!$C$17)),1,0)</f>
        <v>0</v>
      </c>
      <c r="R635" s="24">
        <f>IF(AND(L635=1,OR(Dashboard!$C$13="All",A635=Dashboard!$C$13),OR(Dashboard!$C$14="All",B635=Dashboard!$C$14),OR(Dashboard!$C$15="All",C635=Dashboard!$C$15),OR(Dashboard!$C$16="All",K635=Dashboard!$C$16)),1,0)</f>
        <v>0</v>
      </c>
      <c r="S635" s="25" t="str">
        <f t="shared" si="3"/>
        <v/>
      </c>
    </row>
    <row r="636" ht="15.75" customHeight="1">
      <c r="A636" s="27"/>
      <c r="B636" s="27"/>
      <c r="C636" s="27"/>
      <c r="D636" s="27"/>
      <c r="E636" s="28"/>
      <c r="F636" s="28" t="str">
        <f t="shared" si="4"/>
        <v/>
      </c>
      <c r="G636" s="29"/>
      <c r="H636" s="27"/>
      <c r="I636" s="29" t="str">
        <f t="shared" si="5"/>
        <v/>
      </c>
      <c r="J636" s="27"/>
      <c r="K636" s="27"/>
      <c r="L636" s="25" t="str">
        <f>IF(A636="","",IF(OR(G636="",AND(G636&gt;=Dashboard!$C$18,G636&lt;=Dashboard!$C$19)),1,0))</f>
        <v/>
      </c>
      <c r="M636" s="24">
        <f>IF(AND(L636=1,OR(Dashboard!$C$13="All",A636=Dashboard!$C$13),OR(Dashboard!$C$14="All",B636=Dashboard!$C$14),OR(Dashboard!$C$15="All",C636=Dashboard!$C$15),OR(Dashboard!$C$16="All",K636=Dashboard!$C$16),OR(Dashboard!$C$17="All",J636=Dashboard!$C$17)),1,0)</f>
        <v>0</v>
      </c>
      <c r="N636" s="24">
        <f>IF(AND(L636=1,OR(Dashboard!$C$13="All",A636=Dashboard!$C$13),OR(Dashboard!$C$14="All",B636=Dashboard!$C$14),OR(Dashboard!$C$16="All",K636=Dashboard!$C$16),OR(Dashboard!$C$17="All",J636=Dashboard!$C$17)),1,0)</f>
        <v>0</v>
      </c>
      <c r="O636" s="24">
        <f>IF(AND(L636=1,OR(Dashboard!$C$13="All",A636=Dashboard!$C$13),OR(Dashboard!$C$15="All",C636=Dashboard!$C$15),OR(Dashboard!$C$16="All",K636=Dashboard!$C$16),OR(Dashboard!$C$17="All",J636=Dashboard!$C$17)),1,0)</f>
        <v>0</v>
      </c>
      <c r="P636" s="24">
        <f>IF(AND(L636=1,OR(Dashboard!$C$13="All",A636=Dashboard!$C$13),OR(Dashboard!$C$14="All",B636=Dashboard!$C$14),OR(Dashboard!$C$15="All",C636=Dashboard!$C$15),OR(Dashboard!$C$17="All",J636=Dashboard!$C$17)),1,0)</f>
        <v>0</v>
      </c>
      <c r="Q636" s="24">
        <f>IF(AND(L636=1,OR(Dashboard!$C$14="All",B636=Dashboard!$C$14),OR(Dashboard!$C$15="All",C636=Dashboard!$C$15),OR(Dashboard!$C$16="All",K636=Dashboard!$C$16),OR(Dashboard!$C$17="All",J636=Dashboard!$C$17)),1,0)</f>
        <v>0</v>
      </c>
      <c r="R636" s="24">
        <f>IF(AND(L636=1,OR(Dashboard!$C$13="All",A636=Dashboard!$C$13),OR(Dashboard!$C$14="All",B636=Dashboard!$C$14),OR(Dashboard!$C$15="All",C636=Dashboard!$C$15),OR(Dashboard!$C$16="All",K636=Dashboard!$C$16)),1,0)</f>
        <v>0</v>
      </c>
      <c r="S636" s="25" t="str">
        <f t="shared" si="3"/>
        <v/>
      </c>
    </row>
    <row r="637" ht="15.75" customHeight="1">
      <c r="A637" s="27"/>
      <c r="B637" s="27"/>
      <c r="C637" s="27"/>
      <c r="D637" s="27"/>
      <c r="E637" s="28"/>
      <c r="F637" s="28" t="str">
        <f t="shared" si="4"/>
        <v/>
      </c>
      <c r="G637" s="29"/>
      <c r="H637" s="27"/>
      <c r="I637" s="29" t="str">
        <f t="shared" si="5"/>
        <v/>
      </c>
      <c r="J637" s="27"/>
      <c r="K637" s="27"/>
      <c r="L637" s="25" t="str">
        <f>IF(A637="","",IF(OR(G637="",AND(G637&gt;=Dashboard!$C$18,G637&lt;=Dashboard!$C$19)),1,0))</f>
        <v/>
      </c>
      <c r="M637" s="24">
        <f>IF(AND(L637=1,OR(Dashboard!$C$13="All",A637=Dashboard!$C$13),OR(Dashboard!$C$14="All",B637=Dashboard!$C$14),OR(Dashboard!$C$15="All",C637=Dashboard!$C$15),OR(Dashboard!$C$16="All",K637=Dashboard!$C$16),OR(Dashboard!$C$17="All",J637=Dashboard!$C$17)),1,0)</f>
        <v>0</v>
      </c>
      <c r="N637" s="24">
        <f>IF(AND(L637=1,OR(Dashboard!$C$13="All",A637=Dashboard!$C$13),OR(Dashboard!$C$14="All",B637=Dashboard!$C$14),OR(Dashboard!$C$16="All",K637=Dashboard!$C$16),OR(Dashboard!$C$17="All",J637=Dashboard!$C$17)),1,0)</f>
        <v>0</v>
      </c>
      <c r="O637" s="24">
        <f>IF(AND(L637=1,OR(Dashboard!$C$13="All",A637=Dashboard!$C$13),OR(Dashboard!$C$15="All",C637=Dashboard!$C$15),OR(Dashboard!$C$16="All",K637=Dashboard!$C$16),OR(Dashboard!$C$17="All",J637=Dashboard!$C$17)),1,0)</f>
        <v>0</v>
      </c>
      <c r="P637" s="24">
        <f>IF(AND(L637=1,OR(Dashboard!$C$13="All",A637=Dashboard!$C$13),OR(Dashboard!$C$14="All",B637=Dashboard!$C$14),OR(Dashboard!$C$15="All",C637=Dashboard!$C$15),OR(Dashboard!$C$17="All",J637=Dashboard!$C$17)),1,0)</f>
        <v>0</v>
      </c>
      <c r="Q637" s="24">
        <f>IF(AND(L637=1,OR(Dashboard!$C$14="All",B637=Dashboard!$C$14),OR(Dashboard!$C$15="All",C637=Dashboard!$C$15),OR(Dashboard!$C$16="All",K637=Dashboard!$C$16),OR(Dashboard!$C$17="All",J637=Dashboard!$C$17)),1,0)</f>
        <v>0</v>
      </c>
      <c r="R637" s="24">
        <f>IF(AND(L637=1,OR(Dashboard!$C$13="All",A637=Dashboard!$C$13),OR(Dashboard!$C$14="All",B637=Dashboard!$C$14),OR(Dashboard!$C$15="All",C637=Dashboard!$C$15),OR(Dashboard!$C$16="All",K637=Dashboard!$C$16)),1,0)</f>
        <v>0</v>
      </c>
      <c r="S637" s="25" t="str">
        <f t="shared" si="3"/>
        <v/>
      </c>
    </row>
    <row r="638" ht="15.75" customHeight="1">
      <c r="A638" s="27"/>
      <c r="B638" s="27"/>
      <c r="C638" s="27"/>
      <c r="D638" s="27"/>
      <c r="E638" s="28"/>
      <c r="F638" s="28" t="str">
        <f t="shared" si="4"/>
        <v/>
      </c>
      <c r="G638" s="29"/>
      <c r="H638" s="27"/>
      <c r="I638" s="29" t="str">
        <f t="shared" si="5"/>
        <v/>
      </c>
      <c r="J638" s="27"/>
      <c r="K638" s="27"/>
      <c r="L638" s="25" t="str">
        <f>IF(A638="","",IF(OR(G638="",AND(G638&gt;=Dashboard!$C$18,G638&lt;=Dashboard!$C$19)),1,0))</f>
        <v/>
      </c>
      <c r="M638" s="24">
        <f>IF(AND(L638=1,OR(Dashboard!$C$13="All",A638=Dashboard!$C$13),OR(Dashboard!$C$14="All",B638=Dashboard!$C$14),OR(Dashboard!$C$15="All",C638=Dashboard!$C$15),OR(Dashboard!$C$16="All",K638=Dashboard!$C$16),OR(Dashboard!$C$17="All",J638=Dashboard!$C$17)),1,0)</f>
        <v>0</v>
      </c>
      <c r="N638" s="24">
        <f>IF(AND(L638=1,OR(Dashboard!$C$13="All",A638=Dashboard!$C$13),OR(Dashboard!$C$14="All",B638=Dashboard!$C$14),OR(Dashboard!$C$16="All",K638=Dashboard!$C$16),OR(Dashboard!$C$17="All",J638=Dashboard!$C$17)),1,0)</f>
        <v>0</v>
      </c>
      <c r="O638" s="24">
        <f>IF(AND(L638=1,OR(Dashboard!$C$13="All",A638=Dashboard!$C$13),OR(Dashboard!$C$15="All",C638=Dashboard!$C$15),OR(Dashboard!$C$16="All",K638=Dashboard!$C$16),OR(Dashboard!$C$17="All",J638=Dashboard!$C$17)),1,0)</f>
        <v>0</v>
      </c>
      <c r="P638" s="24">
        <f>IF(AND(L638=1,OR(Dashboard!$C$13="All",A638=Dashboard!$C$13),OR(Dashboard!$C$14="All",B638=Dashboard!$C$14),OR(Dashboard!$C$15="All",C638=Dashboard!$C$15),OR(Dashboard!$C$17="All",J638=Dashboard!$C$17)),1,0)</f>
        <v>0</v>
      </c>
      <c r="Q638" s="24">
        <f>IF(AND(L638=1,OR(Dashboard!$C$14="All",B638=Dashboard!$C$14),OR(Dashboard!$C$15="All",C638=Dashboard!$C$15),OR(Dashboard!$C$16="All",K638=Dashboard!$C$16),OR(Dashboard!$C$17="All",J638=Dashboard!$C$17)),1,0)</f>
        <v>0</v>
      </c>
      <c r="R638" s="24">
        <f>IF(AND(L638=1,OR(Dashboard!$C$13="All",A638=Dashboard!$C$13),OR(Dashboard!$C$14="All",B638=Dashboard!$C$14),OR(Dashboard!$C$15="All",C638=Dashboard!$C$15),OR(Dashboard!$C$16="All",K638=Dashboard!$C$16)),1,0)</f>
        <v>0</v>
      </c>
      <c r="S638" s="25" t="str">
        <f t="shared" si="3"/>
        <v/>
      </c>
    </row>
    <row r="639" ht="15.75" customHeight="1">
      <c r="A639" s="27"/>
      <c r="B639" s="27"/>
      <c r="C639" s="27"/>
      <c r="D639" s="27"/>
      <c r="E639" s="28"/>
      <c r="F639" s="28" t="str">
        <f t="shared" si="4"/>
        <v/>
      </c>
      <c r="G639" s="29"/>
      <c r="H639" s="27"/>
      <c r="I639" s="29" t="str">
        <f t="shared" si="5"/>
        <v/>
      </c>
      <c r="J639" s="27"/>
      <c r="K639" s="27"/>
      <c r="L639" s="25" t="str">
        <f>IF(A639="","",IF(OR(G639="",AND(G639&gt;=Dashboard!$C$18,G639&lt;=Dashboard!$C$19)),1,0))</f>
        <v/>
      </c>
      <c r="M639" s="24">
        <f>IF(AND(L639=1,OR(Dashboard!$C$13="All",A639=Dashboard!$C$13),OR(Dashboard!$C$14="All",B639=Dashboard!$C$14),OR(Dashboard!$C$15="All",C639=Dashboard!$C$15),OR(Dashboard!$C$16="All",K639=Dashboard!$C$16),OR(Dashboard!$C$17="All",J639=Dashboard!$C$17)),1,0)</f>
        <v>0</v>
      </c>
      <c r="N639" s="24">
        <f>IF(AND(L639=1,OR(Dashboard!$C$13="All",A639=Dashboard!$C$13),OR(Dashboard!$C$14="All",B639=Dashboard!$C$14),OR(Dashboard!$C$16="All",K639=Dashboard!$C$16),OR(Dashboard!$C$17="All",J639=Dashboard!$C$17)),1,0)</f>
        <v>0</v>
      </c>
      <c r="O639" s="24">
        <f>IF(AND(L639=1,OR(Dashboard!$C$13="All",A639=Dashboard!$C$13),OR(Dashboard!$C$15="All",C639=Dashboard!$C$15),OR(Dashboard!$C$16="All",K639=Dashboard!$C$16),OR(Dashboard!$C$17="All",J639=Dashboard!$C$17)),1,0)</f>
        <v>0</v>
      </c>
      <c r="P639" s="24">
        <f>IF(AND(L639=1,OR(Dashboard!$C$13="All",A639=Dashboard!$C$13),OR(Dashboard!$C$14="All",B639=Dashboard!$C$14),OR(Dashboard!$C$15="All",C639=Dashboard!$C$15),OR(Dashboard!$C$17="All",J639=Dashboard!$C$17)),1,0)</f>
        <v>0</v>
      </c>
      <c r="Q639" s="24">
        <f>IF(AND(L639=1,OR(Dashboard!$C$14="All",B639=Dashboard!$C$14),OR(Dashboard!$C$15="All",C639=Dashboard!$C$15),OR(Dashboard!$C$16="All",K639=Dashboard!$C$16),OR(Dashboard!$C$17="All",J639=Dashboard!$C$17)),1,0)</f>
        <v>0</v>
      </c>
      <c r="R639" s="24">
        <f>IF(AND(L639=1,OR(Dashboard!$C$13="All",A639=Dashboard!$C$13),OR(Dashboard!$C$14="All",B639=Dashboard!$C$14),OR(Dashboard!$C$15="All",C639=Dashboard!$C$15),OR(Dashboard!$C$16="All",K639=Dashboard!$C$16)),1,0)</f>
        <v>0</v>
      </c>
      <c r="S639" s="25" t="str">
        <f t="shared" si="3"/>
        <v/>
      </c>
    </row>
    <row r="640" ht="15.75" customHeight="1">
      <c r="A640" s="27"/>
      <c r="B640" s="27"/>
      <c r="C640" s="27"/>
      <c r="D640" s="27"/>
      <c r="E640" s="28"/>
      <c r="F640" s="28" t="str">
        <f t="shared" si="4"/>
        <v/>
      </c>
      <c r="G640" s="29"/>
      <c r="H640" s="27"/>
      <c r="I640" s="29" t="str">
        <f t="shared" si="5"/>
        <v/>
      </c>
      <c r="J640" s="27"/>
      <c r="K640" s="27"/>
      <c r="L640" s="25" t="str">
        <f>IF(A640="","",IF(OR(G640="",AND(G640&gt;=Dashboard!$C$18,G640&lt;=Dashboard!$C$19)),1,0))</f>
        <v/>
      </c>
      <c r="M640" s="24">
        <f>IF(AND(L640=1,OR(Dashboard!$C$13="All",A640=Dashboard!$C$13),OR(Dashboard!$C$14="All",B640=Dashboard!$C$14),OR(Dashboard!$C$15="All",C640=Dashboard!$C$15),OR(Dashboard!$C$16="All",K640=Dashboard!$C$16),OR(Dashboard!$C$17="All",J640=Dashboard!$C$17)),1,0)</f>
        <v>0</v>
      </c>
      <c r="N640" s="24">
        <f>IF(AND(L640=1,OR(Dashboard!$C$13="All",A640=Dashboard!$C$13),OR(Dashboard!$C$14="All",B640=Dashboard!$C$14),OR(Dashboard!$C$16="All",K640=Dashboard!$C$16),OR(Dashboard!$C$17="All",J640=Dashboard!$C$17)),1,0)</f>
        <v>0</v>
      </c>
      <c r="O640" s="24">
        <f>IF(AND(L640=1,OR(Dashboard!$C$13="All",A640=Dashboard!$C$13),OR(Dashboard!$C$15="All",C640=Dashboard!$C$15),OR(Dashboard!$C$16="All",K640=Dashboard!$C$16),OR(Dashboard!$C$17="All",J640=Dashboard!$C$17)),1,0)</f>
        <v>0</v>
      </c>
      <c r="P640" s="24">
        <f>IF(AND(L640=1,OR(Dashboard!$C$13="All",A640=Dashboard!$C$13),OR(Dashboard!$C$14="All",B640=Dashboard!$C$14),OR(Dashboard!$C$15="All",C640=Dashboard!$C$15),OR(Dashboard!$C$17="All",J640=Dashboard!$C$17)),1,0)</f>
        <v>0</v>
      </c>
      <c r="Q640" s="24">
        <f>IF(AND(L640=1,OR(Dashboard!$C$14="All",B640=Dashboard!$C$14),OR(Dashboard!$C$15="All",C640=Dashboard!$C$15),OR(Dashboard!$C$16="All",K640=Dashboard!$C$16),OR(Dashboard!$C$17="All",J640=Dashboard!$C$17)),1,0)</f>
        <v>0</v>
      </c>
      <c r="R640" s="24">
        <f>IF(AND(L640=1,OR(Dashboard!$C$13="All",A640=Dashboard!$C$13),OR(Dashboard!$C$14="All",B640=Dashboard!$C$14),OR(Dashboard!$C$15="All",C640=Dashboard!$C$15),OR(Dashboard!$C$16="All",K640=Dashboard!$C$16)),1,0)</f>
        <v>0</v>
      </c>
      <c r="S640" s="25" t="str">
        <f t="shared" si="3"/>
        <v/>
      </c>
    </row>
    <row r="641" ht="15.75" customHeight="1">
      <c r="A641" s="27"/>
      <c r="B641" s="27"/>
      <c r="C641" s="27"/>
      <c r="D641" s="27"/>
      <c r="E641" s="28"/>
      <c r="F641" s="28" t="str">
        <f t="shared" si="4"/>
        <v/>
      </c>
      <c r="G641" s="29"/>
      <c r="H641" s="27"/>
      <c r="I641" s="29" t="str">
        <f t="shared" si="5"/>
        <v/>
      </c>
      <c r="J641" s="27"/>
      <c r="K641" s="27"/>
      <c r="L641" s="25" t="str">
        <f>IF(A641="","",IF(OR(G641="",AND(G641&gt;=Dashboard!$C$18,G641&lt;=Dashboard!$C$19)),1,0))</f>
        <v/>
      </c>
      <c r="M641" s="24">
        <f>IF(AND(L641=1,OR(Dashboard!$C$13="All",A641=Dashboard!$C$13),OR(Dashboard!$C$14="All",B641=Dashboard!$C$14),OR(Dashboard!$C$15="All",C641=Dashboard!$C$15),OR(Dashboard!$C$16="All",K641=Dashboard!$C$16),OR(Dashboard!$C$17="All",J641=Dashboard!$C$17)),1,0)</f>
        <v>0</v>
      </c>
      <c r="N641" s="24">
        <f>IF(AND(L641=1,OR(Dashboard!$C$13="All",A641=Dashboard!$C$13),OR(Dashboard!$C$14="All",B641=Dashboard!$C$14),OR(Dashboard!$C$16="All",K641=Dashboard!$C$16),OR(Dashboard!$C$17="All",J641=Dashboard!$C$17)),1,0)</f>
        <v>0</v>
      </c>
      <c r="O641" s="24">
        <f>IF(AND(L641=1,OR(Dashboard!$C$13="All",A641=Dashboard!$C$13),OR(Dashboard!$C$15="All",C641=Dashboard!$C$15),OR(Dashboard!$C$16="All",K641=Dashboard!$C$16),OR(Dashboard!$C$17="All",J641=Dashboard!$C$17)),1,0)</f>
        <v>0</v>
      </c>
      <c r="P641" s="24">
        <f>IF(AND(L641=1,OR(Dashboard!$C$13="All",A641=Dashboard!$C$13),OR(Dashboard!$C$14="All",B641=Dashboard!$C$14),OR(Dashboard!$C$15="All",C641=Dashboard!$C$15),OR(Dashboard!$C$17="All",J641=Dashboard!$C$17)),1,0)</f>
        <v>0</v>
      </c>
      <c r="Q641" s="24">
        <f>IF(AND(L641=1,OR(Dashboard!$C$14="All",B641=Dashboard!$C$14),OR(Dashboard!$C$15="All",C641=Dashboard!$C$15),OR(Dashboard!$C$16="All",K641=Dashboard!$C$16),OR(Dashboard!$C$17="All",J641=Dashboard!$C$17)),1,0)</f>
        <v>0</v>
      </c>
      <c r="R641" s="24">
        <f>IF(AND(L641=1,OR(Dashboard!$C$13="All",A641=Dashboard!$C$13),OR(Dashboard!$C$14="All",B641=Dashboard!$C$14),OR(Dashboard!$C$15="All",C641=Dashboard!$C$15),OR(Dashboard!$C$16="All",K641=Dashboard!$C$16)),1,0)</f>
        <v>0</v>
      </c>
      <c r="S641" s="25" t="str">
        <f t="shared" si="3"/>
        <v/>
      </c>
    </row>
    <row r="642" ht="15.75" customHeight="1">
      <c r="A642" s="27"/>
      <c r="B642" s="27"/>
      <c r="C642" s="27"/>
      <c r="D642" s="27"/>
      <c r="E642" s="28"/>
      <c r="F642" s="28" t="str">
        <f t="shared" si="4"/>
        <v/>
      </c>
      <c r="G642" s="29"/>
      <c r="H642" s="27"/>
      <c r="I642" s="29" t="str">
        <f t="shared" si="5"/>
        <v/>
      </c>
      <c r="J642" s="27"/>
      <c r="K642" s="27"/>
      <c r="L642" s="25" t="str">
        <f>IF(A642="","",IF(OR(G642="",AND(G642&gt;=Dashboard!$C$18,G642&lt;=Dashboard!$C$19)),1,0))</f>
        <v/>
      </c>
      <c r="M642" s="24">
        <f>IF(AND(L642=1,OR(Dashboard!$C$13="All",A642=Dashboard!$C$13),OR(Dashboard!$C$14="All",B642=Dashboard!$C$14),OR(Dashboard!$C$15="All",C642=Dashboard!$C$15),OR(Dashboard!$C$16="All",K642=Dashboard!$C$16),OR(Dashboard!$C$17="All",J642=Dashboard!$C$17)),1,0)</f>
        <v>0</v>
      </c>
      <c r="N642" s="24">
        <f>IF(AND(L642=1,OR(Dashboard!$C$13="All",A642=Dashboard!$C$13),OR(Dashboard!$C$14="All",B642=Dashboard!$C$14),OR(Dashboard!$C$16="All",K642=Dashboard!$C$16),OR(Dashboard!$C$17="All",J642=Dashboard!$C$17)),1,0)</f>
        <v>0</v>
      </c>
      <c r="O642" s="24">
        <f>IF(AND(L642=1,OR(Dashboard!$C$13="All",A642=Dashboard!$C$13),OR(Dashboard!$C$15="All",C642=Dashboard!$C$15),OR(Dashboard!$C$16="All",K642=Dashboard!$C$16),OR(Dashboard!$C$17="All",J642=Dashboard!$C$17)),1,0)</f>
        <v>0</v>
      </c>
      <c r="P642" s="24">
        <f>IF(AND(L642=1,OR(Dashboard!$C$13="All",A642=Dashboard!$C$13),OR(Dashboard!$C$14="All",B642=Dashboard!$C$14),OR(Dashboard!$C$15="All",C642=Dashboard!$C$15),OR(Dashboard!$C$17="All",J642=Dashboard!$C$17)),1,0)</f>
        <v>0</v>
      </c>
      <c r="Q642" s="24">
        <f>IF(AND(L642=1,OR(Dashboard!$C$14="All",B642=Dashboard!$C$14),OR(Dashboard!$C$15="All",C642=Dashboard!$C$15),OR(Dashboard!$C$16="All",K642=Dashboard!$C$16),OR(Dashboard!$C$17="All",J642=Dashboard!$C$17)),1,0)</f>
        <v>0</v>
      </c>
      <c r="R642" s="24">
        <f>IF(AND(L642=1,OR(Dashboard!$C$13="All",A642=Dashboard!$C$13),OR(Dashboard!$C$14="All",B642=Dashboard!$C$14),OR(Dashboard!$C$15="All",C642=Dashboard!$C$15),OR(Dashboard!$C$16="All",K642=Dashboard!$C$16)),1,0)</f>
        <v>0</v>
      </c>
      <c r="S642" s="25" t="str">
        <f t="shared" si="3"/>
        <v/>
      </c>
    </row>
    <row r="643" ht="15.75" customHeight="1">
      <c r="A643" s="27"/>
      <c r="B643" s="27"/>
      <c r="C643" s="27"/>
      <c r="D643" s="27"/>
      <c r="E643" s="28"/>
      <c r="F643" s="28" t="str">
        <f t="shared" si="4"/>
        <v/>
      </c>
      <c r="G643" s="29"/>
      <c r="H643" s="27"/>
      <c r="I643" s="29" t="str">
        <f t="shared" si="5"/>
        <v/>
      </c>
      <c r="J643" s="27"/>
      <c r="K643" s="27"/>
      <c r="L643" s="25" t="str">
        <f>IF(A643="","",IF(OR(G643="",AND(G643&gt;=Dashboard!$C$18,G643&lt;=Dashboard!$C$19)),1,0))</f>
        <v/>
      </c>
      <c r="M643" s="24">
        <f>IF(AND(L643=1,OR(Dashboard!$C$13="All",A643=Dashboard!$C$13),OR(Dashboard!$C$14="All",B643=Dashboard!$C$14),OR(Dashboard!$C$15="All",C643=Dashboard!$C$15),OR(Dashboard!$C$16="All",K643=Dashboard!$C$16),OR(Dashboard!$C$17="All",J643=Dashboard!$C$17)),1,0)</f>
        <v>0</v>
      </c>
      <c r="N643" s="24">
        <f>IF(AND(L643=1,OR(Dashboard!$C$13="All",A643=Dashboard!$C$13),OR(Dashboard!$C$14="All",B643=Dashboard!$C$14),OR(Dashboard!$C$16="All",K643=Dashboard!$C$16),OR(Dashboard!$C$17="All",J643=Dashboard!$C$17)),1,0)</f>
        <v>0</v>
      </c>
      <c r="O643" s="24">
        <f>IF(AND(L643=1,OR(Dashboard!$C$13="All",A643=Dashboard!$C$13),OR(Dashboard!$C$15="All",C643=Dashboard!$C$15),OR(Dashboard!$C$16="All",K643=Dashboard!$C$16),OR(Dashboard!$C$17="All",J643=Dashboard!$C$17)),1,0)</f>
        <v>0</v>
      </c>
      <c r="P643" s="24">
        <f>IF(AND(L643=1,OR(Dashboard!$C$13="All",A643=Dashboard!$C$13),OR(Dashboard!$C$14="All",B643=Dashboard!$C$14),OR(Dashboard!$C$15="All",C643=Dashboard!$C$15),OR(Dashboard!$C$17="All",J643=Dashboard!$C$17)),1,0)</f>
        <v>0</v>
      </c>
      <c r="Q643" s="24">
        <f>IF(AND(L643=1,OR(Dashboard!$C$14="All",B643=Dashboard!$C$14),OR(Dashboard!$C$15="All",C643=Dashboard!$C$15),OR(Dashboard!$C$16="All",K643=Dashboard!$C$16),OR(Dashboard!$C$17="All",J643=Dashboard!$C$17)),1,0)</f>
        <v>0</v>
      </c>
      <c r="R643" s="24">
        <f>IF(AND(L643=1,OR(Dashboard!$C$13="All",A643=Dashboard!$C$13),OR(Dashboard!$C$14="All",B643=Dashboard!$C$14),OR(Dashboard!$C$15="All",C643=Dashboard!$C$15),OR(Dashboard!$C$16="All",K643=Dashboard!$C$16)),1,0)</f>
        <v>0</v>
      </c>
      <c r="S643" s="25" t="str">
        <f t="shared" si="3"/>
        <v/>
      </c>
    </row>
    <row r="644" ht="15.75" customHeight="1">
      <c r="A644" s="27"/>
      <c r="B644" s="27"/>
      <c r="C644" s="27"/>
      <c r="D644" s="27"/>
      <c r="E644" s="28"/>
      <c r="F644" s="28" t="str">
        <f t="shared" si="4"/>
        <v/>
      </c>
      <c r="G644" s="29"/>
      <c r="H644" s="27"/>
      <c r="I644" s="29" t="str">
        <f t="shared" si="5"/>
        <v/>
      </c>
      <c r="J644" s="27"/>
      <c r="K644" s="27"/>
      <c r="L644" s="25" t="str">
        <f>IF(A644="","",IF(OR(G644="",AND(G644&gt;=Dashboard!$C$18,G644&lt;=Dashboard!$C$19)),1,0))</f>
        <v/>
      </c>
      <c r="M644" s="24">
        <f>IF(AND(L644=1,OR(Dashboard!$C$13="All",A644=Dashboard!$C$13),OR(Dashboard!$C$14="All",B644=Dashboard!$C$14),OR(Dashboard!$C$15="All",C644=Dashboard!$C$15),OR(Dashboard!$C$16="All",K644=Dashboard!$C$16),OR(Dashboard!$C$17="All",J644=Dashboard!$C$17)),1,0)</f>
        <v>0</v>
      </c>
      <c r="N644" s="24">
        <f>IF(AND(L644=1,OR(Dashboard!$C$13="All",A644=Dashboard!$C$13),OR(Dashboard!$C$14="All",B644=Dashboard!$C$14),OR(Dashboard!$C$16="All",K644=Dashboard!$C$16),OR(Dashboard!$C$17="All",J644=Dashboard!$C$17)),1,0)</f>
        <v>0</v>
      </c>
      <c r="O644" s="24">
        <f>IF(AND(L644=1,OR(Dashboard!$C$13="All",A644=Dashboard!$C$13),OR(Dashboard!$C$15="All",C644=Dashboard!$C$15),OR(Dashboard!$C$16="All",K644=Dashboard!$C$16),OR(Dashboard!$C$17="All",J644=Dashboard!$C$17)),1,0)</f>
        <v>0</v>
      </c>
      <c r="P644" s="24">
        <f>IF(AND(L644=1,OR(Dashboard!$C$13="All",A644=Dashboard!$C$13),OR(Dashboard!$C$14="All",B644=Dashboard!$C$14),OR(Dashboard!$C$15="All",C644=Dashboard!$C$15),OR(Dashboard!$C$17="All",J644=Dashboard!$C$17)),1,0)</f>
        <v>0</v>
      </c>
      <c r="Q644" s="24">
        <f>IF(AND(L644=1,OR(Dashboard!$C$14="All",B644=Dashboard!$C$14),OR(Dashboard!$C$15="All",C644=Dashboard!$C$15),OR(Dashboard!$C$16="All",K644=Dashboard!$C$16),OR(Dashboard!$C$17="All",J644=Dashboard!$C$17)),1,0)</f>
        <v>0</v>
      </c>
      <c r="R644" s="24">
        <f>IF(AND(L644=1,OR(Dashboard!$C$13="All",A644=Dashboard!$C$13),OR(Dashboard!$C$14="All",B644=Dashboard!$C$14),OR(Dashboard!$C$15="All",C644=Dashboard!$C$15),OR(Dashboard!$C$16="All",K644=Dashboard!$C$16)),1,0)</f>
        <v>0</v>
      </c>
      <c r="S644" s="25" t="str">
        <f t="shared" si="3"/>
        <v/>
      </c>
    </row>
    <row r="645" ht="15.75" customHeight="1">
      <c r="A645" s="27"/>
      <c r="B645" s="27"/>
      <c r="C645" s="27"/>
      <c r="D645" s="27"/>
      <c r="E645" s="28"/>
      <c r="F645" s="28" t="str">
        <f t="shared" si="4"/>
        <v/>
      </c>
      <c r="G645" s="29"/>
      <c r="H645" s="27"/>
      <c r="I645" s="29" t="str">
        <f t="shared" si="5"/>
        <v/>
      </c>
      <c r="J645" s="27"/>
      <c r="K645" s="27"/>
      <c r="L645" s="25" t="str">
        <f>IF(A645="","",IF(OR(G645="",AND(G645&gt;=Dashboard!$C$18,G645&lt;=Dashboard!$C$19)),1,0))</f>
        <v/>
      </c>
      <c r="M645" s="24">
        <f>IF(AND(L645=1,OR(Dashboard!$C$13="All",A645=Dashboard!$C$13),OR(Dashboard!$C$14="All",B645=Dashboard!$C$14),OR(Dashboard!$C$15="All",C645=Dashboard!$C$15),OR(Dashboard!$C$16="All",K645=Dashboard!$C$16),OR(Dashboard!$C$17="All",J645=Dashboard!$C$17)),1,0)</f>
        <v>0</v>
      </c>
      <c r="N645" s="24">
        <f>IF(AND(L645=1,OR(Dashboard!$C$13="All",A645=Dashboard!$C$13),OR(Dashboard!$C$14="All",B645=Dashboard!$C$14),OR(Dashboard!$C$16="All",K645=Dashboard!$C$16),OR(Dashboard!$C$17="All",J645=Dashboard!$C$17)),1,0)</f>
        <v>0</v>
      </c>
      <c r="O645" s="24">
        <f>IF(AND(L645=1,OR(Dashboard!$C$13="All",A645=Dashboard!$C$13),OR(Dashboard!$C$15="All",C645=Dashboard!$C$15),OR(Dashboard!$C$16="All",K645=Dashboard!$C$16),OR(Dashboard!$C$17="All",J645=Dashboard!$C$17)),1,0)</f>
        <v>0</v>
      </c>
      <c r="P645" s="24">
        <f>IF(AND(L645=1,OR(Dashboard!$C$13="All",A645=Dashboard!$C$13),OR(Dashboard!$C$14="All",B645=Dashboard!$C$14),OR(Dashboard!$C$15="All",C645=Dashboard!$C$15),OR(Dashboard!$C$17="All",J645=Dashboard!$C$17)),1,0)</f>
        <v>0</v>
      </c>
      <c r="Q645" s="24">
        <f>IF(AND(L645=1,OR(Dashboard!$C$14="All",B645=Dashboard!$C$14),OR(Dashboard!$C$15="All",C645=Dashboard!$C$15),OR(Dashboard!$C$16="All",K645=Dashboard!$C$16),OR(Dashboard!$C$17="All",J645=Dashboard!$C$17)),1,0)</f>
        <v>0</v>
      </c>
      <c r="R645" s="24">
        <f>IF(AND(L645=1,OR(Dashboard!$C$13="All",A645=Dashboard!$C$13),OR(Dashboard!$C$14="All",B645=Dashboard!$C$14),OR(Dashboard!$C$15="All",C645=Dashboard!$C$15),OR(Dashboard!$C$16="All",K645=Dashboard!$C$16)),1,0)</f>
        <v>0</v>
      </c>
      <c r="S645" s="25" t="str">
        <f t="shared" si="3"/>
        <v/>
      </c>
    </row>
    <row r="646" ht="15.75" customHeight="1">
      <c r="A646" s="27"/>
      <c r="B646" s="27"/>
      <c r="C646" s="27"/>
      <c r="D646" s="27"/>
      <c r="E646" s="28"/>
      <c r="F646" s="28" t="str">
        <f t="shared" si="4"/>
        <v/>
      </c>
      <c r="G646" s="29"/>
      <c r="H646" s="27"/>
      <c r="I646" s="29" t="str">
        <f t="shared" si="5"/>
        <v/>
      </c>
      <c r="J646" s="27"/>
      <c r="K646" s="27"/>
      <c r="L646" s="25" t="str">
        <f>IF(A646="","",IF(OR(G646="",AND(G646&gt;=Dashboard!$C$18,G646&lt;=Dashboard!$C$19)),1,0))</f>
        <v/>
      </c>
      <c r="M646" s="24">
        <f>IF(AND(L646=1,OR(Dashboard!$C$13="All",A646=Dashboard!$C$13),OR(Dashboard!$C$14="All",B646=Dashboard!$C$14),OR(Dashboard!$C$15="All",C646=Dashboard!$C$15),OR(Dashboard!$C$16="All",K646=Dashboard!$C$16),OR(Dashboard!$C$17="All",J646=Dashboard!$C$17)),1,0)</f>
        <v>0</v>
      </c>
      <c r="N646" s="24">
        <f>IF(AND(L646=1,OR(Dashboard!$C$13="All",A646=Dashboard!$C$13),OR(Dashboard!$C$14="All",B646=Dashboard!$C$14),OR(Dashboard!$C$16="All",K646=Dashboard!$C$16),OR(Dashboard!$C$17="All",J646=Dashboard!$C$17)),1,0)</f>
        <v>0</v>
      </c>
      <c r="O646" s="24">
        <f>IF(AND(L646=1,OR(Dashboard!$C$13="All",A646=Dashboard!$C$13),OR(Dashboard!$C$15="All",C646=Dashboard!$C$15),OR(Dashboard!$C$16="All",K646=Dashboard!$C$16),OR(Dashboard!$C$17="All",J646=Dashboard!$C$17)),1,0)</f>
        <v>0</v>
      </c>
      <c r="P646" s="24">
        <f>IF(AND(L646=1,OR(Dashboard!$C$13="All",A646=Dashboard!$C$13),OR(Dashboard!$C$14="All",B646=Dashboard!$C$14),OR(Dashboard!$C$15="All",C646=Dashboard!$C$15),OR(Dashboard!$C$17="All",J646=Dashboard!$C$17)),1,0)</f>
        <v>0</v>
      </c>
      <c r="Q646" s="24">
        <f>IF(AND(L646=1,OR(Dashboard!$C$14="All",B646=Dashboard!$C$14),OR(Dashboard!$C$15="All",C646=Dashboard!$C$15),OR(Dashboard!$C$16="All",K646=Dashboard!$C$16),OR(Dashboard!$C$17="All",J646=Dashboard!$C$17)),1,0)</f>
        <v>0</v>
      </c>
      <c r="R646" s="24">
        <f>IF(AND(L646=1,OR(Dashboard!$C$13="All",A646=Dashboard!$C$13),OR(Dashboard!$C$14="All",B646=Dashboard!$C$14),OR(Dashboard!$C$15="All",C646=Dashboard!$C$15),OR(Dashboard!$C$16="All",K646=Dashboard!$C$16)),1,0)</f>
        <v>0</v>
      </c>
      <c r="S646" s="25" t="str">
        <f t="shared" si="3"/>
        <v/>
      </c>
    </row>
    <row r="647" ht="15.75" customHeight="1">
      <c r="A647" s="27"/>
      <c r="B647" s="27"/>
      <c r="C647" s="27"/>
      <c r="D647" s="27"/>
      <c r="E647" s="28"/>
      <c r="F647" s="28" t="str">
        <f t="shared" si="4"/>
        <v/>
      </c>
      <c r="G647" s="29"/>
      <c r="H647" s="27"/>
      <c r="I647" s="29" t="str">
        <f t="shared" si="5"/>
        <v/>
      </c>
      <c r="J647" s="27"/>
      <c r="K647" s="27"/>
      <c r="L647" s="25" t="str">
        <f>IF(A647="","",IF(OR(G647="",AND(G647&gt;=Dashboard!$C$18,G647&lt;=Dashboard!$C$19)),1,0))</f>
        <v/>
      </c>
      <c r="M647" s="24">
        <f>IF(AND(L647=1,OR(Dashboard!$C$13="All",A647=Dashboard!$C$13),OR(Dashboard!$C$14="All",B647=Dashboard!$C$14),OR(Dashboard!$C$15="All",C647=Dashboard!$C$15),OR(Dashboard!$C$16="All",K647=Dashboard!$C$16),OR(Dashboard!$C$17="All",J647=Dashboard!$C$17)),1,0)</f>
        <v>0</v>
      </c>
      <c r="N647" s="24">
        <f>IF(AND(L647=1,OR(Dashboard!$C$13="All",A647=Dashboard!$C$13),OR(Dashboard!$C$14="All",B647=Dashboard!$C$14),OR(Dashboard!$C$16="All",K647=Dashboard!$C$16),OR(Dashboard!$C$17="All",J647=Dashboard!$C$17)),1,0)</f>
        <v>0</v>
      </c>
      <c r="O647" s="24">
        <f>IF(AND(L647=1,OR(Dashboard!$C$13="All",A647=Dashboard!$C$13),OR(Dashboard!$C$15="All",C647=Dashboard!$C$15),OR(Dashboard!$C$16="All",K647=Dashboard!$C$16),OR(Dashboard!$C$17="All",J647=Dashboard!$C$17)),1,0)</f>
        <v>0</v>
      </c>
      <c r="P647" s="24">
        <f>IF(AND(L647=1,OR(Dashboard!$C$13="All",A647=Dashboard!$C$13),OR(Dashboard!$C$14="All",B647=Dashboard!$C$14),OR(Dashboard!$C$15="All",C647=Dashboard!$C$15),OR(Dashboard!$C$17="All",J647=Dashboard!$C$17)),1,0)</f>
        <v>0</v>
      </c>
      <c r="Q647" s="24">
        <f>IF(AND(L647=1,OR(Dashboard!$C$14="All",B647=Dashboard!$C$14),OR(Dashboard!$C$15="All",C647=Dashboard!$C$15),OR(Dashboard!$C$16="All",K647=Dashboard!$C$16),OR(Dashboard!$C$17="All",J647=Dashboard!$C$17)),1,0)</f>
        <v>0</v>
      </c>
      <c r="R647" s="24">
        <f>IF(AND(L647=1,OR(Dashboard!$C$13="All",A647=Dashboard!$C$13),OR(Dashboard!$C$14="All",B647=Dashboard!$C$14),OR(Dashboard!$C$15="All",C647=Dashboard!$C$15),OR(Dashboard!$C$16="All",K647=Dashboard!$C$16)),1,0)</f>
        <v>0</v>
      </c>
      <c r="S647" s="25" t="str">
        <f t="shared" si="3"/>
        <v/>
      </c>
    </row>
    <row r="648" ht="15.75" customHeight="1">
      <c r="A648" s="27"/>
      <c r="B648" s="27"/>
      <c r="C648" s="27"/>
      <c r="D648" s="27"/>
      <c r="E648" s="28"/>
      <c r="F648" s="28" t="str">
        <f t="shared" si="4"/>
        <v/>
      </c>
      <c r="G648" s="29"/>
      <c r="H648" s="27"/>
      <c r="I648" s="29" t="str">
        <f t="shared" si="5"/>
        <v/>
      </c>
      <c r="J648" s="27"/>
      <c r="K648" s="27"/>
      <c r="L648" s="25" t="str">
        <f>IF(A648="","",IF(OR(G648="",AND(G648&gt;=Dashboard!$C$18,G648&lt;=Dashboard!$C$19)),1,0))</f>
        <v/>
      </c>
      <c r="M648" s="24">
        <f>IF(AND(L648=1,OR(Dashboard!$C$13="All",A648=Dashboard!$C$13),OR(Dashboard!$C$14="All",B648=Dashboard!$C$14),OR(Dashboard!$C$15="All",C648=Dashboard!$C$15),OR(Dashboard!$C$16="All",K648=Dashboard!$C$16),OR(Dashboard!$C$17="All",J648=Dashboard!$C$17)),1,0)</f>
        <v>0</v>
      </c>
      <c r="N648" s="24">
        <f>IF(AND(L648=1,OR(Dashboard!$C$13="All",A648=Dashboard!$C$13),OR(Dashboard!$C$14="All",B648=Dashboard!$C$14),OR(Dashboard!$C$16="All",K648=Dashboard!$C$16),OR(Dashboard!$C$17="All",J648=Dashboard!$C$17)),1,0)</f>
        <v>0</v>
      </c>
      <c r="O648" s="24">
        <f>IF(AND(L648=1,OR(Dashboard!$C$13="All",A648=Dashboard!$C$13),OR(Dashboard!$C$15="All",C648=Dashboard!$C$15),OR(Dashboard!$C$16="All",K648=Dashboard!$C$16),OR(Dashboard!$C$17="All",J648=Dashboard!$C$17)),1,0)</f>
        <v>0</v>
      </c>
      <c r="P648" s="24">
        <f>IF(AND(L648=1,OR(Dashboard!$C$13="All",A648=Dashboard!$C$13),OR(Dashboard!$C$14="All",B648=Dashboard!$C$14),OR(Dashboard!$C$15="All",C648=Dashboard!$C$15),OR(Dashboard!$C$17="All",J648=Dashboard!$C$17)),1,0)</f>
        <v>0</v>
      </c>
      <c r="Q648" s="24">
        <f>IF(AND(L648=1,OR(Dashboard!$C$14="All",B648=Dashboard!$C$14),OR(Dashboard!$C$15="All",C648=Dashboard!$C$15),OR(Dashboard!$C$16="All",K648=Dashboard!$C$16),OR(Dashboard!$C$17="All",J648=Dashboard!$C$17)),1,0)</f>
        <v>0</v>
      </c>
      <c r="R648" s="24">
        <f>IF(AND(L648=1,OR(Dashboard!$C$13="All",A648=Dashboard!$C$13),OR(Dashboard!$C$14="All",B648=Dashboard!$C$14),OR(Dashboard!$C$15="All",C648=Dashboard!$C$15),OR(Dashboard!$C$16="All",K648=Dashboard!$C$16)),1,0)</f>
        <v>0</v>
      </c>
      <c r="S648" s="25" t="str">
        <f t="shared" si="3"/>
        <v/>
      </c>
    </row>
    <row r="649" ht="15.75" customHeight="1">
      <c r="A649" s="27"/>
      <c r="B649" s="27"/>
      <c r="C649" s="27"/>
      <c r="D649" s="27"/>
      <c r="E649" s="28"/>
      <c r="F649" s="28" t="str">
        <f t="shared" si="4"/>
        <v/>
      </c>
      <c r="G649" s="29"/>
      <c r="H649" s="27"/>
      <c r="I649" s="29" t="str">
        <f t="shared" si="5"/>
        <v/>
      </c>
      <c r="J649" s="27"/>
      <c r="K649" s="27"/>
      <c r="L649" s="25" t="str">
        <f>IF(A649="","",IF(OR(G649="",AND(G649&gt;=Dashboard!$C$18,G649&lt;=Dashboard!$C$19)),1,0))</f>
        <v/>
      </c>
      <c r="M649" s="24">
        <f>IF(AND(L649=1,OR(Dashboard!$C$13="All",A649=Dashboard!$C$13),OR(Dashboard!$C$14="All",B649=Dashboard!$C$14),OR(Dashboard!$C$15="All",C649=Dashboard!$C$15),OR(Dashboard!$C$16="All",K649=Dashboard!$C$16),OR(Dashboard!$C$17="All",J649=Dashboard!$C$17)),1,0)</f>
        <v>0</v>
      </c>
      <c r="N649" s="24">
        <f>IF(AND(L649=1,OR(Dashboard!$C$13="All",A649=Dashboard!$C$13),OR(Dashboard!$C$14="All",B649=Dashboard!$C$14),OR(Dashboard!$C$16="All",K649=Dashboard!$C$16),OR(Dashboard!$C$17="All",J649=Dashboard!$C$17)),1,0)</f>
        <v>0</v>
      </c>
      <c r="O649" s="24">
        <f>IF(AND(L649=1,OR(Dashboard!$C$13="All",A649=Dashboard!$C$13),OR(Dashboard!$C$15="All",C649=Dashboard!$C$15),OR(Dashboard!$C$16="All",K649=Dashboard!$C$16),OR(Dashboard!$C$17="All",J649=Dashboard!$C$17)),1,0)</f>
        <v>0</v>
      </c>
      <c r="P649" s="24">
        <f>IF(AND(L649=1,OR(Dashboard!$C$13="All",A649=Dashboard!$C$13),OR(Dashboard!$C$14="All",B649=Dashboard!$C$14),OR(Dashboard!$C$15="All",C649=Dashboard!$C$15),OR(Dashboard!$C$17="All",J649=Dashboard!$C$17)),1,0)</f>
        <v>0</v>
      </c>
      <c r="Q649" s="24">
        <f>IF(AND(L649=1,OR(Dashboard!$C$14="All",B649=Dashboard!$C$14),OR(Dashboard!$C$15="All",C649=Dashboard!$C$15),OR(Dashboard!$C$16="All",K649=Dashboard!$C$16),OR(Dashboard!$C$17="All",J649=Dashboard!$C$17)),1,0)</f>
        <v>0</v>
      </c>
      <c r="R649" s="24">
        <f>IF(AND(L649=1,OR(Dashboard!$C$13="All",A649=Dashboard!$C$13),OR(Dashboard!$C$14="All",B649=Dashboard!$C$14),OR(Dashboard!$C$15="All",C649=Dashboard!$C$15),OR(Dashboard!$C$16="All",K649=Dashboard!$C$16)),1,0)</f>
        <v>0</v>
      </c>
      <c r="S649" s="25" t="str">
        <f t="shared" si="3"/>
        <v/>
      </c>
    </row>
    <row r="650" ht="15.75" customHeight="1">
      <c r="A650" s="27"/>
      <c r="B650" s="27"/>
      <c r="C650" s="27"/>
      <c r="D650" s="27"/>
      <c r="E650" s="28"/>
      <c r="F650" s="28" t="str">
        <f t="shared" si="4"/>
        <v/>
      </c>
      <c r="G650" s="29"/>
      <c r="H650" s="27"/>
      <c r="I650" s="29" t="str">
        <f t="shared" si="5"/>
        <v/>
      </c>
      <c r="J650" s="27"/>
      <c r="K650" s="27"/>
      <c r="L650" s="25" t="str">
        <f>IF(A650="","",IF(OR(G650="",AND(G650&gt;=Dashboard!$C$18,G650&lt;=Dashboard!$C$19)),1,0))</f>
        <v/>
      </c>
      <c r="M650" s="24">
        <f>IF(AND(L650=1,OR(Dashboard!$C$13="All",A650=Dashboard!$C$13),OR(Dashboard!$C$14="All",B650=Dashboard!$C$14),OR(Dashboard!$C$15="All",C650=Dashboard!$C$15),OR(Dashboard!$C$16="All",K650=Dashboard!$C$16),OR(Dashboard!$C$17="All",J650=Dashboard!$C$17)),1,0)</f>
        <v>0</v>
      </c>
      <c r="N650" s="24">
        <f>IF(AND(L650=1,OR(Dashboard!$C$13="All",A650=Dashboard!$C$13),OR(Dashboard!$C$14="All",B650=Dashboard!$C$14),OR(Dashboard!$C$16="All",K650=Dashboard!$C$16),OR(Dashboard!$C$17="All",J650=Dashboard!$C$17)),1,0)</f>
        <v>0</v>
      </c>
      <c r="O650" s="24">
        <f>IF(AND(L650=1,OR(Dashboard!$C$13="All",A650=Dashboard!$C$13),OR(Dashboard!$C$15="All",C650=Dashboard!$C$15),OR(Dashboard!$C$16="All",K650=Dashboard!$C$16),OR(Dashboard!$C$17="All",J650=Dashboard!$C$17)),1,0)</f>
        <v>0</v>
      </c>
      <c r="P650" s="24">
        <f>IF(AND(L650=1,OR(Dashboard!$C$13="All",A650=Dashboard!$C$13),OR(Dashboard!$C$14="All",B650=Dashboard!$C$14),OR(Dashboard!$C$15="All",C650=Dashboard!$C$15),OR(Dashboard!$C$17="All",J650=Dashboard!$C$17)),1,0)</f>
        <v>0</v>
      </c>
      <c r="Q650" s="24">
        <f>IF(AND(L650=1,OR(Dashboard!$C$14="All",B650=Dashboard!$C$14),OR(Dashboard!$C$15="All",C650=Dashboard!$C$15),OR(Dashboard!$C$16="All",K650=Dashboard!$C$16),OR(Dashboard!$C$17="All",J650=Dashboard!$C$17)),1,0)</f>
        <v>0</v>
      </c>
      <c r="R650" s="24">
        <f>IF(AND(L650=1,OR(Dashboard!$C$13="All",A650=Dashboard!$C$13),OR(Dashboard!$C$14="All",B650=Dashboard!$C$14),OR(Dashboard!$C$15="All",C650=Dashboard!$C$15),OR(Dashboard!$C$16="All",K650=Dashboard!$C$16)),1,0)</f>
        <v>0</v>
      </c>
      <c r="S650" s="25" t="str">
        <f t="shared" si="3"/>
        <v/>
      </c>
    </row>
    <row r="651" ht="15.75" customHeight="1">
      <c r="A651" s="27"/>
      <c r="B651" s="27"/>
      <c r="C651" s="27"/>
      <c r="D651" s="27"/>
      <c r="E651" s="28"/>
      <c r="F651" s="28" t="str">
        <f t="shared" si="4"/>
        <v/>
      </c>
      <c r="G651" s="29"/>
      <c r="H651" s="27"/>
      <c r="I651" s="29" t="str">
        <f t="shared" si="5"/>
        <v/>
      </c>
      <c r="J651" s="27"/>
      <c r="K651" s="27"/>
      <c r="L651" s="25" t="str">
        <f>IF(A651="","",IF(OR(G651="",AND(G651&gt;=Dashboard!$C$18,G651&lt;=Dashboard!$C$19)),1,0))</f>
        <v/>
      </c>
      <c r="M651" s="24">
        <f>IF(AND(L651=1,OR(Dashboard!$C$13="All",A651=Dashboard!$C$13),OR(Dashboard!$C$14="All",B651=Dashboard!$C$14),OR(Dashboard!$C$15="All",C651=Dashboard!$C$15),OR(Dashboard!$C$16="All",K651=Dashboard!$C$16),OR(Dashboard!$C$17="All",J651=Dashboard!$C$17)),1,0)</f>
        <v>0</v>
      </c>
      <c r="N651" s="24">
        <f>IF(AND(L651=1,OR(Dashboard!$C$13="All",A651=Dashboard!$C$13),OR(Dashboard!$C$14="All",B651=Dashboard!$C$14),OR(Dashboard!$C$16="All",K651=Dashboard!$C$16),OR(Dashboard!$C$17="All",J651=Dashboard!$C$17)),1,0)</f>
        <v>0</v>
      </c>
      <c r="O651" s="24">
        <f>IF(AND(L651=1,OR(Dashboard!$C$13="All",A651=Dashboard!$C$13),OR(Dashboard!$C$15="All",C651=Dashboard!$C$15),OR(Dashboard!$C$16="All",K651=Dashboard!$C$16),OR(Dashboard!$C$17="All",J651=Dashboard!$C$17)),1,0)</f>
        <v>0</v>
      </c>
      <c r="P651" s="24">
        <f>IF(AND(L651=1,OR(Dashboard!$C$13="All",A651=Dashboard!$C$13),OR(Dashboard!$C$14="All",B651=Dashboard!$C$14),OR(Dashboard!$C$15="All",C651=Dashboard!$C$15),OR(Dashboard!$C$17="All",J651=Dashboard!$C$17)),1,0)</f>
        <v>0</v>
      </c>
      <c r="Q651" s="24">
        <f>IF(AND(L651=1,OR(Dashboard!$C$14="All",B651=Dashboard!$C$14),OR(Dashboard!$C$15="All",C651=Dashboard!$C$15),OR(Dashboard!$C$16="All",K651=Dashboard!$C$16),OR(Dashboard!$C$17="All",J651=Dashboard!$C$17)),1,0)</f>
        <v>0</v>
      </c>
      <c r="R651" s="24">
        <f>IF(AND(L651=1,OR(Dashboard!$C$13="All",A651=Dashboard!$C$13),OR(Dashboard!$C$14="All",B651=Dashboard!$C$14),OR(Dashboard!$C$15="All",C651=Dashboard!$C$15),OR(Dashboard!$C$16="All",K651=Dashboard!$C$16)),1,0)</f>
        <v>0</v>
      </c>
      <c r="S651" s="25" t="str">
        <f t="shared" si="3"/>
        <v/>
      </c>
    </row>
    <row r="652" ht="15.75" customHeight="1">
      <c r="A652" s="27"/>
      <c r="B652" s="27"/>
      <c r="C652" s="27"/>
      <c r="D652" s="27"/>
      <c r="E652" s="28"/>
      <c r="F652" s="28" t="str">
        <f t="shared" si="4"/>
        <v/>
      </c>
      <c r="G652" s="29"/>
      <c r="H652" s="27"/>
      <c r="I652" s="29" t="str">
        <f t="shared" si="5"/>
        <v/>
      </c>
      <c r="J652" s="27"/>
      <c r="K652" s="27"/>
      <c r="L652" s="25" t="str">
        <f>IF(A652="","",IF(OR(G652="",AND(G652&gt;=Dashboard!$C$18,G652&lt;=Dashboard!$C$19)),1,0))</f>
        <v/>
      </c>
      <c r="M652" s="24">
        <f>IF(AND(L652=1,OR(Dashboard!$C$13="All",A652=Dashboard!$C$13),OR(Dashboard!$C$14="All",B652=Dashboard!$C$14),OR(Dashboard!$C$15="All",C652=Dashboard!$C$15),OR(Dashboard!$C$16="All",K652=Dashboard!$C$16),OR(Dashboard!$C$17="All",J652=Dashboard!$C$17)),1,0)</f>
        <v>0</v>
      </c>
      <c r="N652" s="24">
        <f>IF(AND(L652=1,OR(Dashboard!$C$13="All",A652=Dashboard!$C$13),OR(Dashboard!$C$14="All",B652=Dashboard!$C$14),OR(Dashboard!$C$16="All",K652=Dashboard!$C$16),OR(Dashboard!$C$17="All",J652=Dashboard!$C$17)),1,0)</f>
        <v>0</v>
      </c>
      <c r="O652" s="24">
        <f>IF(AND(L652=1,OR(Dashboard!$C$13="All",A652=Dashboard!$C$13),OR(Dashboard!$C$15="All",C652=Dashboard!$C$15),OR(Dashboard!$C$16="All",K652=Dashboard!$C$16),OR(Dashboard!$C$17="All",J652=Dashboard!$C$17)),1,0)</f>
        <v>0</v>
      </c>
      <c r="P652" s="24">
        <f>IF(AND(L652=1,OR(Dashboard!$C$13="All",A652=Dashboard!$C$13),OR(Dashboard!$C$14="All",B652=Dashboard!$C$14),OR(Dashboard!$C$15="All",C652=Dashboard!$C$15),OR(Dashboard!$C$17="All",J652=Dashboard!$C$17)),1,0)</f>
        <v>0</v>
      </c>
      <c r="Q652" s="24">
        <f>IF(AND(L652=1,OR(Dashboard!$C$14="All",B652=Dashboard!$C$14),OR(Dashboard!$C$15="All",C652=Dashboard!$C$15),OR(Dashboard!$C$16="All",K652=Dashboard!$C$16),OR(Dashboard!$C$17="All",J652=Dashboard!$C$17)),1,0)</f>
        <v>0</v>
      </c>
      <c r="R652" s="24">
        <f>IF(AND(L652=1,OR(Dashboard!$C$13="All",A652=Dashboard!$C$13),OR(Dashboard!$C$14="All",B652=Dashboard!$C$14),OR(Dashboard!$C$15="All",C652=Dashboard!$C$15),OR(Dashboard!$C$16="All",K652=Dashboard!$C$16)),1,0)</f>
        <v>0</v>
      </c>
      <c r="S652" s="25" t="str">
        <f t="shared" si="3"/>
        <v/>
      </c>
    </row>
    <row r="653" ht="15.75" customHeight="1">
      <c r="A653" s="27"/>
      <c r="B653" s="27"/>
      <c r="C653" s="27"/>
      <c r="D653" s="27"/>
      <c r="E653" s="28"/>
      <c r="F653" s="28" t="str">
        <f t="shared" si="4"/>
        <v/>
      </c>
      <c r="G653" s="29"/>
      <c r="H653" s="27"/>
      <c r="I653" s="29" t="str">
        <f t="shared" si="5"/>
        <v/>
      </c>
      <c r="J653" s="27"/>
      <c r="K653" s="27"/>
      <c r="L653" s="25" t="str">
        <f>IF(A653="","",IF(OR(G653="",AND(G653&gt;=Dashboard!$C$18,G653&lt;=Dashboard!$C$19)),1,0))</f>
        <v/>
      </c>
      <c r="M653" s="24">
        <f>IF(AND(L653=1,OR(Dashboard!$C$13="All",A653=Dashboard!$C$13),OR(Dashboard!$C$14="All",B653=Dashboard!$C$14),OR(Dashboard!$C$15="All",C653=Dashboard!$C$15),OR(Dashboard!$C$16="All",K653=Dashboard!$C$16),OR(Dashboard!$C$17="All",J653=Dashboard!$C$17)),1,0)</f>
        <v>0</v>
      </c>
      <c r="N653" s="24">
        <f>IF(AND(L653=1,OR(Dashboard!$C$13="All",A653=Dashboard!$C$13),OR(Dashboard!$C$14="All",B653=Dashboard!$C$14),OR(Dashboard!$C$16="All",K653=Dashboard!$C$16),OR(Dashboard!$C$17="All",J653=Dashboard!$C$17)),1,0)</f>
        <v>0</v>
      </c>
      <c r="O653" s="24">
        <f>IF(AND(L653=1,OR(Dashboard!$C$13="All",A653=Dashboard!$C$13),OR(Dashboard!$C$15="All",C653=Dashboard!$C$15),OR(Dashboard!$C$16="All",K653=Dashboard!$C$16),OR(Dashboard!$C$17="All",J653=Dashboard!$C$17)),1,0)</f>
        <v>0</v>
      </c>
      <c r="P653" s="24">
        <f>IF(AND(L653=1,OR(Dashboard!$C$13="All",A653=Dashboard!$C$13),OR(Dashboard!$C$14="All",B653=Dashboard!$C$14),OR(Dashboard!$C$15="All",C653=Dashboard!$C$15),OR(Dashboard!$C$17="All",J653=Dashboard!$C$17)),1,0)</f>
        <v>0</v>
      </c>
      <c r="Q653" s="24">
        <f>IF(AND(L653=1,OR(Dashboard!$C$14="All",B653=Dashboard!$C$14),OR(Dashboard!$C$15="All",C653=Dashboard!$C$15),OR(Dashboard!$C$16="All",K653=Dashboard!$C$16),OR(Dashboard!$C$17="All",J653=Dashboard!$C$17)),1,0)</f>
        <v>0</v>
      </c>
      <c r="R653" s="24">
        <f>IF(AND(L653=1,OR(Dashboard!$C$13="All",A653=Dashboard!$C$13),OR(Dashboard!$C$14="All",B653=Dashboard!$C$14),OR(Dashboard!$C$15="All",C653=Dashboard!$C$15),OR(Dashboard!$C$16="All",K653=Dashboard!$C$16)),1,0)</f>
        <v>0</v>
      </c>
      <c r="S653" s="25" t="str">
        <f t="shared" si="3"/>
        <v/>
      </c>
    </row>
    <row r="654" ht="15.75" customHeight="1">
      <c r="A654" s="27"/>
      <c r="B654" s="27"/>
      <c r="C654" s="27"/>
      <c r="D654" s="27"/>
      <c r="E654" s="28"/>
      <c r="F654" s="28" t="str">
        <f t="shared" si="4"/>
        <v/>
      </c>
      <c r="G654" s="29"/>
      <c r="H654" s="27"/>
      <c r="I654" s="29" t="str">
        <f t="shared" si="5"/>
        <v/>
      </c>
      <c r="J654" s="27"/>
      <c r="K654" s="27"/>
      <c r="L654" s="25" t="str">
        <f>IF(A654="","",IF(OR(G654="",AND(G654&gt;=Dashboard!$C$18,G654&lt;=Dashboard!$C$19)),1,0))</f>
        <v/>
      </c>
      <c r="M654" s="24">
        <f>IF(AND(L654=1,OR(Dashboard!$C$13="All",A654=Dashboard!$C$13),OR(Dashboard!$C$14="All",B654=Dashboard!$C$14),OR(Dashboard!$C$15="All",C654=Dashboard!$C$15),OR(Dashboard!$C$16="All",K654=Dashboard!$C$16),OR(Dashboard!$C$17="All",J654=Dashboard!$C$17)),1,0)</f>
        <v>0</v>
      </c>
      <c r="N654" s="24">
        <f>IF(AND(L654=1,OR(Dashboard!$C$13="All",A654=Dashboard!$C$13),OR(Dashboard!$C$14="All",B654=Dashboard!$C$14),OR(Dashboard!$C$16="All",K654=Dashboard!$C$16),OR(Dashboard!$C$17="All",J654=Dashboard!$C$17)),1,0)</f>
        <v>0</v>
      </c>
      <c r="O654" s="24">
        <f>IF(AND(L654=1,OR(Dashboard!$C$13="All",A654=Dashboard!$C$13),OR(Dashboard!$C$15="All",C654=Dashboard!$C$15),OR(Dashboard!$C$16="All",K654=Dashboard!$C$16),OR(Dashboard!$C$17="All",J654=Dashboard!$C$17)),1,0)</f>
        <v>0</v>
      </c>
      <c r="P654" s="24">
        <f>IF(AND(L654=1,OR(Dashboard!$C$13="All",A654=Dashboard!$C$13),OR(Dashboard!$C$14="All",B654=Dashboard!$C$14),OR(Dashboard!$C$15="All",C654=Dashboard!$C$15),OR(Dashboard!$C$17="All",J654=Dashboard!$C$17)),1,0)</f>
        <v>0</v>
      </c>
      <c r="Q654" s="24">
        <f>IF(AND(L654=1,OR(Dashboard!$C$14="All",B654=Dashboard!$C$14),OR(Dashboard!$C$15="All",C654=Dashboard!$C$15),OR(Dashboard!$C$16="All",K654=Dashboard!$C$16),OR(Dashboard!$C$17="All",J654=Dashboard!$C$17)),1,0)</f>
        <v>0</v>
      </c>
      <c r="R654" s="24">
        <f>IF(AND(L654=1,OR(Dashboard!$C$13="All",A654=Dashboard!$C$13),OR(Dashboard!$C$14="All",B654=Dashboard!$C$14),OR(Dashboard!$C$15="All",C654=Dashboard!$C$15),OR(Dashboard!$C$16="All",K654=Dashboard!$C$16)),1,0)</f>
        <v>0</v>
      </c>
      <c r="S654" s="25" t="str">
        <f t="shared" si="3"/>
        <v/>
      </c>
    </row>
    <row r="655" ht="15.75" customHeight="1">
      <c r="A655" s="27"/>
      <c r="B655" s="27"/>
      <c r="C655" s="27"/>
      <c r="D655" s="27"/>
      <c r="E655" s="28"/>
      <c r="F655" s="28" t="str">
        <f t="shared" si="4"/>
        <v/>
      </c>
      <c r="G655" s="29"/>
      <c r="H655" s="27"/>
      <c r="I655" s="29" t="str">
        <f t="shared" si="5"/>
        <v/>
      </c>
      <c r="J655" s="27"/>
      <c r="K655" s="27"/>
      <c r="L655" s="25" t="str">
        <f>IF(A655="","",IF(OR(G655="",AND(G655&gt;=Dashboard!$C$18,G655&lt;=Dashboard!$C$19)),1,0))</f>
        <v/>
      </c>
      <c r="M655" s="24">
        <f>IF(AND(L655=1,OR(Dashboard!$C$13="All",A655=Dashboard!$C$13),OR(Dashboard!$C$14="All",B655=Dashboard!$C$14),OR(Dashboard!$C$15="All",C655=Dashboard!$C$15),OR(Dashboard!$C$16="All",K655=Dashboard!$C$16),OR(Dashboard!$C$17="All",J655=Dashboard!$C$17)),1,0)</f>
        <v>0</v>
      </c>
      <c r="N655" s="24">
        <f>IF(AND(L655=1,OR(Dashboard!$C$13="All",A655=Dashboard!$C$13),OR(Dashboard!$C$14="All",B655=Dashboard!$C$14),OR(Dashboard!$C$16="All",K655=Dashboard!$C$16),OR(Dashboard!$C$17="All",J655=Dashboard!$C$17)),1,0)</f>
        <v>0</v>
      </c>
      <c r="O655" s="24">
        <f>IF(AND(L655=1,OR(Dashboard!$C$13="All",A655=Dashboard!$C$13),OR(Dashboard!$C$15="All",C655=Dashboard!$C$15),OR(Dashboard!$C$16="All",K655=Dashboard!$C$16),OR(Dashboard!$C$17="All",J655=Dashboard!$C$17)),1,0)</f>
        <v>0</v>
      </c>
      <c r="P655" s="24">
        <f>IF(AND(L655=1,OR(Dashboard!$C$13="All",A655=Dashboard!$C$13),OR(Dashboard!$C$14="All",B655=Dashboard!$C$14),OR(Dashboard!$C$15="All",C655=Dashboard!$C$15),OR(Dashboard!$C$17="All",J655=Dashboard!$C$17)),1,0)</f>
        <v>0</v>
      </c>
      <c r="Q655" s="24">
        <f>IF(AND(L655=1,OR(Dashboard!$C$14="All",B655=Dashboard!$C$14),OR(Dashboard!$C$15="All",C655=Dashboard!$C$15),OR(Dashboard!$C$16="All",K655=Dashboard!$C$16),OR(Dashboard!$C$17="All",J655=Dashboard!$C$17)),1,0)</f>
        <v>0</v>
      </c>
      <c r="R655" s="24">
        <f>IF(AND(L655=1,OR(Dashboard!$C$13="All",A655=Dashboard!$C$13),OR(Dashboard!$C$14="All",B655=Dashboard!$C$14),OR(Dashboard!$C$15="All",C655=Dashboard!$C$15),OR(Dashboard!$C$16="All",K655=Dashboard!$C$16)),1,0)</f>
        <v>0</v>
      </c>
      <c r="S655" s="25" t="str">
        <f t="shared" si="3"/>
        <v/>
      </c>
    </row>
    <row r="656" ht="15.75" customHeight="1">
      <c r="A656" s="27"/>
      <c r="B656" s="27"/>
      <c r="C656" s="27"/>
      <c r="D656" s="27"/>
      <c r="E656" s="28"/>
      <c r="F656" s="28" t="str">
        <f t="shared" si="4"/>
        <v/>
      </c>
      <c r="G656" s="29"/>
      <c r="H656" s="27"/>
      <c r="I656" s="29" t="str">
        <f t="shared" si="5"/>
        <v/>
      </c>
      <c r="J656" s="27"/>
      <c r="K656" s="27"/>
      <c r="L656" s="25" t="str">
        <f>IF(A656="","",IF(OR(G656="",AND(G656&gt;=Dashboard!$C$18,G656&lt;=Dashboard!$C$19)),1,0))</f>
        <v/>
      </c>
      <c r="M656" s="24">
        <f>IF(AND(L656=1,OR(Dashboard!$C$13="All",A656=Dashboard!$C$13),OR(Dashboard!$C$14="All",B656=Dashboard!$C$14),OR(Dashboard!$C$15="All",C656=Dashboard!$C$15),OR(Dashboard!$C$16="All",K656=Dashboard!$C$16),OR(Dashboard!$C$17="All",J656=Dashboard!$C$17)),1,0)</f>
        <v>0</v>
      </c>
      <c r="N656" s="24">
        <f>IF(AND(L656=1,OR(Dashboard!$C$13="All",A656=Dashboard!$C$13),OR(Dashboard!$C$14="All",B656=Dashboard!$C$14),OR(Dashboard!$C$16="All",K656=Dashboard!$C$16),OR(Dashboard!$C$17="All",J656=Dashboard!$C$17)),1,0)</f>
        <v>0</v>
      </c>
      <c r="O656" s="24">
        <f>IF(AND(L656=1,OR(Dashboard!$C$13="All",A656=Dashboard!$C$13),OR(Dashboard!$C$15="All",C656=Dashboard!$C$15),OR(Dashboard!$C$16="All",K656=Dashboard!$C$16),OR(Dashboard!$C$17="All",J656=Dashboard!$C$17)),1,0)</f>
        <v>0</v>
      </c>
      <c r="P656" s="24">
        <f>IF(AND(L656=1,OR(Dashboard!$C$13="All",A656=Dashboard!$C$13),OR(Dashboard!$C$14="All",B656=Dashboard!$C$14),OR(Dashboard!$C$15="All",C656=Dashboard!$C$15),OR(Dashboard!$C$17="All",J656=Dashboard!$C$17)),1,0)</f>
        <v>0</v>
      </c>
      <c r="Q656" s="24">
        <f>IF(AND(L656=1,OR(Dashboard!$C$14="All",B656=Dashboard!$C$14),OR(Dashboard!$C$15="All",C656=Dashboard!$C$15),OR(Dashboard!$C$16="All",K656=Dashboard!$C$16),OR(Dashboard!$C$17="All",J656=Dashboard!$C$17)),1,0)</f>
        <v>0</v>
      </c>
      <c r="R656" s="24">
        <f>IF(AND(L656=1,OR(Dashboard!$C$13="All",A656=Dashboard!$C$13),OR(Dashboard!$C$14="All",B656=Dashboard!$C$14),OR(Dashboard!$C$15="All",C656=Dashboard!$C$15),OR(Dashboard!$C$16="All",K656=Dashboard!$C$16)),1,0)</f>
        <v>0</v>
      </c>
      <c r="S656" s="25" t="str">
        <f t="shared" si="3"/>
        <v/>
      </c>
    </row>
    <row r="657" ht="15.75" customHeight="1">
      <c r="A657" s="27"/>
      <c r="B657" s="27"/>
      <c r="C657" s="27"/>
      <c r="D657" s="27"/>
      <c r="E657" s="28"/>
      <c r="F657" s="28" t="str">
        <f t="shared" si="4"/>
        <v/>
      </c>
      <c r="G657" s="29"/>
      <c r="H657" s="27"/>
      <c r="I657" s="29" t="str">
        <f t="shared" si="5"/>
        <v/>
      </c>
      <c r="J657" s="27"/>
      <c r="K657" s="27"/>
      <c r="L657" s="25" t="str">
        <f>IF(A657="","",IF(OR(G657="",AND(G657&gt;=Dashboard!$C$18,G657&lt;=Dashboard!$C$19)),1,0))</f>
        <v/>
      </c>
      <c r="M657" s="24">
        <f>IF(AND(L657=1,OR(Dashboard!$C$13="All",A657=Dashboard!$C$13),OR(Dashboard!$C$14="All",B657=Dashboard!$C$14),OR(Dashboard!$C$15="All",C657=Dashboard!$C$15),OR(Dashboard!$C$16="All",K657=Dashboard!$C$16),OR(Dashboard!$C$17="All",J657=Dashboard!$C$17)),1,0)</f>
        <v>0</v>
      </c>
      <c r="N657" s="24">
        <f>IF(AND(L657=1,OR(Dashboard!$C$13="All",A657=Dashboard!$C$13),OR(Dashboard!$C$14="All",B657=Dashboard!$C$14),OR(Dashboard!$C$16="All",K657=Dashboard!$C$16),OR(Dashboard!$C$17="All",J657=Dashboard!$C$17)),1,0)</f>
        <v>0</v>
      </c>
      <c r="O657" s="24">
        <f>IF(AND(L657=1,OR(Dashboard!$C$13="All",A657=Dashboard!$C$13),OR(Dashboard!$C$15="All",C657=Dashboard!$C$15),OR(Dashboard!$C$16="All",K657=Dashboard!$C$16),OR(Dashboard!$C$17="All",J657=Dashboard!$C$17)),1,0)</f>
        <v>0</v>
      </c>
      <c r="P657" s="24">
        <f>IF(AND(L657=1,OR(Dashboard!$C$13="All",A657=Dashboard!$C$13),OR(Dashboard!$C$14="All",B657=Dashboard!$C$14),OR(Dashboard!$C$15="All",C657=Dashboard!$C$15),OR(Dashboard!$C$17="All",J657=Dashboard!$C$17)),1,0)</f>
        <v>0</v>
      </c>
      <c r="Q657" s="24">
        <f>IF(AND(L657=1,OR(Dashboard!$C$14="All",B657=Dashboard!$C$14),OR(Dashboard!$C$15="All",C657=Dashboard!$C$15),OR(Dashboard!$C$16="All",K657=Dashboard!$C$16),OR(Dashboard!$C$17="All",J657=Dashboard!$C$17)),1,0)</f>
        <v>0</v>
      </c>
      <c r="R657" s="24">
        <f>IF(AND(L657=1,OR(Dashboard!$C$13="All",A657=Dashboard!$C$13),OR(Dashboard!$C$14="All",B657=Dashboard!$C$14),OR(Dashboard!$C$15="All",C657=Dashboard!$C$15),OR(Dashboard!$C$16="All",K657=Dashboard!$C$16)),1,0)</f>
        <v>0</v>
      </c>
      <c r="S657" s="25" t="str">
        <f t="shared" si="3"/>
        <v/>
      </c>
    </row>
    <row r="658" ht="15.75" customHeight="1">
      <c r="A658" s="27"/>
      <c r="B658" s="27"/>
      <c r="C658" s="27"/>
      <c r="D658" s="27"/>
      <c r="E658" s="28"/>
      <c r="F658" s="28" t="str">
        <f t="shared" si="4"/>
        <v/>
      </c>
      <c r="G658" s="29"/>
      <c r="H658" s="27"/>
      <c r="I658" s="29" t="str">
        <f t="shared" si="5"/>
        <v/>
      </c>
      <c r="J658" s="27"/>
      <c r="K658" s="27"/>
      <c r="L658" s="25" t="str">
        <f>IF(A658="","",IF(OR(G658="",AND(G658&gt;=Dashboard!$C$18,G658&lt;=Dashboard!$C$19)),1,0))</f>
        <v/>
      </c>
      <c r="M658" s="24">
        <f>IF(AND(L658=1,OR(Dashboard!$C$13="All",A658=Dashboard!$C$13),OR(Dashboard!$C$14="All",B658=Dashboard!$C$14),OR(Dashboard!$C$15="All",C658=Dashboard!$C$15),OR(Dashboard!$C$16="All",K658=Dashboard!$C$16),OR(Dashboard!$C$17="All",J658=Dashboard!$C$17)),1,0)</f>
        <v>0</v>
      </c>
      <c r="N658" s="24">
        <f>IF(AND(L658=1,OR(Dashboard!$C$13="All",A658=Dashboard!$C$13),OR(Dashboard!$C$14="All",B658=Dashboard!$C$14),OR(Dashboard!$C$16="All",K658=Dashboard!$C$16),OR(Dashboard!$C$17="All",J658=Dashboard!$C$17)),1,0)</f>
        <v>0</v>
      </c>
      <c r="O658" s="24">
        <f>IF(AND(L658=1,OR(Dashboard!$C$13="All",A658=Dashboard!$C$13),OR(Dashboard!$C$15="All",C658=Dashboard!$C$15),OR(Dashboard!$C$16="All",K658=Dashboard!$C$16),OR(Dashboard!$C$17="All",J658=Dashboard!$C$17)),1,0)</f>
        <v>0</v>
      </c>
      <c r="P658" s="24">
        <f>IF(AND(L658=1,OR(Dashboard!$C$13="All",A658=Dashboard!$C$13),OR(Dashboard!$C$14="All",B658=Dashboard!$C$14),OR(Dashboard!$C$15="All",C658=Dashboard!$C$15),OR(Dashboard!$C$17="All",J658=Dashboard!$C$17)),1,0)</f>
        <v>0</v>
      </c>
      <c r="Q658" s="24">
        <f>IF(AND(L658=1,OR(Dashboard!$C$14="All",B658=Dashboard!$C$14),OR(Dashboard!$C$15="All",C658=Dashboard!$C$15),OR(Dashboard!$C$16="All",K658=Dashboard!$C$16),OR(Dashboard!$C$17="All",J658=Dashboard!$C$17)),1,0)</f>
        <v>0</v>
      </c>
      <c r="R658" s="24">
        <f>IF(AND(L658=1,OR(Dashboard!$C$13="All",A658=Dashboard!$C$13),OR(Dashboard!$C$14="All",B658=Dashboard!$C$14),OR(Dashboard!$C$15="All",C658=Dashboard!$C$15),OR(Dashboard!$C$16="All",K658=Dashboard!$C$16)),1,0)</f>
        <v>0</v>
      </c>
      <c r="S658" s="25" t="str">
        <f t="shared" si="3"/>
        <v/>
      </c>
    </row>
    <row r="659" ht="15.75" customHeight="1">
      <c r="A659" s="27"/>
      <c r="B659" s="27"/>
      <c r="C659" s="27"/>
      <c r="D659" s="27"/>
      <c r="E659" s="28"/>
      <c r="F659" s="28" t="str">
        <f t="shared" si="4"/>
        <v/>
      </c>
      <c r="G659" s="29"/>
      <c r="H659" s="27"/>
      <c r="I659" s="29" t="str">
        <f t="shared" si="5"/>
        <v/>
      </c>
      <c r="J659" s="27"/>
      <c r="K659" s="27"/>
      <c r="L659" s="25" t="str">
        <f>IF(A659="","",IF(OR(G659="",AND(G659&gt;=Dashboard!$C$18,G659&lt;=Dashboard!$C$19)),1,0))</f>
        <v/>
      </c>
      <c r="M659" s="24">
        <f>IF(AND(L659=1,OR(Dashboard!$C$13="All",A659=Dashboard!$C$13),OR(Dashboard!$C$14="All",B659=Dashboard!$C$14),OR(Dashboard!$C$15="All",C659=Dashboard!$C$15),OR(Dashboard!$C$16="All",K659=Dashboard!$C$16),OR(Dashboard!$C$17="All",J659=Dashboard!$C$17)),1,0)</f>
        <v>0</v>
      </c>
      <c r="N659" s="24">
        <f>IF(AND(L659=1,OR(Dashboard!$C$13="All",A659=Dashboard!$C$13),OR(Dashboard!$C$14="All",B659=Dashboard!$C$14),OR(Dashboard!$C$16="All",K659=Dashboard!$C$16),OR(Dashboard!$C$17="All",J659=Dashboard!$C$17)),1,0)</f>
        <v>0</v>
      </c>
      <c r="O659" s="24">
        <f>IF(AND(L659=1,OR(Dashboard!$C$13="All",A659=Dashboard!$C$13),OR(Dashboard!$C$15="All",C659=Dashboard!$C$15),OR(Dashboard!$C$16="All",K659=Dashboard!$C$16),OR(Dashboard!$C$17="All",J659=Dashboard!$C$17)),1,0)</f>
        <v>0</v>
      </c>
      <c r="P659" s="24">
        <f>IF(AND(L659=1,OR(Dashboard!$C$13="All",A659=Dashboard!$C$13),OR(Dashboard!$C$14="All",B659=Dashboard!$C$14),OR(Dashboard!$C$15="All",C659=Dashboard!$C$15),OR(Dashboard!$C$17="All",J659=Dashboard!$C$17)),1,0)</f>
        <v>0</v>
      </c>
      <c r="Q659" s="24">
        <f>IF(AND(L659=1,OR(Dashboard!$C$14="All",B659=Dashboard!$C$14),OR(Dashboard!$C$15="All",C659=Dashboard!$C$15),OR(Dashboard!$C$16="All",K659=Dashboard!$C$16),OR(Dashboard!$C$17="All",J659=Dashboard!$C$17)),1,0)</f>
        <v>0</v>
      </c>
      <c r="R659" s="24">
        <f>IF(AND(L659=1,OR(Dashboard!$C$13="All",A659=Dashboard!$C$13),OR(Dashboard!$C$14="All",B659=Dashboard!$C$14),OR(Dashboard!$C$15="All",C659=Dashboard!$C$15),OR(Dashboard!$C$16="All",K659=Dashboard!$C$16)),1,0)</f>
        <v>0</v>
      </c>
      <c r="S659" s="25" t="str">
        <f t="shared" si="3"/>
        <v/>
      </c>
    </row>
    <row r="660" ht="15.75" customHeight="1">
      <c r="A660" s="27"/>
      <c r="B660" s="27"/>
      <c r="C660" s="27"/>
      <c r="D660" s="27"/>
      <c r="E660" s="28"/>
      <c r="F660" s="28" t="str">
        <f t="shared" si="4"/>
        <v/>
      </c>
      <c r="G660" s="29"/>
      <c r="H660" s="27"/>
      <c r="I660" s="29" t="str">
        <f t="shared" si="5"/>
        <v/>
      </c>
      <c r="J660" s="27"/>
      <c r="K660" s="27"/>
      <c r="L660" s="25" t="str">
        <f>IF(A660="","",IF(OR(G660="",AND(G660&gt;=Dashboard!$C$18,G660&lt;=Dashboard!$C$19)),1,0))</f>
        <v/>
      </c>
      <c r="M660" s="24">
        <f>IF(AND(L660=1,OR(Dashboard!$C$13="All",A660=Dashboard!$C$13),OR(Dashboard!$C$14="All",B660=Dashboard!$C$14),OR(Dashboard!$C$15="All",C660=Dashboard!$C$15),OR(Dashboard!$C$16="All",K660=Dashboard!$C$16),OR(Dashboard!$C$17="All",J660=Dashboard!$C$17)),1,0)</f>
        <v>0</v>
      </c>
      <c r="N660" s="24">
        <f>IF(AND(L660=1,OR(Dashboard!$C$13="All",A660=Dashboard!$C$13),OR(Dashboard!$C$14="All",B660=Dashboard!$C$14),OR(Dashboard!$C$16="All",K660=Dashboard!$C$16),OR(Dashboard!$C$17="All",J660=Dashboard!$C$17)),1,0)</f>
        <v>0</v>
      </c>
      <c r="O660" s="24">
        <f>IF(AND(L660=1,OR(Dashboard!$C$13="All",A660=Dashboard!$C$13),OR(Dashboard!$C$15="All",C660=Dashboard!$C$15),OR(Dashboard!$C$16="All",K660=Dashboard!$C$16),OR(Dashboard!$C$17="All",J660=Dashboard!$C$17)),1,0)</f>
        <v>0</v>
      </c>
      <c r="P660" s="24">
        <f>IF(AND(L660=1,OR(Dashboard!$C$13="All",A660=Dashboard!$C$13),OR(Dashboard!$C$14="All",B660=Dashboard!$C$14),OR(Dashboard!$C$15="All",C660=Dashboard!$C$15),OR(Dashboard!$C$17="All",J660=Dashboard!$C$17)),1,0)</f>
        <v>0</v>
      </c>
      <c r="Q660" s="24">
        <f>IF(AND(L660=1,OR(Dashboard!$C$14="All",B660=Dashboard!$C$14),OR(Dashboard!$C$15="All",C660=Dashboard!$C$15),OR(Dashboard!$C$16="All",K660=Dashboard!$C$16),OR(Dashboard!$C$17="All",J660=Dashboard!$C$17)),1,0)</f>
        <v>0</v>
      </c>
      <c r="R660" s="24">
        <f>IF(AND(L660=1,OR(Dashboard!$C$13="All",A660=Dashboard!$C$13),OR(Dashboard!$C$14="All",B660=Dashboard!$C$14),OR(Dashboard!$C$15="All",C660=Dashboard!$C$15),OR(Dashboard!$C$16="All",K660=Dashboard!$C$16)),1,0)</f>
        <v>0</v>
      </c>
      <c r="S660" s="25" t="str">
        <f t="shared" si="3"/>
        <v/>
      </c>
    </row>
    <row r="661" ht="15.75" customHeight="1">
      <c r="A661" s="27"/>
      <c r="B661" s="27"/>
      <c r="C661" s="27"/>
      <c r="D661" s="27"/>
      <c r="E661" s="28"/>
      <c r="F661" s="28" t="str">
        <f t="shared" si="4"/>
        <v/>
      </c>
      <c r="G661" s="29"/>
      <c r="H661" s="27"/>
      <c r="I661" s="29" t="str">
        <f t="shared" si="5"/>
        <v/>
      </c>
      <c r="J661" s="27"/>
      <c r="K661" s="27"/>
      <c r="L661" s="25" t="str">
        <f>IF(A661="","",IF(OR(G661="",AND(G661&gt;=Dashboard!$C$18,G661&lt;=Dashboard!$C$19)),1,0))</f>
        <v/>
      </c>
      <c r="M661" s="24">
        <f>IF(AND(L661=1,OR(Dashboard!$C$13="All",A661=Dashboard!$C$13),OR(Dashboard!$C$14="All",B661=Dashboard!$C$14),OR(Dashboard!$C$15="All",C661=Dashboard!$C$15),OR(Dashboard!$C$16="All",K661=Dashboard!$C$16),OR(Dashboard!$C$17="All",J661=Dashboard!$C$17)),1,0)</f>
        <v>0</v>
      </c>
      <c r="N661" s="24">
        <f>IF(AND(L661=1,OR(Dashboard!$C$13="All",A661=Dashboard!$C$13),OR(Dashboard!$C$14="All",B661=Dashboard!$C$14),OR(Dashboard!$C$16="All",K661=Dashboard!$C$16),OR(Dashboard!$C$17="All",J661=Dashboard!$C$17)),1,0)</f>
        <v>0</v>
      </c>
      <c r="O661" s="24">
        <f>IF(AND(L661=1,OR(Dashboard!$C$13="All",A661=Dashboard!$C$13),OR(Dashboard!$C$15="All",C661=Dashboard!$C$15),OR(Dashboard!$C$16="All",K661=Dashboard!$C$16),OR(Dashboard!$C$17="All",J661=Dashboard!$C$17)),1,0)</f>
        <v>0</v>
      </c>
      <c r="P661" s="24">
        <f>IF(AND(L661=1,OR(Dashboard!$C$13="All",A661=Dashboard!$C$13),OR(Dashboard!$C$14="All",B661=Dashboard!$C$14),OR(Dashboard!$C$15="All",C661=Dashboard!$C$15),OR(Dashboard!$C$17="All",J661=Dashboard!$C$17)),1,0)</f>
        <v>0</v>
      </c>
      <c r="Q661" s="24">
        <f>IF(AND(L661=1,OR(Dashboard!$C$14="All",B661=Dashboard!$C$14),OR(Dashboard!$C$15="All",C661=Dashboard!$C$15),OR(Dashboard!$C$16="All",K661=Dashboard!$C$16),OR(Dashboard!$C$17="All",J661=Dashboard!$C$17)),1,0)</f>
        <v>0</v>
      </c>
      <c r="R661" s="24">
        <f>IF(AND(L661=1,OR(Dashboard!$C$13="All",A661=Dashboard!$C$13),OR(Dashboard!$C$14="All",B661=Dashboard!$C$14),OR(Dashboard!$C$15="All",C661=Dashboard!$C$15),OR(Dashboard!$C$16="All",K661=Dashboard!$C$16)),1,0)</f>
        <v>0</v>
      </c>
      <c r="S661" s="25" t="str">
        <f t="shared" si="3"/>
        <v/>
      </c>
    </row>
    <row r="662" ht="15.75" customHeight="1">
      <c r="A662" s="27"/>
      <c r="B662" s="27"/>
      <c r="C662" s="27"/>
      <c r="D662" s="27"/>
      <c r="E662" s="28"/>
      <c r="F662" s="28" t="str">
        <f t="shared" si="4"/>
        <v/>
      </c>
      <c r="G662" s="29"/>
      <c r="H662" s="27"/>
      <c r="I662" s="29" t="str">
        <f t="shared" si="5"/>
        <v/>
      </c>
      <c r="J662" s="27"/>
      <c r="K662" s="27"/>
      <c r="L662" s="25" t="str">
        <f>IF(A662="","",IF(OR(G662="",AND(G662&gt;=Dashboard!$C$18,G662&lt;=Dashboard!$C$19)),1,0))</f>
        <v/>
      </c>
      <c r="M662" s="24">
        <f>IF(AND(L662=1,OR(Dashboard!$C$13="All",A662=Dashboard!$C$13),OR(Dashboard!$C$14="All",B662=Dashboard!$C$14),OR(Dashboard!$C$15="All",C662=Dashboard!$C$15),OR(Dashboard!$C$16="All",K662=Dashboard!$C$16),OR(Dashboard!$C$17="All",J662=Dashboard!$C$17)),1,0)</f>
        <v>0</v>
      </c>
      <c r="N662" s="24">
        <f>IF(AND(L662=1,OR(Dashboard!$C$13="All",A662=Dashboard!$C$13),OR(Dashboard!$C$14="All",B662=Dashboard!$C$14),OR(Dashboard!$C$16="All",K662=Dashboard!$C$16),OR(Dashboard!$C$17="All",J662=Dashboard!$C$17)),1,0)</f>
        <v>0</v>
      </c>
      <c r="O662" s="24">
        <f>IF(AND(L662=1,OR(Dashboard!$C$13="All",A662=Dashboard!$C$13),OR(Dashboard!$C$15="All",C662=Dashboard!$C$15),OR(Dashboard!$C$16="All",K662=Dashboard!$C$16),OR(Dashboard!$C$17="All",J662=Dashboard!$C$17)),1,0)</f>
        <v>0</v>
      </c>
      <c r="P662" s="24">
        <f>IF(AND(L662=1,OR(Dashboard!$C$13="All",A662=Dashboard!$C$13),OR(Dashboard!$C$14="All",B662=Dashboard!$C$14),OR(Dashboard!$C$15="All",C662=Dashboard!$C$15),OR(Dashboard!$C$17="All",J662=Dashboard!$C$17)),1,0)</f>
        <v>0</v>
      </c>
      <c r="Q662" s="24">
        <f>IF(AND(L662=1,OR(Dashboard!$C$14="All",B662=Dashboard!$C$14),OR(Dashboard!$C$15="All",C662=Dashboard!$C$15),OR(Dashboard!$C$16="All",K662=Dashboard!$C$16),OR(Dashboard!$C$17="All",J662=Dashboard!$C$17)),1,0)</f>
        <v>0</v>
      </c>
      <c r="R662" s="24">
        <f>IF(AND(L662=1,OR(Dashboard!$C$13="All",A662=Dashboard!$C$13),OR(Dashboard!$C$14="All",B662=Dashboard!$C$14),OR(Dashboard!$C$15="All",C662=Dashboard!$C$15),OR(Dashboard!$C$16="All",K662=Dashboard!$C$16)),1,0)</f>
        <v>0</v>
      </c>
      <c r="S662" s="25" t="str">
        <f t="shared" si="3"/>
        <v/>
      </c>
    </row>
    <row r="663" ht="15.75" customHeight="1">
      <c r="A663" s="27"/>
      <c r="B663" s="27"/>
      <c r="C663" s="27"/>
      <c r="D663" s="27"/>
      <c r="E663" s="28"/>
      <c r="F663" s="28" t="str">
        <f t="shared" si="4"/>
        <v/>
      </c>
      <c r="G663" s="29"/>
      <c r="H663" s="27"/>
      <c r="I663" s="29" t="str">
        <f t="shared" si="5"/>
        <v/>
      </c>
      <c r="J663" s="27"/>
      <c r="K663" s="27"/>
      <c r="L663" s="25" t="str">
        <f>IF(A663="","",IF(OR(G663="",AND(G663&gt;=Dashboard!$C$18,G663&lt;=Dashboard!$C$19)),1,0))</f>
        <v/>
      </c>
      <c r="M663" s="24">
        <f>IF(AND(L663=1,OR(Dashboard!$C$13="All",A663=Dashboard!$C$13),OR(Dashboard!$C$14="All",B663=Dashboard!$C$14),OR(Dashboard!$C$15="All",C663=Dashboard!$C$15),OR(Dashboard!$C$16="All",K663=Dashboard!$C$16),OR(Dashboard!$C$17="All",J663=Dashboard!$C$17)),1,0)</f>
        <v>0</v>
      </c>
      <c r="N663" s="24">
        <f>IF(AND(L663=1,OR(Dashboard!$C$13="All",A663=Dashboard!$C$13),OR(Dashboard!$C$14="All",B663=Dashboard!$C$14),OR(Dashboard!$C$16="All",K663=Dashboard!$C$16),OR(Dashboard!$C$17="All",J663=Dashboard!$C$17)),1,0)</f>
        <v>0</v>
      </c>
      <c r="O663" s="24">
        <f>IF(AND(L663=1,OR(Dashboard!$C$13="All",A663=Dashboard!$C$13),OR(Dashboard!$C$15="All",C663=Dashboard!$C$15),OR(Dashboard!$C$16="All",K663=Dashboard!$C$16),OR(Dashboard!$C$17="All",J663=Dashboard!$C$17)),1,0)</f>
        <v>0</v>
      </c>
      <c r="P663" s="24">
        <f>IF(AND(L663=1,OR(Dashboard!$C$13="All",A663=Dashboard!$C$13),OR(Dashboard!$C$14="All",B663=Dashboard!$C$14),OR(Dashboard!$C$15="All",C663=Dashboard!$C$15),OR(Dashboard!$C$17="All",J663=Dashboard!$C$17)),1,0)</f>
        <v>0</v>
      </c>
      <c r="Q663" s="24">
        <f>IF(AND(L663=1,OR(Dashboard!$C$14="All",B663=Dashboard!$C$14),OR(Dashboard!$C$15="All",C663=Dashboard!$C$15),OR(Dashboard!$C$16="All",K663=Dashboard!$C$16),OR(Dashboard!$C$17="All",J663=Dashboard!$C$17)),1,0)</f>
        <v>0</v>
      </c>
      <c r="R663" s="24">
        <f>IF(AND(L663=1,OR(Dashboard!$C$13="All",A663=Dashboard!$C$13),OR(Dashboard!$C$14="All",B663=Dashboard!$C$14),OR(Dashboard!$C$15="All",C663=Dashboard!$C$15),OR(Dashboard!$C$16="All",K663=Dashboard!$C$16)),1,0)</f>
        <v>0</v>
      </c>
      <c r="S663" s="25" t="str">
        <f t="shared" si="3"/>
        <v/>
      </c>
    </row>
    <row r="664" ht="15.75" customHeight="1">
      <c r="A664" s="27"/>
      <c r="B664" s="27"/>
      <c r="C664" s="27"/>
      <c r="D664" s="27"/>
      <c r="E664" s="28"/>
      <c r="F664" s="28" t="str">
        <f t="shared" si="4"/>
        <v/>
      </c>
      <c r="G664" s="29"/>
      <c r="H664" s="27"/>
      <c r="I664" s="29" t="str">
        <f t="shared" si="5"/>
        <v/>
      </c>
      <c r="J664" s="27"/>
      <c r="K664" s="27"/>
      <c r="L664" s="25" t="str">
        <f>IF(A664="","",IF(OR(G664="",AND(G664&gt;=Dashboard!$C$18,G664&lt;=Dashboard!$C$19)),1,0))</f>
        <v/>
      </c>
      <c r="M664" s="24">
        <f>IF(AND(L664=1,OR(Dashboard!$C$13="All",A664=Dashboard!$C$13),OR(Dashboard!$C$14="All",B664=Dashboard!$C$14),OR(Dashboard!$C$15="All",C664=Dashboard!$C$15),OR(Dashboard!$C$16="All",K664=Dashboard!$C$16),OR(Dashboard!$C$17="All",J664=Dashboard!$C$17)),1,0)</f>
        <v>0</v>
      </c>
      <c r="N664" s="24">
        <f>IF(AND(L664=1,OR(Dashboard!$C$13="All",A664=Dashboard!$C$13),OR(Dashboard!$C$14="All",B664=Dashboard!$C$14),OR(Dashboard!$C$16="All",K664=Dashboard!$C$16),OR(Dashboard!$C$17="All",J664=Dashboard!$C$17)),1,0)</f>
        <v>0</v>
      </c>
      <c r="O664" s="24">
        <f>IF(AND(L664=1,OR(Dashboard!$C$13="All",A664=Dashboard!$C$13),OR(Dashboard!$C$15="All",C664=Dashboard!$C$15),OR(Dashboard!$C$16="All",K664=Dashboard!$C$16),OR(Dashboard!$C$17="All",J664=Dashboard!$C$17)),1,0)</f>
        <v>0</v>
      </c>
      <c r="P664" s="24">
        <f>IF(AND(L664=1,OR(Dashboard!$C$13="All",A664=Dashboard!$C$13),OR(Dashboard!$C$14="All",B664=Dashboard!$C$14),OR(Dashboard!$C$15="All",C664=Dashboard!$C$15),OR(Dashboard!$C$17="All",J664=Dashboard!$C$17)),1,0)</f>
        <v>0</v>
      </c>
      <c r="Q664" s="24">
        <f>IF(AND(L664=1,OR(Dashboard!$C$14="All",B664=Dashboard!$C$14),OR(Dashboard!$C$15="All",C664=Dashboard!$C$15),OR(Dashboard!$C$16="All",K664=Dashboard!$C$16),OR(Dashboard!$C$17="All",J664=Dashboard!$C$17)),1,0)</f>
        <v>0</v>
      </c>
      <c r="R664" s="24">
        <f>IF(AND(L664=1,OR(Dashboard!$C$13="All",A664=Dashboard!$C$13),OR(Dashboard!$C$14="All",B664=Dashboard!$C$14),OR(Dashboard!$C$15="All",C664=Dashboard!$C$15),OR(Dashboard!$C$16="All",K664=Dashboard!$C$16)),1,0)</f>
        <v>0</v>
      </c>
      <c r="S664" s="25" t="str">
        <f t="shared" si="3"/>
        <v/>
      </c>
    </row>
    <row r="665" ht="15.75" customHeight="1">
      <c r="A665" s="27"/>
      <c r="B665" s="27"/>
      <c r="C665" s="27"/>
      <c r="D665" s="27"/>
      <c r="E665" s="28"/>
      <c r="F665" s="28" t="str">
        <f t="shared" si="4"/>
        <v/>
      </c>
      <c r="G665" s="29"/>
      <c r="H665" s="27"/>
      <c r="I665" s="29" t="str">
        <f t="shared" si="5"/>
        <v/>
      </c>
      <c r="J665" s="27"/>
      <c r="K665" s="27"/>
      <c r="L665" s="25" t="str">
        <f>IF(A665="","",IF(OR(G665="",AND(G665&gt;=Dashboard!$C$18,G665&lt;=Dashboard!$C$19)),1,0))</f>
        <v/>
      </c>
      <c r="M665" s="24">
        <f>IF(AND(L665=1,OR(Dashboard!$C$13="All",A665=Dashboard!$C$13),OR(Dashboard!$C$14="All",B665=Dashboard!$C$14),OR(Dashboard!$C$15="All",C665=Dashboard!$C$15),OR(Dashboard!$C$16="All",K665=Dashboard!$C$16),OR(Dashboard!$C$17="All",J665=Dashboard!$C$17)),1,0)</f>
        <v>0</v>
      </c>
      <c r="N665" s="24">
        <f>IF(AND(L665=1,OR(Dashboard!$C$13="All",A665=Dashboard!$C$13),OR(Dashboard!$C$14="All",B665=Dashboard!$C$14),OR(Dashboard!$C$16="All",K665=Dashboard!$C$16),OR(Dashboard!$C$17="All",J665=Dashboard!$C$17)),1,0)</f>
        <v>0</v>
      </c>
      <c r="O665" s="24">
        <f>IF(AND(L665=1,OR(Dashboard!$C$13="All",A665=Dashboard!$C$13),OR(Dashboard!$C$15="All",C665=Dashboard!$C$15),OR(Dashboard!$C$16="All",K665=Dashboard!$C$16),OR(Dashboard!$C$17="All",J665=Dashboard!$C$17)),1,0)</f>
        <v>0</v>
      </c>
      <c r="P665" s="24">
        <f>IF(AND(L665=1,OR(Dashboard!$C$13="All",A665=Dashboard!$C$13),OR(Dashboard!$C$14="All",B665=Dashboard!$C$14),OR(Dashboard!$C$15="All",C665=Dashboard!$C$15),OR(Dashboard!$C$17="All",J665=Dashboard!$C$17)),1,0)</f>
        <v>0</v>
      </c>
      <c r="Q665" s="24">
        <f>IF(AND(L665=1,OR(Dashboard!$C$14="All",B665=Dashboard!$C$14),OR(Dashboard!$C$15="All",C665=Dashboard!$C$15),OR(Dashboard!$C$16="All",K665=Dashboard!$C$16),OR(Dashboard!$C$17="All",J665=Dashboard!$C$17)),1,0)</f>
        <v>0</v>
      </c>
      <c r="R665" s="24">
        <f>IF(AND(L665=1,OR(Dashboard!$C$13="All",A665=Dashboard!$C$13),OR(Dashboard!$C$14="All",B665=Dashboard!$C$14),OR(Dashboard!$C$15="All",C665=Dashboard!$C$15),OR(Dashboard!$C$16="All",K665=Dashboard!$C$16)),1,0)</f>
        <v>0</v>
      </c>
      <c r="S665" s="25" t="str">
        <f t="shared" si="3"/>
        <v/>
      </c>
    </row>
    <row r="666" ht="15.75" customHeight="1">
      <c r="A666" s="27"/>
      <c r="B666" s="27"/>
      <c r="C666" s="27"/>
      <c r="D666" s="27"/>
      <c r="E666" s="28"/>
      <c r="F666" s="28" t="str">
        <f t="shared" si="4"/>
        <v/>
      </c>
      <c r="G666" s="29"/>
      <c r="H666" s="27"/>
      <c r="I666" s="29" t="str">
        <f t="shared" si="5"/>
        <v/>
      </c>
      <c r="J666" s="27"/>
      <c r="K666" s="27"/>
      <c r="L666" s="25" t="str">
        <f>IF(A666="","",IF(OR(G666="",AND(G666&gt;=Dashboard!$C$18,G666&lt;=Dashboard!$C$19)),1,0))</f>
        <v/>
      </c>
      <c r="M666" s="24">
        <f>IF(AND(L666=1,OR(Dashboard!$C$13="All",A666=Dashboard!$C$13),OR(Dashboard!$C$14="All",B666=Dashboard!$C$14),OR(Dashboard!$C$15="All",C666=Dashboard!$C$15),OR(Dashboard!$C$16="All",K666=Dashboard!$C$16),OR(Dashboard!$C$17="All",J666=Dashboard!$C$17)),1,0)</f>
        <v>0</v>
      </c>
      <c r="N666" s="24">
        <f>IF(AND(L666=1,OR(Dashboard!$C$13="All",A666=Dashboard!$C$13),OR(Dashboard!$C$14="All",B666=Dashboard!$C$14),OR(Dashboard!$C$16="All",K666=Dashboard!$C$16),OR(Dashboard!$C$17="All",J666=Dashboard!$C$17)),1,0)</f>
        <v>0</v>
      </c>
      <c r="O666" s="24">
        <f>IF(AND(L666=1,OR(Dashboard!$C$13="All",A666=Dashboard!$C$13),OR(Dashboard!$C$15="All",C666=Dashboard!$C$15),OR(Dashboard!$C$16="All",K666=Dashboard!$C$16),OR(Dashboard!$C$17="All",J666=Dashboard!$C$17)),1,0)</f>
        <v>0</v>
      </c>
      <c r="P666" s="24">
        <f>IF(AND(L666=1,OR(Dashboard!$C$13="All",A666=Dashboard!$C$13),OR(Dashboard!$C$14="All",B666=Dashboard!$C$14),OR(Dashboard!$C$15="All",C666=Dashboard!$C$15),OR(Dashboard!$C$17="All",J666=Dashboard!$C$17)),1,0)</f>
        <v>0</v>
      </c>
      <c r="Q666" s="24">
        <f>IF(AND(L666=1,OR(Dashboard!$C$14="All",B666=Dashboard!$C$14),OR(Dashboard!$C$15="All",C666=Dashboard!$C$15),OR(Dashboard!$C$16="All",K666=Dashboard!$C$16),OR(Dashboard!$C$17="All",J666=Dashboard!$C$17)),1,0)</f>
        <v>0</v>
      </c>
      <c r="R666" s="24">
        <f>IF(AND(L666=1,OR(Dashboard!$C$13="All",A666=Dashboard!$C$13),OR(Dashboard!$C$14="All",B666=Dashboard!$C$14),OR(Dashboard!$C$15="All",C666=Dashboard!$C$15),OR(Dashboard!$C$16="All",K666=Dashboard!$C$16)),1,0)</f>
        <v>0</v>
      </c>
      <c r="S666" s="25" t="str">
        <f t="shared" si="3"/>
        <v/>
      </c>
    </row>
    <row r="667" ht="15.75" customHeight="1">
      <c r="A667" s="27"/>
      <c r="B667" s="27"/>
      <c r="C667" s="27"/>
      <c r="D667" s="27"/>
      <c r="E667" s="28"/>
      <c r="F667" s="28" t="str">
        <f t="shared" si="4"/>
        <v/>
      </c>
      <c r="G667" s="29"/>
      <c r="H667" s="27"/>
      <c r="I667" s="29" t="str">
        <f t="shared" si="5"/>
        <v/>
      </c>
      <c r="J667" s="27"/>
      <c r="K667" s="27"/>
      <c r="L667" s="25" t="str">
        <f>IF(A667="","",IF(OR(G667="",AND(G667&gt;=Dashboard!$C$18,G667&lt;=Dashboard!$C$19)),1,0))</f>
        <v/>
      </c>
      <c r="M667" s="24">
        <f>IF(AND(L667=1,OR(Dashboard!$C$13="All",A667=Dashboard!$C$13),OR(Dashboard!$C$14="All",B667=Dashboard!$C$14),OR(Dashboard!$C$15="All",C667=Dashboard!$C$15),OR(Dashboard!$C$16="All",K667=Dashboard!$C$16),OR(Dashboard!$C$17="All",J667=Dashboard!$C$17)),1,0)</f>
        <v>0</v>
      </c>
      <c r="N667" s="24">
        <f>IF(AND(L667=1,OR(Dashboard!$C$13="All",A667=Dashboard!$C$13),OR(Dashboard!$C$14="All",B667=Dashboard!$C$14),OR(Dashboard!$C$16="All",K667=Dashboard!$C$16),OR(Dashboard!$C$17="All",J667=Dashboard!$C$17)),1,0)</f>
        <v>0</v>
      </c>
      <c r="O667" s="24">
        <f>IF(AND(L667=1,OR(Dashboard!$C$13="All",A667=Dashboard!$C$13),OR(Dashboard!$C$15="All",C667=Dashboard!$C$15),OR(Dashboard!$C$16="All",K667=Dashboard!$C$16),OR(Dashboard!$C$17="All",J667=Dashboard!$C$17)),1,0)</f>
        <v>0</v>
      </c>
      <c r="P667" s="24">
        <f>IF(AND(L667=1,OR(Dashboard!$C$13="All",A667=Dashboard!$C$13),OR(Dashboard!$C$14="All",B667=Dashboard!$C$14),OR(Dashboard!$C$15="All",C667=Dashboard!$C$15),OR(Dashboard!$C$17="All",J667=Dashboard!$C$17)),1,0)</f>
        <v>0</v>
      </c>
      <c r="Q667" s="24">
        <f>IF(AND(L667=1,OR(Dashboard!$C$14="All",B667=Dashboard!$C$14),OR(Dashboard!$C$15="All",C667=Dashboard!$C$15),OR(Dashboard!$C$16="All",K667=Dashboard!$C$16),OR(Dashboard!$C$17="All",J667=Dashboard!$C$17)),1,0)</f>
        <v>0</v>
      </c>
      <c r="R667" s="24">
        <f>IF(AND(L667=1,OR(Dashboard!$C$13="All",A667=Dashboard!$C$13),OR(Dashboard!$C$14="All",B667=Dashboard!$C$14),OR(Dashboard!$C$15="All",C667=Dashboard!$C$15),OR(Dashboard!$C$16="All",K667=Dashboard!$C$16)),1,0)</f>
        <v>0</v>
      </c>
      <c r="S667" s="25" t="str">
        <f t="shared" si="3"/>
        <v/>
      </c>
    </row>
    <row r="668" ht="15.75" customHeight="1">
      <c r="A668" s="27"/>
      <c r="B668" s="27"/>
      <c r="C668" s="27"/>
      <c r="D668" s="27"/>
      <c r="E668" s="28"/>
      <c r="F668" s="28" t="str">
        <f t="shared" si="4"/>
        <v/>
      </c>
      <c r="G668" s="29"/>
      <c r="H668" s="27"/>
      <c r="I668" s="29" t="str">
        <f t="shared" si="5"/>
        <v/>
      </c>
      <c r="J668" s="27"/>
      <c r="K668" s="27"/>
      <c r="L668" s="25" t="str">
        <f>IF(A668="","",IF(OR(G668="",AND(G668&gt;=Dashboard!$C$18,G668&lt;=Dashboard!$C$19)),1,0))</f>
        <v/>
      </c>
      <c r="M668" s="24">
        <f>IF(AND(L668=1,OR(Dashboard!$C$13="All",A668=Dashboard!$C$13),OR(Dashboard!$C$14="All",B668=Dashboard!$C$14),OR(Dashboard!$C$15="All",C668=Dashboard!$C$15),OR(Dashboard!$C$16="All",K668=Dashboard!$C$16),OR(Dashboard!$C$17="All",J668=Dashboard!$C$17)),1,0)</f>
        <v>0</v>
      </c>
      <c r="N668" s="24">
        <f>IF(AND(L668=1,OR(Dashboard!$C$13="All",A668=Dashboard!$C$13),OR(Dashboard!$C$14="All",B668=Dashboard!$C$14),OR(Dashboard!$C$16="All",K668=Dashboard!$C$16),OR(Dashboard!$C$17="All",J668=Dashboard!$C$17)),1,0)</f>
        <v>0</v>
      </c>
      <c r="O668" s="24">
        <f>IF(AND(L668=1,OR(Dashboard!$C$13="All",A668=Dashboard!$C$13),OR(Dashboard!$C$15="All",C668=Dashboard!$C$15),OR(Dashboard!$C$16="All",K668=Dashboard!$C$16),OR(Dashboard!$C$17="All",J668=Dashboard!$C$17)),1,0)</f>
        <v>0</v>
      </c>
      <c r="P668" s="24">
        <f>IF(AND(L668=1,OR(Dashboard!$C$13="All",A668=Dashboard!$C$13),OR(Dashboard!$C$14="All",B668=Dashboard!$C$14),OR(Dashboard!$C$15="All",C668=Dashboard!$C$15),OR(Dashboard!$C$17="All",J668=Dashboard!$C$17)),1,0)</f>
        <v>0</v>
      </c>
      <c r="Q668" s="24">
        <f>IF(AND(L668=1,OR(Dashboard!$C$14="All",B668=Dashboard!$C$14),OR(Dashboard!$C$15="All",C668=Dashboard!$C$15),OR(Dashboard!$C$16="All",K668=Dashboard!$C$16),OR(Dashboard!$C$17="All",J668=Dashboard!$C$17)),1,0)</f>
        <v>0</v>
      </c>
      <c r="R668" s="24">
        <f>IF(AND(L668=1,OR(Dashboard!$C$13="All",A668=Dashboard!$C$13),OR(Dashboard!$C$14="All",B668=Dashboard!$C$14),OR(Dashboard!$C$15="All",C668=Dashboard!$C$15),OR(Dashboard!$C$16="All",K668=Dashboard!$C$16)),1,0)</f>
        <v>0</v>
      </c>
      <c r="S668" s="25" t="str">
        <f t="shared" si="3"/>
        <v/>
      </c>
    </row>
    <row r="669" ht="15.75" customHeight="1">
      <c r="A669" s="27"/>
      <c r="B669" s="27"/>
      <c r="C669" s="27"/>
      <c r="D669" s="27"/>
      <c r="E669" s="28"/>
      <c r="F669" s="28" t="str">
        <f t="shared" si="4"/>
        <v/>
      </c>
      <c r="G669" s="29"/>
      <c r="H669" s="27"/>
      <c r="I669" s="29" t="str">
        <f t="shared" si="5"/>
        <v/>
      </c>
      <c r="J669" s="27"/>
      <c r="K669" s="27"/>
      <c r="L669" s="25" t="str">
        <f>IF(A669="","",IF(OR(G669="",AND(G669&gt;=Dashboard!$C$18,G669&lt;=Dashboard!$C$19)),1,0))</f>
        <v/>
      </c>
      <c r="M669" s="24">
        <f>IF(AND(L669=1,OR(Dashboard!$C$13="All",A669=Dashboard!$C$13),OR(Dashboard!$C$14="All",B669=Dashboard!$C$14),OR(Dashboard!$C$15="All",C669=Dashboard!$C$15),OR(Dashboard!$C$16="All",K669=Dashboard!$C$16),OR(Dashboard!$C$17="All",J669=Dashboard!$C$17)),1,0)</f>
        <v>0</v>
      </c>
      <c r="N669" s="24">
        <f>IF(AND(L669=1,OR(Dashboard!$C$13="All",A669=Dashboard!$C$13),OR(Dashboard!$C$14="All",B669=Dashboard!$C$14),OR(Dashboard!$C$16="All",K669=Dashboard!$C$16),OR(Dashboard!$C$17="All",J669=Dashboard!$C$17)),1,0)</f>
        <v>0</v>
      </c>
      <c r="O669" s="24">
        <f>IF(AND(L669=1,OR(Dashboard!$C$13="All",A669=Dashboard!$C$13),OR(Dashboard!$C$15="All",C669=Dashboard!$C$15),OR(Dashboard!$C$16="All",K669=Dashboard!$C$16),OR(Dashboard!$C$17="All",J669=Dashboard!$C$17)),1,0)</f>
        <v>0</v>
      </c>
      <c r="P669" s="24">
        <f>IF(AND(L669=1,OR(Dashboard!$C$13="All",A669=Dashboard!$C$13),OR(Dashboard!$C$14="All",B669=Dashboard!$C$14),OR(Dashboard!$C$15="All",C669=Dashboard!$C$15),OR(Dashboard!$C$17="All",J669=Dashboard!$C$17)),1,0)</f>
        <v>0</v>
      </c>
      <c r="Q669" s="24">
        <f>IF(AND(L669=1,OR(Dashboard!$C$14="All",B669=Dashboard!$C$14),OR(Dashboard!$C$15="All",C669=Dashboard!$C$15),OR(Dashboard!$C$16="All",K669=Dashboard!$C$16),OR(Dashboard!$C$17="All",J669=Dashboard!$C$17)),1,0)</f>
        <v>0</v>
      </c>
      <c r="R669" s="24">
        <f>IF(AND(L669=1,OR(Dashboard!$C$13="All",A669=Dashboard!$C$13),OR(Dashboard!$C$14="All",B669=Dashboard!$C$14),OR(Dashboard!$C$15="All",C669=Dashboard!$C$15),OR(Dashboard!$C$16="All",K669=Dashboard!$C$16)),1,0)</f>
        <v>0</v>
      </c>
      <c r="S669" s="25" t="str">
        <f t="shared" si="3"/>
        <v/>
      </c>
    </row>
    <row r="670" ht="15.75" customHeight="1">
      <c r="A670" s="27"/>
      <c r="B670" s="27"/>
      <c r="C670" s="27"/>
      <c r="D670" s="27"/>
      <c r="E670" s="28"/>
      <c r="F670" s="28" t="str">
        <f t="shared" si="4"/>
        <v/>
      </c>
      <c r="G670" s="29"/>
      <c r="H670" s="27"/>
      <c r="I670" s="29" t="str">
        <f t="shared" si="5"/>
        <v/>
      </c>
      <c r="J670" s="27"/>
      <c r="K670" s="27"/>
      <c r="L670" s="25" t="str">
        <f>IF(A670="","",IF(OR(G670="",AND(G670&gt;=Dashboard!$C$18,G670&lt;=Dashboard!$C$19)),1,0))</f>
        <v/>
      </c>
      <c r="M670" s="24">
        <f>IF(AND(L670=1,OR(Dashboard!$C$13="All",A670=Dashboard!$C$13),OR(Dashboard!$C$14="All",B670=Dashboard!$C$14),OR(Dashboard!$C$15="All",C670=Dashboard!$C$15),OR(Dashboard!$C$16="All",K670=Dashboard!$C$16),OR(Dashboard!$C$17="All",J670=Dashboard!$C$17)),1,0)</f>
        <v>0</v>
      </c>
      <c r="N670" s="24">
        <f>IF(AND(L670=1,OR(Dashboard!$C$13="All",A670=Dashboard!$C$13),OR(Dashboard!$C$14="All",B670=Dashboard!$C$14),OR(Dashboard!$C$16="All",K670=Dashboard!$C$16),OR(Dashboard!$C$17="All",J670=Dashboard!$C$17)),1,0)</f>
        <v>0</v>
      </c>
      <c r="O670" s="24">
        <f>IF(AND(L670=1,OR(Dashboard!$C$13="All",A670=Dashboard!$C$13),OR(Dashboard!$C$15="All",C670=Dashboard!$C$15),OR(Dashboard!$C$16="All",K670=Dashboard!$C$16),OR(Dashboard!$C$17="All",J670=Dashboard!$C$17)),1,0)</f>
        <v>0</v>
      </c>
      <c r="P670" s="24">
        <f>IF(AND(L670=1,OR(Dashboard!$C$13="All",A670=Dashboard!$C$13),OR(Dashboard!$C$14="All",B670=Dashboard!$C$14),OR(Dashboard!$C$15="All",C670=Dashboard!$C$15),OR(Dashboard!$C$17="All",J670=Dashboard!$C$17)),1,0)</f>
        <v>0</v>
      </c>
      <c r="Q670" s="24">
        <f>IF(AND(L670=1,OR(Dashboard!$C$14="All",B670=Dashboard!$C$14),OR(Dashboard!$C$15="All",C670=Dashboard!$C$15),OR(Dashboard!$C$16="All",K670=Dashboard!$C$16),OR(Dashboard!$C$17="All",J670=Dashboard!$C$17)),1,0)</f>
        <v>0</v>
      </c>
      <c r="R670" s="24">
        <f>IF(AND(L670=1,OR(Dashboard!$C$13="All",A670=Dashboard!$C$13),OR(Dashboard!$C$14="All",B670=Dashboard!$C$14),OR(Dashboard!$C$15="All",C670=Dashboard!$C$15),OR(Dashboard!$C$16="All",K670=Dashboard!$C$16)),1,0)</f>
        <v>0</v>
      </c>
      <c r="S670" s="25" t="str">
        <f t="shared" si="3"/>
        <v/>
      </c>
    </row>
    <row r="671" ht="15.75" customHeight="1">
      <c r="A671" s="27"/>
      <c r="B671" s="27"/>
      <c r="C671" s="27"/>
      <c r="D671" s="27"/>
      <c r="E671" s="28"/>
      <c r="F671" s="28" t="str">
        <f t="shared" si="4"/>
        <v/>
      </c>
      <c r="G671" s="29"/>
      <c r="H671" s="27"/>
      <c r="I671" s="29" t="str">
        <f t="shared" si="5"/>
        <v/>
      </c>
      <c r="J671" s="27"/>
      <c r="K671" s="27"/>
      <c r="L671" s="25" t="str">
        <f>IF(A671="","",IF(OR(G671="",AND(G671&gt;=Dashboard!$C$18,G671&lt;=Dashboard!$C$19)),1,0))</f>
        <v/>
      </c>
      <c r="M671" s="24">
        <f>IF(AND(L671=1,OR(Dashboard!$C$13="All",A671=Dashboard!$C$13),OR(Dashboard!$C$14="All",B671=Dashboard!$C$14),OR(Dashboard!$C$15="All",C671=Dashboard!$C$15),OR(Dashboard!$C$16="All",K671=Dashboard!$C$16),OR(Dashboard!$C$17="All",J671=Dashboard!$C$17)),1,0)</f>
        <v>0</v>
      </c>
      <c r="N671" s="24">
        <f>IF(AND(L671=1,OR(Dashboard!$C$13="All",A671=Dashboard!$C$13),OR(Dashboard!$C$14="All",B671=Dashboard!$C$14),OR(Dashboard!$C$16="All",K671=Dashboard!$C$16),OR(Dashboard!$C$17="All",J671=Dashboard!$C$17)),1,0)</f>
        <v>0</v>
      </c>
      <c r="O671" s="24">
        <f>IF(AND(L671=1,OR(Dashboard!$C$13="All",A671=Dashboard!$C$13),OR(Dashboard!$C$15="All",C671=Dashboard!$C$15),OR(Dashboard!$C$16="All",K671=Dashboard!$C$16),OR(Dashboard!$C$17="All",J671=Dashboard!$C$17)),1,0)</f>
        <v>0</v>
      </c>
      <c r="P671" s="24">
        <f>IF(AND(L671=1,OR(Dashboard!$C$13="All",A671=Dashboard!$C$13),OR(Dashboard!$C$14="All",B671=Dashboard!$C$14),OR(Dashboard!$C$15="All",C671=Dashboard!$C$15),OR(Dashboard!$C$17="All",J671=Dashboard!$C$17)),1,0)</f>
        <v>0</v>
      </c>
      <c r="Q671" s="24">
        <f>IF(AND(L671=1,OR(Dashboard!$C$14="All",B671=Dashboard!$C$14),OR(Dashboard!$C$15="All",C671=Dashboard!$C$15),OR(Dashboard!$C$16="All",K671=Dashboard!$C$16),OR(Dashboard!$C$17="All",J671=Dashboard!$C$17)),1,0)</f>
        <v>0</v>
      </c>
      <c r="R671" s="24">
        <f>IF(AND(L671=1,OR(Dashboard!$C$13="All",A671=Dashboard!$C$13),OR(Dashboard!$C$14="All",B671=Dashboard!$C$14),OR(Dashboard!$C$15="All",C671=Dashboard!$C$15),OR(Dashboard!$C$16="All",K671=Dashboard!$C$16)),1,0)</f>
        <v>0</v>
      </c>
      <c r="S671" s="25" t="str">
        <f t="shared" si="3"/>
        <v/>
      </c>
    </row>
    <row r="672" ht="15.75" customHeight="1">
      <c r="A672" s="27"/>
      <c r="B672" s="27"/>
      <c r="C672" s="27"/>
      <c r="D672" s="27"/>
      <c r="E672" s="28"/>
      <c r="F672" s="28" t="str">
        <f t="shared" si="4"/>
        <v/>
      </c>
      <c r="G672" s="29"/>
      <c r="H672" s="27"/>
      <c r="I672" s="29" t="str">
        <f t="shared" si="5"/>
        <v/>
      </c>
      <c r="J672" s="27"/>
      <c r="K672" s="27"/>
      <c r="L672" s="25" t="str">
        <f>IF(A672="","",IF(OR(G672="",AND(G672&gt;=Dashboard!$C$18,G672&lt;=Dashboard!$C$19)),1,0))</f>
        <v/>
      </c>
      <c r="M672" s="24">
        <f>IF(AND(L672=1,OR(Dashboard!$C$13="All",A672=Dashboard!$C$13),OR(Dashboard!$C$14="All",B672=Dashboard!$C$14),OR(Dashboard!$C$15="All",C672=Dashboard!$C$15),OR(Dashboard!$C$16="All",K672=Dashboard!$C$16),OR(Dashboard!$C$17="All",J672=Dashboard!$C$17)),1,0)</f>
        <v>0</v>
      </c>
      <c r="N672" s="24">
        <f>IF(AND(L672=1,OR(Dashboard!$C$13="All",A672=Dashboard!$C$13),OR(Dashboard!$C$14="All",B672=Dashboard!$C$14),OR(Dashboard!$C$16="All",K672=Dashboard!$C$16),OR(Dashboard!$C$17="All",J672=Dashboard!$C$17)),1,0)</f>
        <v>0</v>
      </c>
      <c r="O672" s="24">
        <f>IF(AND(L672=1,OR(Dashboard!$C$13="All",A672=Dashboard!$C$13),OR(Dashboard!$C$15="All",C672=Dashboard!$C$15),OR(Dashboard!$C$16="All",K672=Dashboard!$C$16),OR(Dashboard!$C$17="All",J672=Dashboard!$C$17)),1,0)</f>
        <v>0</v>
      </c>
      <c r="P672" s="24">
        <f>IF(AND(L672=1,OR(Dashboard!$C$13="All",A672=Dashboard!$C$13),OR(Dashboard!$C$14="All",B672=Dashboard!$C$14),OR(Dashboard!$C$15="All",C672=Dashboard!$C$15),OR(Dashboard!$C$17="All",J672=Dashboard!$C$17)),1,0)</f>
        <v>0</v>
      </c>
      <c r="Q672" s="24">
        <f>IF(AND(L672=1,OR(Dashboard!$C$14="All",B672=Dashboard!$C$14),OR(Dashboard!$C$15="All",C672=Dashboard!$C$15),OR(Dashboard!$C$16="All",K672=Dashboard!$C$16),OR(Dashboard!$C$17="All",J672=Dashboard!$C$17)),1,0)</f>
        <v>0</v>
      </c>
      <c r="R672" s="24">
        <f>IF(AND(L672=1,OR(Dashboard!$C$13="All",A672=Dashboard!$C$13),OR(Dashboard!$C$14="All",B672=Dashboard!$C$14),OR(Dashboard!$C$15="All",C672=Dashboard!$C$15),OR(Dashboard!$C$16="All",K672=Dashboard!$C$16)),1,0)</f>
        <v>0</v>
      </c>
      <c r="S672" s="25" t="str">
        <f t="shared" si="3"/>
        <v/>
      </c>
    </row>
    <row r="673" ht="15.75" customHeight="1">
      <c r="A673" s="27"/>
      <c r="B673" s="27"/>
      <c r="C673" s="27"/>
      <c r="D673" s="27"/>
      <c r="E673" s="28"/>
      <c r="F673" s="28" t="str">
        <f t="shared" si="4"/>
        <v/>
      </c>
      <c r="G673" s="29"/>
      <c r="H673" s="27"/>
      <c r="I673" s="29" t="str">
        <f t="shared" si="5"/>
        <v/>
      </c>
      <c r="J673" s="27"/>
      <c r="K673" s="27"/>
      <c r="L673" s="25" t="str">
        <f>IF(A673="","",IF(OR(G673="",AND(G673&gt;=Dashboard!$C$18,G673&lt;=Dashboard!$C$19)),1,0))</f>
        <v/>
      </c>
      <c r="M673" s="24">
        <f>IF(AND(L673=1,OR(Dashboard!$C$13="All",A673=Dashboard!$C$13),OR(Dashboard!$C$14="All",B673=Dashboard!$C$14),OR(Dashboard!$C$15="All",C673=Dashboard!$C$15),OR(Dashboard!$C$16="All",K673=Dashboard!$C$16),OR(Dashboard!$C$17="All",J673=Dashboard!$C$17)),1,0)</f>
        <v>0</v>
      </c>
      <c r="N673" s="24">
        <f>IF(AND(L673=1,OR(Dashboard!$C$13="All",A673=Dashboard!$C$13),OR(Dashboard!$C$14="All",B673=Dashboard!$C$14),OR(Dashboard!$C$16="All",K673=Dashboard!$C$16),OR(Dashboard!$C$17="All",J673=Dashboard!$C$17)),1,0)</f>
        <v>0</v>
      </c>
      <c r="O673" s="24">
        <f>IF(AND(L673=1,OR(Dashboard!$C$13="All",A673=Dashboard!$C$13),OR(Dashboard!$C$15="All",C673=Dashboard!$C$15),OR(Dashboard!$C$16="All",K673=Dashboard!$C$16),OR(Dashboard!$C$17="All",J673=Dashboard!$C$17)),1,0)</f>
        <v>0</v>
      </c>
      <c r="P673" s="24">
        <f>IF(AND(L673=1,OR(Dashboard!$C$13="All",A673=Dashboard!$C$13),OR(Dashboard!$C$14="All",B673=Dashboard!$C$14),OR(Dashboard!$C$15="All",C673=Dashboard!$C$15),OR(Dashboard!$C$17="All",J673=Dashboard!$C$17)),1,0)</f>
        <v>0</v>
      </c>
      <c r="Q673" s="24">
        <f>IF(AND(L673=1,OR(Dashboard!$C$14="All",B673=Dashboard!$C$14),OR(Dashboard!$C$15="All",C673=Dashboard!$C$15),OR(Dashboard!$C$16="All",K673=Dashboard!$C$16),OR(Dashboard!$C$17="All",J673=Dashboard!$C$17)),1,0)</f>
        <v>0</v>
      </c>
      <c r="R673" s="24">
        <f>IF(AND(L673=1,OR(Dashboard!$C$13="All",A673=Dashboard!$C$13),OR(Dashboard!$C$14="All",B673=Dashboard!$C$14),OR(Dashboard!$C$15="All",C673=Dashboard!$C$15),OR(Dashboard!$C$16="All",K673=Dashboard!$C$16)),1,0)</f>
        <v>0</v>
      </c>
      <c r="S673" s="25" t="str">
        <f t="shared" si="3"/>
        <v/>
      </c>
    </row>
    <row r="674" ht="15.75" customHeight="1">
      <c r="A674" s="27"/>
      <c r="B674" s="27"/>
      <c r="C674" s="27"/>
      <c r="D674" s="27"/>
      <c r="E674" s="28"/>
      <c r="F674" s="28" t="str">
        <f t="shared" si="4"/>
        <v/>
      </c>
      <c r="G674" s="29"/>
      <c r="H674" s="27"/>
      <c r="I674" s="29" t="str">
        <f t="shared" si="5"/>
        <v/>
      </c>
      <c r="J674" s="27"/>
      <c r="K674" s="27"/>
      <c r="L674" s="25" t="str">
        <f>IF(A674="","",IF(OR(G674="",AND(G674&gt;=Dashboard!$C$18,G674&lt;=Dashboard!$C$19)),1,0))</f>
        <v/>
      </c>
      <c r="M674" s="24">
        <f>IF(AND(L674=1,OR(Dashboard!$C$13="All",A674=Dashboard!$C$13),OR(Dashboard!$C$14="All",B674=Dashboard!$C$14),OR(Dashboard!$C$15="All",C674=Dashboard!$C$15),OR(Dashboard!$C$16="All",K674=Dashboard!$C$16),OR(Dashboard!$C$17="All",J674=Dashboard!$C$17)),1,0)</f>
        <v>0</v>
      </c>
      <c r="N674" s="24">
        <f>IF(AND(L674=1,OR(Dashboard!$C$13="All",A674=Dashboard!$C$13),OR(Dashboard!$C$14="All",B674=Dashboard!$C$14),OR(Dashboard!$C$16="All",K674=Dashboard!$C$16),OR(Dashboard!$C$17="All",J674=Dashboard!$C$17)),1,0)</f>
        <v>0</v>
      </c>
      <c r="O674" s="24">
        <f>IF(AND(L674=1,OR(Dashboard!$C$13="All",A674=Dashboard!$C$13),OR(Dashboard!$C$15="All",C674=Dashboard!$C$15),OR(Dashboard!$C$16="All",K674=Dashboard!$C$16),OR(Dashboard!$C$17="All",J674=Dashboard!$C$17)),1,0)</f>
        <v>0</v>
      </c>
      <c r="P674" s="24">
        <f>IF(AND(L674=1,OR(Dashboard!$C$13="All",A674=Dashboard!$C$13),OR(Dashboard!$C$14="All",B674=Dashboard!$C$14),OR(Dashboard!$C$15="All",C674=Dashboard!$C$15),OR(Dashboard!$C$17="All",J674=Dashboard!$C$17)),1,0)</f>
        <v>0</v>
      </c>
      <c r="Q674" s="24">
        <f>IF(AND(L674=1,OR(Dashboard!$C$14="All",B674=Dashboard!$C$14),OR(Dashboard!$C$15="All",C674=Dashboard!$C$15),OR(Dashboard!$C$16="All",K674=Dashboard!$C$16),OR(Dashboard!$C$17="All",J674=Dashboard!$C$17)),1,0)</f>
        <v>0</v>
      </c>
      <c r="R674" s="24">
        <f>IF(AND(L674=1,OR(Dashboard!$C$13="All",A674=Dashboard!$C$13),OR(Dashboard!$C$14="All",B674=Dashboard!$C$14),OR(Dashboard!$C$15="All",C674=Dashboard!$C$15),OR(Dashboard!$C$16="All",K674=Dashboard!$C$16)),1,0)</f>
        <v>0</v>
      </c>
      <c r="S674" s="25" t="str">
        <f t="shared" si="3"/>
        <v/>
      </c>
    </row>
    <row r="675" ht="15.75" customHeight="1">
      <c r="A675" s="27"/>
      <c r="B675" s="27"/>
      <c r="C675" s="27"/>
      <c r="D675" s="27"/>
      <c r="E675" s="28"/>
      <c r="F675" s="28" t="str">
        <f t="shared" si="4"/>
        <v/>
      </c>
      <c r="G675" s="29"/>
      <c r="H675" s="27"/>
      <c r="I675" s="29" t="str">
        <f t="shared" si="5"/>
        <v/>
      </c>
      <c r="J675" s="27"/>
      <c r="K675" s="27"/>
      <c r="L675" s="25" t="str">
        <f>IF(A675="","",IF(OR(G675="",AND(G675&gt;=Dashboard!$C$18,G675&lt;=Dashboard!$C$19)),1,0))</f>
        <v/>
      </c>
      <c r="M675" s="24">
        <f>IF(AND(L675=1,OR(Dashboard!$C$13="All",A675=Dashboard!$C$13),OR(Dashboard!$C$14="All",B675=Dashboard!$C$14),OR(Dashboard!$C$15="All",C675=Dashboard!$C$15),OR(Dashboard!$C$16="All",K675=Dashboard!$C$16),OR(Dashboard!$C$17="All",J675=Dashboard!$C$17)),1,0)</f>
        <v>0</v>
      </c>
      <c r="N675" s="24">
        <f>IF(AND(L675=1,OR(Dashboard!$C$13="All",A675=Dashboard!$C$13),OR(Dashboard!$C$14="All",B675=Dashboard!$C$14),OR(Dashboard!$C$16="All",K675=Dashboard!$C$16),OR(Dashboard!$C$17="All",J675=Dashboard!$C$17)),1,0)</f>
        <v>0</v>
      </c>
      <c r="O675" s="24">
        <f>IF(AND(L675=1,OR(Dashboard!$C$13="All",A675=Dashboard!$C$13),OR(Dashboard!$C$15="All",C675=Dashboard!$C$15),OR(Dashboard!$C$16="All",K675=Dashboard!$C$16),OR(Dashboard!$C$17="All",J675=Dashboard!$C$17)),1,0)</f>
        <v>0</v>
      </c>
      <c r="P675" s="24">
        <f>IF(AND(L675=1,OR(Dashboard!$C$13="All",A675=Dashboard!$C$13),OR(Dashboard!$C$14="All",B675=Dashboard!$C$14),OR(Dashboard!$C$15="All",C675=Dashboard!$C$15),OR(Dashboard!$C$17="All",J675=Dashboard!$C$17)),1,0)</f>
        <v>0</v>
      </c>
      <c r="Q675" s="24">
        <f>IF(AND(L675=1,OR(Dashboard!$C$14="All",B675=Dashboard!$C$14),OR(Dashboard!$C$15="All",C675=Dashboard!$C$15),OR(Dashboard!$C$16="All",K675=Dashboard!$C$16),OR(Dashboard!$C$17="All",J675=Dashboard!$C$17)),1,0)</f>
        <v>0</v>
      </c>
      <c r="R675" s="24">
        <f>IF(AND(L675=1,OR(Dashboard!$C$13="All",A675=Dashboard!$C$13),OR(Dashboard!$C$14="All",B675=Dashboard!$C$14),OR(Dashboard!$C$15="All",C675=Dashboard!$C$15),OR(Dashboard!$C$16="All",K675=Dashboard!$C$16)),1,0)</f>
        <v>0</v>
      </c>
      <c r="S675" s="25" t="str">
        <f t="shared" si="3"/>
        <v/>
      </c>
    </row>
    <row r="676" ht="15.75" customHeight="1">
      <c r="A676" s="27"/>
      <c r="B676" s="27"/>
      <c r="C676" s="27"/>
      <c r="D676" s="27"/>
      <c r="E676" s="28"/>
      <c r="F676" s="28" t="str">
        <f t="shared" si="4"/>
        <v/>
      </c>
      <c r="G676" s="29"/>
      <c r="H676" s="27"/>
      <c r="I676" s="29" t="str">
        <f t="shared" si="5"/>
        <v/>
      </c>
      <c r="J676" s="27"/>
      <c r="K676" s="27"/>
      <c r="L676" s="25" t="str">
        <f>IF(A676="","",IF(OR(G676="",AND(G676&gt;=Dashboard!$C$18,G676&lt;=Dashboard!$C$19)),1,0))</f>
        <v/>
      </c>
      <c r="M676" s="24">
        <f>IF(AND(L676=1,OR(Dashboard!$C$13="All",A676=Dashboard!$C$13),OR(Dashboard!$C$14="All",B676=Dashboard!$C$14),OR(Dashboard!$C$15="All",C676=Dashboard!$C$15),OR(Dashboard!$C$16="All",K676=Dashboard!$C$16),OR(Dashboard!$C$17="All",J676=Dashboard!$C$17)),1,0)</f>
        <v>0</v>
      </c>
      <c r="N676" s="24">
        <f>IF(AND(L676=1,OR(Dashboard!$C$13="All",A676=Dashboard!$C$13),OR(Dashboard!$C$14="All",B676=Dashboard!$C$14),OR(Dashboard!$C$16="All",K676=Dashboard!$C$16),OR(Dashboard!$C$17="All",J676=Dashboard!$C$17)),1,0)</f>
        <v>0</v>
      </c>
      <c r="O676" s="24">
        <f>IF(AND(L676=1,OR(Dashboard!$C$13="All",A676=Dashboard!$C$13),OR(Dashboard!$C$15="All",C676=Dashboard!$C$15),OR(Dashboard!$C$16="All",K676=Dashboard!$C$16),OR(Dashboard!$C$17="All",J676=Dashboard!$C$17)),1,0)</f>
        <v>0</v>
      </c>
      <c r="P676" s="24">
        <f>IF(AND(L676=1,OR(Dashboard!$C$13="All",A676=Dashboard!$C$13),OR(Dashboard!$C$14="All",B676=Dashboard!$C$14),OR(Dashboard!$C$15="All",C676=Dashboard!$C$15),OR(Dashboard!$C$17="All",J676=Dashboard!$C$17)),1,0)</f>
        <v>0</v>
      </c>
      <c r="Q676" s="24">
        <f>IF(AND(L676=1,OR(Dashboard!$C$14="All",B676=Dashboard!$C$14),OR(Dashboard!$C$15="All",C676=Dashboard!$C$15),OR(Dashboard!$C$16="All",K676=Dashboard!$C$16),OR(Dashboard!$C$17="All",J676=Dashboard!$C$17)),1,0)</f>
        <v>0</v>
      </c>
      <c r="R676" s="24">
        <f>IF(AND(L676=1,OR(Dashboard!$C$13="All",A676=Dashboard!$C$13),OR(Dashboard!$C$14="All",B676=Dashboard!$C$14),OR(Dashboard!$C$15="All",C676=Dashboard!$C$15),OR(Dashboard!$C$16="All",K676=Dashboard!$C$16)),1,0)</f>
        <v>0</v>
      </c>
      <c r="S676" s="25" t="str">
        <f t="shared" si="3"/>
        <v/>
      </c>
    </row>
    <row r="677" ht="15.75" customHeight="1">
      <c r="A677" s="27"/>
      <c r="B677" s="27"/>
      <c r="C677" s="27"/>
      <c r="D677" s="27"/>
      <c r="E677" s="28"/>
      <c r="F677" s="28" t="str">
        <f t="shared" si="4"/>
        <v/>
      </c>
      <c r="G677" s="29"/>
      <c r="H677" s="27"/>
      <c r="I677" s="29" t="str">
        <f t="shared" si="5"/>
        <v/>
      </c>
      <c r="J677" s="27"/>
      <c r="K677" s="27"/>
      <c r="L677" s="25" t="str">
        <f>IF(A677="","",IF(OR(G677="",AND(G677&gt;=Dashboard!$C$18,G677&lt;=Dashboard!$C$19)),1,0))</f>
        <v/>
      </c>
      <c r="M677" s="24">
        <f>IF(AND(L677=1,OR(Dashboard!$C$13="All",A677=Dashboard!$C$13),OR(Dashboard!$C$14="All",B677=Dashboard!$C$14),OR(Dashboard!$C$15="All",C677=Dashboard!$C$15),OR(Dashboard!$C$16="All",K677=Dashboard!$C$16),OR(Dashboard!$C$17="All",J677=Dashboard!$C$17)),1,0)</f>
        <v>0</v>
      </c>
      <c r="N677" s="24">
        <f>IF(AND(L677=1,OR(Dashboard!$C$13="All",A677=Dashboard!$C$13),OR(Dashboard!$C$14="All",B677=Dashboard!$C$14),OR(Dashboard!$C$16="All",K677=Dashboard!$C$16),OR(Dashboard!$C$17="All",J677=Dashboard!$C$17)),1,0)</f>
        <v>0</v>
      </c>
      <c r="O677" s="24">
        <f>IF(AND(L677=1,OR(Dashboard!$C$13="All",A677=Dashboard!$C$13),OR(Dashboard!$C$15="All",C677=Dashboard!$C$15),OR(Dashboard!$C$16="All",K677=Dashboard!$C$16),OR(Dashboard!$C$17="All",J677=Dashboard!$C$17)),1,0)</f>
        <v>0</v>
      </c>
      <c r="P677" s="24">
        <f>IF(AND(L677=1,OR(Dashboard!$C$13="All",A677=Dashboard!$C$13),OR(Dashboard!$C$14="All",B677=Dashboard!$C$14),OR(Dashboard!$C$15="All",C677=Dashboard!$C$15),OR(Dashboard!$C$17="All",J677=Dashboard!$C$17)),1,0)</f>
        <v>0</v>
      </c>
      <c r="Q677" s="24">
        <f>IF(AND(L677=1,OR(Dashboard!$C$14="All",B677=Dashboard!$C$14),OR(Dashboard!$C$15="All",C677=Dashboard!$C$15),OR(Dashboard!$C$16="All",K677=Dashboard!$C$16),OR(Dashboard!$C$17="All",J677=Dashboard!$C$17)),1,0)</f>
        <v>0</v>
      </c>
      <c r="R677" s="24">
        <f>IF(AND(L677=1,OR(Dashboard!$C$13="All",A677=Dashboard!$C$13),OR(Dashboard!$C$14="All",B677=Dashboard!$C$14),OR(Dashboard!$C$15="All",C677=Dashboard!$C$15),OR(Dashboard!$C$16="All",K677=Dashboard!$C$16)),1,0)</f>
        <v>0</v>
      </c>
      <c r="S677" s="25" t="str">
        <f t="shared" si="3"/>
        <v/>
      </c>
    </row>
    <row r="678" ht="15.75" customHeight="1">
      <c r="A678" s="27"/>
      <c r="B678" s="27"/>
      <c r="C678" s="27"/>
      <c r="D678" s="27"/>
      <c r="E678" s="28"/>
      <c r="F678" s="28" t="str">
        <f t="shared" si="4"/>
        <v/>
      </c>
      <c r="G678" s="29"/>
      <c r="H678" s="27"/>
      <c r="I678" s="29" t="str">
        <f t="shared" si="5"/>
        <v/>
      </c>
      <c r="J678" s="27"/>
      <c r="K678" s="27"/>
      <c r="L678" s="25" t="str">
        <f>IF(A678="","",IF(OR(G678="",AND(G678&gt;=Dashboard!$C$18,G678&lt;=Dashboard!$C$19)),1,0))</f>
        <v/>
      </c>
      <c r="M678" s="24">
        <f>IF(AND(L678=1,OR(Dashboard!$C$13="All",A678=Dashboard!$C$13),OR(Dashboard!$C$14="All",B678=Dashboard!$C$14),OR(Dashboard!$C$15="All",C678=Dashboard!$C$15),OR(Dashboard!$C$16="All",K678=Dashboard!$C$16),OR(Dashboard!$C$17="All",J678=Dashboard!$C$17)),1,0)</f>
        <v>0</v>
      </c>
      <c r="N678" s="24">
        <f>IF(AND(L678=1,OR(Dashboard!$C$13="All",A678=Dashboard!$C$13),OR(Dashboard!$C$14="All",B678=Dashboard!$C$14),OR(Dashboard!$C$16="All",K678=Dashboard!$C$16),OR(Dashboard!$C$17="All",J678=Dashboard!$C$17)),1,0)</f>
        <v>0</v>
      </c>
      <c r="O678" s="24">
        <f>IF(AND(L678=1,OR(Dashboard!$C$13="All",A678=Dashboard!$C$13),OR(Dashboard!$C$15="All",C678=Dashboard!$C$15),OR(Dashboard!$C$16="All",K678=Dashboard!$C$16),OR(Dashboard!$C$17="All",J678=Dashboard!$C$17)),1,0)</f>
        <v>0</v>
      </c>
      <c r="P678" s="24">
        <f>IF(AND(L678=1,OR(Dashboard!$C$13="All",A678=Dashboard!$C$13),OR(Dashboard!$C$14="All",B678=Dashboard!$C$14),OR(Dashboard!$C$15="All",C678=Dashboard!$C$15),OR(Dashboard!$C$17="All",J678=Dashboard!$C$17)),1,0)</f>
        <v>0</v>
      </c>
      <c r="Q678" s="24">
        <f>IF(AND(L678=1,OR(Dashboard!$C$14="All",B678=Dashboard!$C$14),OR(Dashboard!$C$15="All",C678=Dashboard!$C$15),OR(Dashboard!$C$16="All",K678=Dashboard!$C$16),OR(Dashboard!$C$17="All",J678=Dashboard!$C$17)),1,0)</f>
        <v>0</v>
      </c>
      <c r="R678" s="24">
        <f>IF(AND(L678=1,OR(Dashboard!$C$13="All",A678=Dashboard!$C$13),OR(Dashboard!$C$14="All",B678=Dashboard!$C$14),OR(Dashboard!$C$15="All",C678=Dashboard!$C$15),OR(Dashboard!$C$16="All",K678=Dashboard!$C$16)),1,0)</f>
        <v>0</v>
      </c>
      <c r="S678" s="25" t="str">
        <f t="shared" si="3"/>
        <v/>
      </c>
    </row>
    <row r="679" ht="15.75" customHeight="1">
      <c r="A679" s="27"/>
      <c r="B679" s="27"/>
      <c r="C679" s="27"/>
      <c r="D679" s="27"/>
      <c r="E679" s="28"/>
      <c r="F679" s="28" t="str">
        <f t="shared" si="4"/>
        <v/>
      </c>
      <c r="G679" s="29"/>
      <c r="H679" s="27"/>
      <c r="I679" s="29" t="str">
        <f t="shared" si="5"/>
        <v/>
      </c>
      <c r="J679" s="27"/>
      <c r="K679" s="27"/>
      <c r="L679" s="25" t="str">
        <f>IF(A679="","",IF(OR(G679="",AND(G679&gt;=Dashboard!$C$18,G679&lt;=Dashboard!$C$19)),1,0))</f>
        <v/>
      </c>
      <c r="M679" s="24">
        <f>IF(AND(L679=1,OR(Dashboard!$C$13="All",A679=Dashboard!$C$13),OR(Dashboard!$C$14="All",B679=Dashboard!$C$14),OR(Dashboard!$C$15="All",C679=Dashboard!$C$15),OR(Dashboard!$C$16="All",K679=Dashboard!$C$16),OR(Dashboard!$C$17="All",J679=Dashboard!$C$17)),1,0)</f>
        <v>0</v>
      </c>
      <c r="N679" s="24">
        <f>IF(AND(L679=1,OR(Dashboard!$C$13="All",A679=Dashboard!$C$13),OR(Dashboard!$C$14="All",B679=Dashboard!$C$14),OR(Dashboard!$C$16="All",K679=Dashboard!$C$16),OR(Dashboard!$C$17="All",J679=Dashboard!$C$17)),1,0)</f>
        <v>0</v>
      </c>
      <c r="O679" s="24">
        <f>IF(AND(L679=1,OR(Dashboard!$C$13="All",A679=Dashboard!$C$13),OR(Dashboard!$C$15="All",C679=Dashboard!$C$15),OR(Dashboard!$C$16="All",K679=Dashboard!$C$16),OR(Dashboard!$C$17="All",J679=Dashboard!$C$17)),1,0)</f>
        <v>0</v>
      </c>
      <c r="P679" s="24">
        <f>IF(AND(L679=1,OR(Dashboard!$C$13="All",A679=Dashboard!$C$13),OR(Dashboard!$C$14="All",B679=Dashboard!$C$14),OR(Dashboard!$C$15="All",C679=Dashboard!$C$15),OR(Dashboard!$C$17="All",J679=Dashboard!$C$17)),1,0)</f>
        <v>0</v>
      </c>
      <c r="Q679" s="24">
        <f>IF(AND(L679=1,OR(Dashboard!$C$14="All",B679=Dashboard!$C$14),OR(Dashboard!$C$15="All",C679=Dashboard!$C$15),OR(Dashboard!$C$16="All",K679=Dashboard!$C$16),OR(Dashboard!$C$17="All",J679=Dashboard!$C$17)),1,0)</f>
        <v>0</v>
      </c>
      <c r="R679" s="24">
        <f>IF(AND(L679=1,OR(Dashboard!$C$13="All",A679=Dashboard!$C$13),OR(Dashboard!$C$14="All",B679=Dashboard!$C$14),OR(Dashboard!$C$15="All",C679=Dashboard!$C$15),OR(Dashboard!$C$16="All",K679=Dashboard!$C$16)),1,0)</f>
        <v>0</v>
      </c>
      <c r="S679" s="25" t="str">
        <f t="shared" si="3"/>
        <v/>
      </c>
    </row>
    <row r="680" ht="15.75" customHeight="1">
      <c r="A680" s="27"/>
      <c r="B680" s="27"/>
      <c r="C680" s="27"/>
      <c r="D680" s="27"/>
      <c r="E680" s="28"/>
      <c r="F680" s="28" t="str">
        <f t="shared" si="4"/>
        <v/>
      </c>
      <c r="G680" s="29"/>
      <c r="H680" s="27"/>
      <c r="I680" s="29" t="str">
        <f t="shared" si="5"/>
        <v/>
      </c>
      <c r="J680" s="27"/>
      <c r="K680" s="27"/>
      <c r="L680" s="25" t="str">
        <f>IF(A680="","",IF(OR(G680="",AND(G680&gt;=Dashboard!$C$18,G680&lt;=Dashboard!$C$19)),1,0))</f>
        <v/>
      </c>
      <c r="M680" s="24">
        <f>IF(AND(L680=1,OR(Dashboard!$C$13="All",A680=Dashboard!$C$13),OR(Dashboard!$C$14="All",B680=Dashboard!$C$14),OR(Dashboard!$C$15="All",C680=Dashboard!$C$15),OR(Dashboard!$C$16="All",K680=Dashboard!$C$16),OR(Dashboard!$C$17="All",J680=Dashboard!$C$17)),1,0)</f>
        <v>0</v>
      </c>
      <c r="N680" s="24">
        <f>IF(AND(L680=1,OR(Dashboard!$C$13="All",A680=Dashboard!$C$13),OR(Dashboard!$C$14="All",B680=Dashboard!$C$14),OR(Dashboard!$C$16="All",K680=Dashboard!$C$16),OR(Dashboard!$C$17="All",J680=Dashboard!$C$17)),1,0)</f>
        <v>0</v>
      </c>
      <c r="O680" s="24">
        <f>IF(AND(L680=1,OR(Dashboard!$C$13="All",A680=Dashboard!$C$13),OR(Dashboard!$C$15="All",C680=Dashboard!$C$15),OR(Dashboard!$C$16="All",K680=Dashboard!$C$16),OR(Dashboard!$C$17="All",J680=Dashboard!$C$17)),1,0)</f>
        <v>0</v>
      </c>
      <c r="P680" s="24">
        <f>IF(AND(L680=1,OR(Dashboard!$C$13="All",A680=Dashboard!$C$13),OR(Dashboard!$C$14="All",B680=Dashboard!$C$14),OR(Dashboard!$C$15="All",C680=Dashboard!$C$15),OR(Dashboard!$C$17="All",J680=Dashboard!$C$17)),1,0)</f>
        <v>0</v>
      </c>
      <c r="Q680" s="24">
        <f>IF(AND(L680=1,OR(Dashboard!$C$14="All",B680=Dashboard!$C$14),OR(Dashboard!$C$15="All",C680=Dashboard!$C$15),OR(Dashboard!$C$16="All",K680=Dashboard!$C$16),OR(Dashboard!$C$17="All",J680=Dashboard!$C$17)),1,0)</f>
        <v>0</v>
      </c>
      <c r="R680" s="24">
        <f>IF(AND(L680=1,OR(Dashboard!$C$13="All",A680=Dashboard!$C$13),OR(Dashboard!$C$14="All",B680=Dashboard!$C$14),OR(Dashboard!$C$15="All",C680=Dashboard!$C$15),OR(Dashboard!$C$16="All",K680=Dashboard!$C$16)),1,0)</f>
        <v>0</v>
      </c>
      <c r="S680" s="25" t="str">
        <f t="shared" si="3"/>
        <v/>
      </c>
    </row>
    <row r="681" ht="15.75" customHeight="1">
      <c r="A681" s="27"/>
      <c r="B681" s="27"/>
      <c r="C681" s="27"/>
      <c r="D681" s="27"/>
      <c r="E681" s="28"/>
      <c r="F681" s="28" t="str">
        <f t="shared" si="4"/>
        <v/>
      </c>
      <c r="G681" s="29"/>
      <c r="H681" s="27"/>
      <c r="I681" s="29" t="str">
        <f t="shared" si="5"/>
        <v/>
      </c>
      <c r="J681" s="27"/>
      <c r="K681" s="27"/>
      <c r="L681" s="25" t="str">
        <f>IF(A681="","",IF(OR(G681="",AND(G681&gt;=Dashboard!$C$18,G681&lt;=Dashboard!$C$19)),1,0))</f>
        <v/>
      </c>
      <c r="M681" s="24">
        <f>IF(AND(L681=1,OR(Dashboard!$C$13="All",A681=Dashboard!$C$13),OR(Dashboard!$C$14="All",B681=Dashboard!$C$14),OR(Dashboard!$C$15="All",C681=Dashboard!$C$15),OR(Dashboard!$C$16="All",K681=Dashboard!$C$16),OR(Dashboard!$C$17="All",J681=Dashboard!$C$17)),1,0)</f>
        <v>0</v>
      </c>
      <c r="N681" s="24">
        <f>IF(AND(L681=1,OR(Dashboard!$C$13="All",A681=Dashboard!$C$13),OR(Dashboard!$C$14="All",B681=Dashboard!$C$14),OR(Dashboard!$C$16="All",K681=Dashboard!$C$16),OR(Dashboard!$C$17="All",J681=Dashboard!$C$17)),1,0)</f>
        <v>0</v>
      </c>
      <c r="O681" s="24">
        <f>IF(AND(L681=1,OR(Dashboard!$C$13="All",A681=Dashboard!$C$13),OR(Dashboard!$C$15="All",C681=Dashboard!$C$15),OR(Dashboard!$C$16="All",K681=Dashboard!$C$16),OR(Dashboard!$C$17="All",J681=Dashboard!$C$17)),1,0)</f>
        <v>0</v>
      </c>
      <c r="P681" s="24">
        <f>IF(AND(L681=1,OR(Dashboard!$C$13="All",A681=Dashboard!$C$13),OR(Dashboard!$C$14="All",B681=Dashboard!$C$14),OR(Dashboard!$C$15="All",C681=Dashboard!$C$15),OR(Dashboard!$C$17="All",J681=Dashboard!$C$17)),1,0)</f>
        <v>0</v>
      </c>
      <c r="Q681" s="24">
        <f>IF(AND(L681=1,OR(Dashboard!$C$14="All",B681=Dashboard!$C$14),OR(Dashboard!$C$15="All",C681=Dashboard!$C$15),OR(Dashboard!$C$16="All",K681=Dashboard!$C$16),OR(Dashboard!$C$17="All",J681=Dashboard!$C$17)),1,0)</f>
        <v>0</v>
      </c>
      <c r="R681" s="24">
        <f>IF(AND(L681=1,OR(Dashboard!$C$13="All",A681=Dashboard!$C$13),OR(Dashboard!$C$14="All",B681=Dashboard!$C$14),OR(Dashboard!$C$15="All",C681=Dashboard!$C$15),OR(Dashboard!$C$16="All",K681=Dashboard!$C$16)),1,0)</f>
        <v>0</v>
      </c>
      <c r="S681" s="25" t="str">
        <f t="shared" si="3"/>
        <v/>
      </c>
    </row>
    <row r="682" ht="15.75" customHeight="1">
      <c r="A682" s="27"/>
      <c r="B682" s="27"/>
      <c r="C682" s="27"/>
      <c r="D682" s="27"/>
      <c r="E682" s="28"/>
      <c r="F682" s="28" t="str">
        <f t="shared" si="4"/>
        <v/>
      </c>
      <c r="G682" s="29"/>
      <c r="H682" s="27"/>
      <c r="I682" s="29" t="str">
        <f t="shared" si="5"/>
        <v/>
      </c>
      <c r="J682" s="27"/>
      <c r="K682" s="27"/>
      <c r="L682" s="25" t="str">
        <f>IF(A682="","",IF(OR(G682="",AND(G682&gt;=Dashboard!$C$18,G682&lt;=Dashboard!$C$19)),1,0))</f>
        <v/>
      </c>
      <c r="M682" s="24">
        <f>IF(AND(L682=1,OR(Dashboard!$C$13="All",A682=Dashboard!$C$13),OR(Dashboard!$C$14="All",B682=Dashboard!$C$14),OR(Dashboard!$C$15="All",C682=Dashboard!$C$15),OR(Dashboard!$C$16="All",K682=Dashboard!$C$16),OR(Dashboard!$C$17="All",J682=Dashboard!$C$17)),1,0)</f>
        <v>0</v>
      </c>
      <c r="N682" s="24">
        <f>IF(AND(L682=1,OR(Dashboard!$C$13="All",A682=Dashboard!$C$13),OR(Dashboard!$C$14="All",B682=Dashboard!$C$14),OR(Dashboard!$C$16="All",K682=Dashboard!$C$16),OR(Dashboard!$C$17="All",J682=Dashboard!$C$17)),1,0)</f>
        <v>0</v>
      </c>
      <c r="O682" s="24">
        <f>IF(AND(L682=1,OR(Dashboard!$C$13="All",A682=Dashboard!$C$13),OR(Dashboard!$C$15="All",C682=Dashboard!$C$15),OR(Dashboard!$C$16="All",K682=Dashboard!$C$16),OR(Dashboard!$C$17="All",J682=Dashboard!$C$17)),1,0)</f>
        <v>0</v>
      </c>
      <c r="P682" s="24">
        <f>IF(AND(L682=1,OR(Dashboard!$C$13="All",A682=Dashboard!$C$13),OR(Dashboard!$C$14="All",B682=Dashboard!$C$14),OR(Dashboard!$C$15="All",C682=Dashboard!$C$15),OR(Dashboard!$C$17="All",J682=Dashboard!$C$17)),1,0)</f>
        <v>0</v>
      </c>
      <c r="Q682" s="24">
        <f>IF(AND(L682=1,OR(Dashboard!$C$14="All",B682=Dashboard!$C$14),OR(Dashboard!$C$15="All",C682=Dashboard!$C$15),OR(Dashboard!$C$16="All",K682=Dashboard!$C$16),OR(Dashboard!$C$17="All",J682=Dashboard!$C$17)),1,0)</f>
        <v>0</v>
      </c>
      <c r="R682" s="24">
        <f>IF(AND(L682=1,OR(Dashboard!$C$13="All",A682=Dashboard!$C$13),OR(Dashboard!$C$14="All",B682=Dashboard!$C$14),OR(Dashboard!$C$15="All",C682=Dashboard!$C$15),OR(Dashboard!$C$16="All",K682=Dashboard!$C$16)),1,0)</f>
        <v>0</v>
      </c>
      <c r="S682" s="25" t="str">
        <f t="shared" si="3"/>
        <v/>
      </c>
    </row>
    <row r="683" ht="15.75" customHeight="1">
      <c r="A683" s="27"/>
      <c r="B683" s="27"/>
      <c r="C683" s="27"/>
      <c r="D683" s="27"/>
      <c r="E683" s="28"/>
      <c r="F683" s="28" t="str">
        <f t="shared" si="4"/>
        <v/>
      </c>
      <c r="G683" s="29"/>
      <c r="H683" s="27"/>
      <c r="I683" s="29" t="str">
        <f t="shared" si="5"/>
        <v/>
      </c>
      <c r="J683" s="27"/>
      <c r="K683" s="27"/>
      <c r="L683" s="25" t="str">
        <f>IF(A683="","",IF(OR(G683="",AND(G683&gt;=Dashboard!$C$18,G683&lt;=Dashboard!$C$19)),1,0))</f>
        <v/>
      </c>
      <c r="M683" s="24">
        <f>IF(AND(L683=1,OR(Dashboard!$C$13="All",A683=Dashboard!$C$13),OR(Dashboard!$C$14="All",B683=Dashboard!$C$14),OR(Dashboard!$C$15="All",C683=Dashboard!$C$15),OR(Dashboard!$C$16="All",K683=Dashboard!$C$16),OR(Dashboard!$C$17="All",J683=Dashboard!$C$17)),1,0)</f>
        <v>0</v>
      </c>
      <c r="N683" s="24">
        <f>IF(AND(L683=1,OR(Dashboard!$C$13="All",A683=Dashboard!$C$13),OR(Dashboard!$C$14="All",B683=Dashboard!$C$14),OR(Dashboard!$C$16="All",K683=Dashboard!$C$16),OR(Dashboard!$C$17="All",J683=Dashboard!$C$17)),1,0)</f>
        <v>0</v>
      </c>
      <c r="O683" s="24">
        <f>IF(AND(L683=1,OR(Dashboard!$C$13="All",A683=Dashboard!$C$13),OR(Dashboard!$C$15="All",C683=Dashboard!$C$15),OR(Dashboard!$C$16="All",K683=Dashboard!$C$16),OR(Dashboard!$C$17="All",J683=Dashboard!$C$17)),1,0)</f>
        <v>0</v>
      </c>
      <c r="P683" s="24">
        <f>IF(AND(L683=1,OR(Dashboard!$C$13="All",A683=Dashboard!$C$13),OR(Dashboard!$C$14="All",B683=Dashboard!$C$14),OR(Dashboard!$C$15="All",C683=Dashboard!$C$15),OR(Dashboard!$C$17="All",J683=Dashboard!$C$17)),1,0)</f>
        <v>0</v>
      </c>
      <c r="Q683" s="24">
        <f>IF(AND(L683=1,OR(Dashboard!$C$14="All",B683=Dashboard!$C$14),OR(Dashboard!$C$15="All",C683=Dashboard!$C$15),OR(Dashboard!$C$16="All",K683=Dashboard!$C$16),OR(Dashboard!$C$17="All",J683=Dashboard!$C$17)),1,0)</f>
        <v>0</v>
      </c>
      <c r="R683" s="24">
        <f>IF(AND(L683=1,OR(Dashboard!$C$13="All",A683=Dashboard!$C$13),OR(Dashboard!$C$14="All",B683=Dashboard!$C$14),OR(Dashboard!$C$15="All",C683=Dashboard!$C$15),OR(Dashboard!$C$16="All",K683=Dashboard!$C$16)),1,0)</f>
        <v>0</v>
      </c>
      <c r="S683" s="25" t="str">
        <f t="shared" si="3"/>
        <v/>
      </c>
    </row>
    <row r="684" ht="15.75" customHeight="1">
      <c r="A684" s="27"/>
      <c r="B684" s="27"/>
      <c r="C684" s="27"/>
      <c r="D684" s="27"/>
      <c r="E684" s="28"/>
      <c r="F684" s="28" t="str">
        <f t="shared" si="4"/>
        <v/>
      </c>
      <c r="G684" s="29"/>
      <c r="H684" s="27"/>
      <c r="I684" s="29" t="str">
        <f t="shared" si="5"/>
        <v/>
      </c>
      <c r="J684" s="27"/>
      <c r="K684" s="27"/>
      <c r="L684" s="25" t="str">
        <f>IF(A684="","",IF(OR(G684="",AND(G684&gt;=Dashboard!$C$18,G684&lt;=Dashboard!$C$19)),1,0))</f>
        <v/>
      </c>
      <c r="M684" s="24">
        <f>IF(AND(L684=1,OR(Dashboard!$C$13="All",A684=Dashboard!$C$13),OR(Dashboard!$C$14="All",B684=Dashboard!$C$14),OR(Dashboard!$C$15="All",C684=Dashboard!$C$15),OR(Dashboard!$C$16="All",K684=Dashboard!$C$16),OR(Dashboard!$C$17="All",J684=Dashboard!$C$17)),1,0)</f>
        <v>0</v>
      </c>
      <c r="N684" s="24">
        <f>IF(AND(L684=1,OR(Dashboard!$C$13="All",A684=Dashboard!$C$13),OR(Dashboard!$C$14="All",B684=Dashboard!$C$14),OR(Dashboard!$C$16="All",K684=Dashboard!$C$16),OR(Dashboard!$C$17="All",J684=Dashboard!$C$17)),1,0)</f>
        <v>0</v>
      </c>
      <c r="O684" s="24">
        <f>IF(AND(L684=1,OR(Dashboard!$C$13="All",A684=Dashboard!$C$13),OR(Dashboard!$C$15="All",C684=Dashboard!$C$15),OR(Dashboard!$C$16="All",K684=Dashboard!$C$16),OR(Dashboard!$C$17="All",J684=Dashboard!$C$17)),1,0)</f>
        <v>0</v>
      </c>
      <c r="P684" s="24">
        <f>IF(AND(L684=1,OR(Dashboard!$C$13="All",A684=Dashboard!$C$13),OR(Dashboard!$C$14="All",B684=Dashboard!$C$14),OR(Dashboard!$C$15="All",C684=Dashboard!$C$15),OR(Dashboard!$C$17="All",J684=Dashboard!$C$17)),1,0)</f>
        <v>0</v>
      </c>
      <c r="Q684" s="24">
        <f>IF(AND(L684=1,OR(Dashboard!$C$14="All",B684=Dashboard!$C$14),OR(Dashboard!$C$15="All",C684=Dashboard!$C$15),OR(Dashboard!$C$16="All",K684=Dashboard!$C$16),OR(Dashboard!$C$17="All",J684=Dashboard!$C$17)),1,0)</f>
        <v>0</v>
      </c>
      <c r="R684" s="24">
        <f>IF(AND(L684=1,OR(Dashboard!$C$13="All",A684=Dashboard!$C$13),OR(Dashboard!$C$14="All",B684=Dashboard!$C$14),OR(Dashboard!$C$15="All",C684=Dashboard!$C$15),OR(Dashboard!$C$16="All",K684=Dashboard!$C$16)),1,0)</f>
        <v>0</v>
      </c>
      <c r="S684" s="25" t="str">
        <f t="shared" si="3"/>
        <v/>
      </c>
    </row>
    <row r="685" ht="15.75" customHeight="1">
      <c r="A685" s="27"/>
      <c r="B685" s="27"/>
      <c r="C685" s="27"/>
      <c r="D685" s="27"/>
      <c r="E685" s="28"/>
      <c r="F685" s="28" t="str">
        <f t="shared" si="4"/>
        <v/>
      </c>
      <c r="G685" s="29"/>
      <c r="H685" s="27"/>
      <c r="I685" s="29" t="str">
        <f t="shared" si="5"/>
        <v/>
      </c>
      <c r="J685" s="27"/>
      <c r="K685" s="27"/>
      <c r="L685" s="25" t="str">
        <f>IF(A685="","",IF(OR(G685="",AND(G685&gt;=Dashboard!$C$18,G685&lt;=Dashboard!$C$19)),1,0))</f>
        <v/>
      </c>
      <c r="M685" s="24">
        <f>IF(AND(L685=1,OR(Dashboard!$C$13="All",A685=Dashboard!$C$13),OR(Dashboard!$C$14="All",B685=Dashboard!$C$14),OR(Dashboard!$C$15="All",C685=Dashboard!$C$15),OR(Dashboard!$C$16="All",K685=Dashboard!$C$16),OR(Dashboard!$C$17="All",J685=Dashboard!$C$17)),1,0)</f>
        <v>0</v>
      </c>
      <c r="N685" s="24">
        <f>IF(AND(L685=1,OR(Dashboard!$C$13="All",A685=Dashboard!$C$13),OR(Dashboard!$C$14="All",B685=Dashboard!$C$14),OR(Dashboard!$C$16="All",K685=Dashboard!$C$16),OR(Dashboard!$C$17="All",J685=Dashboard!$C$17)),1,0)</f>
        <v>0</v>
      </c>
      <c r="O685" s="24">
        <f>IF(AND(L685=1,OR(Dashboard!$C$13="All",A685=Dashboard!$C$13),OR(Dashboard!$C$15="All",C685=Dashboard!$C$15),OR(Dashboard!$C$16="All",K685=Dashboard!$C$16),OR(Dashboard!$C$17="All",J685=Dashboard!$C$17)),1,0)</f>
        <v>0</v>
      </c>
      <c r="P685" s="24">
        <f>IF(AND(L685=1,OR(Dashboard!$C$13="All",A685=Dashboard!$C$13),OR(Dashboard!$C$14="All",B685=Dashboard!$C$14),OR(Dashboard!$C$15="All",C685=Dashboard!$C$15),OR(Dashboard!$C$17="All",J685=Dashboard!$C$17)),1,0)</f>
        <v>0</v>
      </c>
      <c r="Q685" s="24">
        <f>IF(AND(L685=1,OR(Dashboard!$C$14="All",B685=Dashboard!$C$14),OR(Dashboard!$C$15="All",C685=Dashboard!$C$15),OR(Dashboard!$C$16="All",K685=Dashboard!$C$16),OR(Dashboard!$C$17="All",J685=Dashboard!$C$17)),1,0)</f>
        <v>0</v>
      </c>
      <c r="R685" s="24">
        <f>IF(AND(L685=1,OR(Dashboard!$C$13="All",A685=Dashboard!$C$13),OR(Dashboard!$C$14="All",B685=Dashboard!$C$14),OR(Dashboard!$C$15="All",C685=Dashboard!$C$15),OR(Dashboard!$C$16="All",K685=Dashboard!$C$16)),1,0)</f>
        <v>0</v>
      </c>
      <c r="S685" s="25" t="str">
        <f t="shared" si="3"/>
        <v/>
      </c>
    </row>
    <row r="686" ht="15.75" customHeight="1">
      <c r="A686" s="27"/>
      <c r="B686" s="27"/>
      <c r="C686" s="27"/>
      <c r="D686" s="27"/>
      <c r="E686" s="28"/>
      <c r="F686" s="28" t="str">
        <f t="shared" si="4"/>
        <v/>
      </c>
      <c r="G686" s="29"/>
      <c r="H686" s="27"/>
      <c r="I686" s="29" t="str">
        <f t="shared" si="5"/>
        <v/>
      </c>
      <c r="J686" s="27"/>
      <c r="K686" s="27"/>
      <c r="L686" s="25" t="str">
        <f>IF(A686="","",IF(OR(G686="",AND(G686&gt;=Dashboard!$C$18,G686&lt;=Dashboard!$C$19)),1,0))</f>
        <v/>
      </c>
      <c r="M686" s="24">
        <f>IF(AND(L686=1,OR(Dashboard!$C$13="All",A686=Dashboard!$C$13),OR(Dashboard!$C$14="All",B686=Dashboard!$C$14),OR(Dashboard!$C$15="All",C686=Dashboard!$C$15),OR(Dashboard!$C$16="All",K686=Dashboard!$C$16),OR(Dashboard!$C$17="All",J686=Dashboard!$C$17)),1,0)</f>
        <v>0</v>
      </c>
      <c r="N686" s="24">
        <f>IF(AND(L686=1,OR(Dashboard!$C$13="All",A686=Dashboard!$C$13),OR(Dashboard!$C$14="All",B686=Dashboard!$C$14),OR(Dashboard!$C$16="All",K686=Dashboard!$C$16),OR(Dashboard!$C$17="All",J686=Dashboard!$C$17)),1,0)</f>
        <v>0</v>
      </c>
      <c r="O686" s="24">
        <f>IF(AND(L686=1,OR(Dashboard!$C$13="All",A686=Dashboard!$C$13),OR(Dashboard!$C$15="All",C686=Dashboard!$C$15),OR(Dashboard!$C$16="All",K686=Dashboard!$C$16),OR(Dashboard!$C$17="All",J686=Dashboard!$C$17)),1,0)</f>
        <v>0</v>
      </c>
      <c r="P686" s="24">
        <f>IF(AND(L686=1,OR(Dashboard!$C$13="All",A686=Dashboard!$C$13),OR(Dashboard!$C$14="All",B686=Dashboard!$C$14),OR(Dashboard!$C$15="All",C686=Dashboard!$C$15),OR(Dashboard!$C$17="All",J686=Dashboard!$C$17)),1,0)</f>
        <v>0</v>
      </c>
      <c r="Q686" s="24">
        <f>IF(AND(L686=1,OR(Dashboard!$C$14="All",B686=Dashboard!$C$14),OR(Dashboard!$C$15="All",C686=Dashboard!$C$15),OR(Dashboard!$C$16="All",K686=Dashboard!$C$16),OR(Dashboard!$C$17="All",J686=Dashboard!$C$17)),1,0)</f>
        <v>0</v>
      </c>
      <c r="R686" s="24">
        <f>IF(AND(L686=1,OR(Dashboard!$C$13="All",A686=Dashboard!$C$13),OR(Dashboard!$C$14="All",B686=Dashboard!$C$14),OR(Dashboard!$C$15="All",C686=Dashboard!$C$15),OR(Dashboard!$C$16="All",K686=Dashboard!$C$16)),1,0)</f>
        <v>0</v>
      </c>
      <c r="S686" s="25" t="str">
        <f t="shared" si="3"/>
        <v/>
      </c>
    </row>
    <row r="687" ht="15.75" customHeight="1">
      <c r="A687" s="27"/>
      <c r="B687" s="27"/>
      <c r="C687" s="27"/>
      <c r="D687" s="27"/>
      <c r="E687" s="28"/>
      <c r="F687" s="28" t="str">
        <f t="shared" si="4"/>
        <v/>
      </c>
      <c r="G687" s="29"/>
      <c r="H687" s="27"/>
      <c r="I687" s="29" t="str">
        <f t="shared" si="5"/>
        <v/>
      </c>
      <c r="J687" s="27"/>
      <c r="K687" s="27"/>
      <c r="L687" s="25" t="str">
        <f>IF(A687="","",IF(OR(G687="",AND(G687&gt;=Dashboard!$C$18,G687&lt;=Dashboard!$C$19)),1,0))</f>
        <v/>
      </c>
      <c r="M687" s="24">
        <f>IF(AND(L687=1,OR(Dashboard!$C$13="All",A687=Dashboard!$C$13),OR(Dashboard!$C$14="All",B687=Dashboard!$C$14),OR(Dashboard!$C$15="All",C687=Dashboard!$C$15),OR(Dashboard!$C$16="All",K687=Dashboard!$C$16),OR(Dashboard!$C$17="All",J687=Dashboard!$C$17)),1,0)</f>
        <v>0</v>
      </c>
      <c r="N687" s="24">
        <f>IF(AND(L687=1,OR(Dashboard!$C$13="All",A687=Dashboard!$C$13),OR(Dashboard!$C$14="All",B687=Dashboard!$C$14),OR(Dashboard!$C$16="All",K687=Dashboard!$C$16),OR(Dashboard!$C$17="All",J687=Dashboard!$C$17)),1,0)</f>
        <v>0</v>
      </c>
      <c r="O687" s="24">
        <f>IF(AND(L687=1,OR(Dashboard!$C$13="All",A687=Dashboard!$C$13),OR(Dashboard!$C$15="All",C687=Dashboard!$C$15),OR(Dashboard!$C$16="All",K687=Dashboard!$C$16),OR(Dashboard!$C$17="All",J687=Dashboard!$C$17)),1,0)</f>
        <v>0</v>
      </c>
      <c r="P687" s="24">
        <f>IF(AND(L687=1,OR(Dashboard!$C$13="All",A687=Dashboard!$C$13),OR(Dashboard!$C$14="All",B687=Dashboard!$C$14),OR(Dashboard!$C$15="All",C687=Dashboard!$C$15),OR(Dashboard!$C$17="All",J687=Dashboard!$C$17)),1,0)</f>
        <v>0</v>
      </c>
      <c r="Q687" s="24">
        <f>IF(AND(L687=1,OR(Dashboard!$C$14="All",B687=Dashboard!$C$14),OR(Dashboard!$C$15="All",C687=Dashboard!$C$15),OR(Dashboard!$C$16="All",K687=Dashboard!$C$16),OR(Dashboard!$C$17="All",J687=Dashboard!$C$17)),1,0)</f>
        <v>0</v>
      </c>
      <c r="R687" s="24">
        <f>IF(AND(L687=1,OR(Dashboard!$C$13="All",A687=Dashboard!$C$13),OR(Dashboard!$C$14="All",B687=Dashboard!$C$14),OR(Dashboard!$C$15="All",C687=Dashboard!$C$15),OR(Dashboard!$C$16="All",K687=Dashboard!$C$16)),1,0)</f>
        <v>0</v>
      </c>
      <c r="S687" s="25" t="str">
        <f t="shared" si="3"/>
        <v/>
      </c>
    </row>
    <row r="688" ht="15.75" customHeight="1">
      <c r="A688" s="27"/>
      <c r="B688" s="27"/>
      <c r="C688" s="27"/>
      <c r="D688" s="27"/>
      <c r="E688" s="28"/>
      <c r="F688" s="28" t="str">
        <f t="shared" si="4"/>
        <v/>
      </c>
      <c r="G688" s="29"/>
      <c r="H688" s="27"/>
      <c r="I688" s="29" t="str">
        <f t="shared" si="5"/>
        <v/>
      </c>
      <c r="J688" s="27"/>
      <c r="K688" s="27"/>
      <c r="L688" s="25" t="str">
        <f>IF(A688="","",IF(OR(G688="",AND(G688&gt;=Dashboard!$C$18,G688&lt;=Dashboard!$C$19)),1,0))</f>
        <v/>
      </c>
      <c r="M688" s="24">
        <f>IF(AND(L688=1,OR(Dashboard!$C$13="All",A688=Dashboard!$C$13),OR(Dashboard!$C$14="All",B688=Dashboard!$C$14),OR(Dashboard!$C$15="All",C688=Dashboard!$C$15),OR(Dashboard!$C$16="All",K688=Dashboard!$C$16),OR(Dashboard!$C$17="All",J688=Dashboard!$C$17)),1,0)</f>
        <v>0</v>
      </c>
      <c r="N688" s="24">
        <f>IF(AND(L688=1,OR(Dashboard!$C$13="All",A688=Dashboard!$C$13),OR(Dashboard!$C$14="All",B688=Dashboard!$C$14),OR(Dashboard!$C$16="All",K688=Dashboard!$C$16),OR(Dashboard!$C$17="All",J688=Dashboard!$C$17)),1,0)</f>
        <v>0</v>
      </c>
      <c r="O688" s="24">
        <f>IF(AND(L688=1,OR(Dashboard!$C$13="All",A688=Dashboard!$C$13),OR(Dashboard!$C$15="All",C688=Dashboard!$C$15),OR(Dashboard!$C$16="All",K688=Dashboard!$C$16),OR(Dashboard!$C$17="All",J688=Dashboard!$C$17)),1,0)</f>
        <v>0</v>
      </c>
      <c r="P688" s="24">
        <f>IF(AND(L688=1,OR(Dashboard!$C$13="All",A688=Dashboard!$C$13),OR(Dashboard!$C$14="All",B688=Dashboard!$C$14),OR(Dashboard!$C$15="All",C688=Dashboard!$C$15),OR(Dashboard!$C$17="All",J688=Dashboard!$C$17)),1,0)</f>
        <v>0</v>
      </c>
      <c r="Q688" s="24">
        <f>IF(AND(L688=1,OR(Dashboard!$C$14="All",B688=Dashboard!$C$14),OR(Dashboard!$C$15="All",C688=Dashboard!$C$15),OR(Dashboard!$C$16="All",K688=Dashboard!$C$16),OR(Dashboard!$C$17="All",J688=Dashboard!$C$17)),1,0)</f>
        <v>0</v>
      </c>
      <c r="R688" s="24">
        <f>IF(AND(L688=1,OR(Dashboard!$C$13="All",A688=Dashboard!$C$13),OR(Dashboard!$C$14="All",B688=Dashboard!$C$14),OR(Dashboard!$C$15="All",C688=Dashboard!$C$15),OR(Dashboard!$C$16="All",K688=Dashboard!$C$16)),1,0)</f>
        <v>0</v>
      </c>
      <c r="S688" s="25" t="str">
        <f t="shared" si="3"/>
        <v/>
      </c>
    </row>
    <row r="689" ht="15.75" customHeight="1">
      <c r="A689" s="27"/>
      <c r="B689" s="27"/>
      <c r="C689" s="27"/>
      <c r="D689" s="27"/>
      <c r="E689" s="28"/>
      <c r="F689" s="28" t="str">
        <f t="shared" si="4"/>
        <v/>
      </c>
      <c r="G689" s="29"/>
      <c r="H689" s="27"/>
      <c r="I689" s="29" t="str">
        <f t="shared" si="5"/>
        <v/>
      </c>
      <c r="J689" s="27"/>
      <c r="K689" s="27"/>
      <c r="L689" s="25" t="str">
        <f>IF(A689="","",IF(OR(G689="",AND(G689&gt;=Dashboard!$C$18,G689&lt;=Dashboard!$C$19)),1,0))</f>
        <v/>
      </c>
      <c r="M689" s="24">
        <f>IF(AND(L689=1,OR(Dashboard!$C$13="All",A689=Dashboard!$C$13),OR(Dashboard!$C$14="All",B689=Dashboard!$C$14),OR(Dashboard!$C$15="All",C689=Dashboard!$C$15),OR(Dashboard!$C$16="All",K689=Dashboard!$C$16),OR(Dashboard!$C$17="All",J689=Dashboard!$C$17)),1,0)</f>
        <v>0</v>
      </c>
      <c r="N689" s="24">
        <f>IF(AND(L689=1,OR(Dashboard!$C$13="All",A689=Dashboard!$C$13),OR(Dashboard!$C$14="All",B689=Dashboard!$C$14),OR(Dashboard!$C$16="All",K689=Dashboard!$C$16),OR(Dashboard!$C$17="All",J689=Dashboard!$C$17)),1,0)</f>
        <v>0</v>
      </c>
      <c r="O689" s="24">
        <f>IF(AND(L689=1,OR(Dashboard!$C$13="All",A689=Dashboard!$C$13),OR(Dashboard!$C$15="All",C689=Dashboard!$C$15),OR(Dashboard!$C$16="All",K689=Dashboard!$C$16),OR(Dashboard!$C$17="All",J689=Dashboard!$C$17)),1,0)</f>
        <v>0</v>
      </c>
      <c r="P689" s="24">
        <f>IF(AND(L689=1,OR(Dashboard!$C$13="All",A689=Dashboard!$C$13),OR(Dashboard!$C$14="All",B689=Dashboard!$C$14),OR(Dashboard!$C$15="All",C689=Dashboard!$C$15),OR(Dashboard!$C$17="All",J689=Dashboard!$C$17)),1,0)</f>
        <v>0</v>
      </c>
      <c r="Q689" s="24">
        <f>IF(AND(L689=1,OR(Dashboard!$C$14="All",B689=Dashboard!$C$14),OR(Dashboard!$C$15="All",C689=Dashboard!$C$15),OR(Dashboard!$C$16="All",K689=Dashboard!$C$16),OR(Dashboard!$C$17="All",J689=Dashboard!$C$17)),1,0)</f>
        <v>0</v>
      </c>
      <c r="R689" s="24">
        <f>IF(AND(L689=1,OR(Dashboard!$C$13="All",A689=Dashboard!$C$13),OR(Dashboard!$C$14="All",B689=Dashboard!$C$14),OR(Dashboard!$C$15="All",C689=Dashboard!$C$15),OR(Dashboard!$C$16="All",K689=Dashboard!$C$16)),1,0)</f>
        <v>0</v>
      </c>
      <c r="S689" s="25" t="str">
        <f t="shared" si="3"/>
        <v/>
      </c>
    </row>
    <row r="690" ht="15.75" customHeight="1">
      <c r="A690" s="27"/>
      <c r="B690" s="27"/>
      <c r="C690" s="27"/>
      <c r="D690" s="27"/>
      <c r="E690" s="28"/>
      <c r="F690" s="28" t="str">
        <f t="shared" si="4"/>
        <v/>
      </c>
      <c r="G690" s="29"/>
      <c r="H690" s="27"/>
      <c r="I690" s="29" t="str">
        <f t="shared" si="5"/>
        <v/>
      </c>
      <c r="J690" s="27"/>
      <c r="K690" s="27"/>
      <c r="L690" s="25" t="str">
        <f>IF(A690="","",IF(OR(G690="",AND(G690&gt;=Dashboard!$C$18,G690&lt;=Dashboard!$C$19)),1,0))</f>
        <v/>
      </c>
      <c r="M690" s="24">
        <f>IF(AND(L690=1,OR(Dashboard!$C$13="All",A690=Dashboard!$C$13),OR(Dashboard!$C$14="All",B690=Dashboard!$C$14),OR(Dashboard!$C$15="All",C690=Dashboard!$C$15),OR(Dashboard!$C$16="All",K690=Dashboard!$C$16),OR(Dashboard!$C$17="All",J690=Dashboard!$C$17)),1,0)</f>
        <v>0</v>
      </c>
      <c r="N690" s="24">
        <f>IF(AND(L690=1,OR(Dashboard!$C$13="All",A690=Dashboard!$C$13),OR(Dashboard!$C$14="All",B690=Dashboard!$C$14),OR(Dashboard!$C$16="All",K690=Dashboard!$C$16),OR(Dashboard!$C$17="All",J690=Dashboard!$C$17)),1,0)</f>
        <v>0</v>
      </c>
      <c r="O690" s="24">
        <f>IF(AND(L690=1,OR(Dashboard!$C$13="All",A690=Dashboard!$C$13),OR(Dashboard!$C$15="All",C690=Dashboard!$C$15),OR(Dashboard!$C$16="All",K690=Dashboard!$C$16),OR(Dashboard!$C$17="All",J690=Dashboard!$C$17)),1,0)</f>
        <v>0</v>
      </c>
      <c r="P690" s="24">
        <f>IF(AND(L690=1,OR(Dashboard!$C$13="All",A690=Dashboard!$C$13),OR(Dashboard!$C$14="All",B690=Dashboard!$C$14),OR(Dashboard!$C$15="All",C690=Dashboard!$C$15),OR(Dashboard!$C$17="All",J690=Dashboard!$C$17)),1,0)</f>
        <v>0</v>
      </c>
      <c r="Q690" s="24">
        <f>IF(AND(L690=1,OR(Dashboard!$C$14="All",B690=Dashboard!$C$14),OR(Dashboard!$C$15="All",C690=Dashboard!$C$15),OR(Dashboard!$C$16="All",K690=Dashboard!$C$16),OR(Dashboard!$C$17="All",J690=Dashboard!$C$17)),1,0)</f>
        <v>0</v>
      </c>
      <c r="R690" s="24">
        <f>IF(AND(L690=1,OR(Dashboard!$C$13="All",A690=Dashboard!$C$13),OR(Dashboard!$C$14="All",B690=Dashboard!$C$14),OR(Dashboard!$C$15="All",C690=Dashboard!$C$15),OR(Dashboard!$C$16="All",K690=Dashboard!$C$16)),1,0)</f>
        <v>0</v>
      </c>
      <c r="S690" s="25" t="str">
        <f t="shared" si="3"/>
        <v/>
      </c>
    </row>
    <row r="691" ht="15.75" customHeight="1">
      <c r="A691" s="27"/>
      <c r="B691" s="27"/>
      <c r="C691" s="27"/>
      <c r="D691" s="27"/>
      <c r="E691" s="28"/>
      <c r="F691" s="28" t="str">
        <f t="shared" si="4"/>
        <v/>
      </c>
      <c r="G691" s="29"/>
      <c r="H691" s="27"/>
      <c r="I691" s="29" t="str">
        <f t="shared" si="5"/>
        <v/>
      </c>
      <c r="J691" s="27"/>
      <c r="K691" s="27"/>
      <c r="L691" s="25" t="str">
        <f>IF(A691="","",IF(OR(G691="",AND(G691&gt;=Dashboard!$C$18,G691&lt;=Dashboard!$C$19)),1,0))</f>
        <v/>
      </c>
      <c r="M691" s="24">
        <f>IF(AND(L691=1,OR(Dashboard!$C$13="All",A691=Dashboard!$C$13),OR(Dashboard!$C$14="All",B691=Dashboard!$C$14),OR(Dashboard!$C$15="All",C691=Dashboard!$C$15),OR(Dashboard!$C$16="All",K691=Dashboard!$C$16),OR(Dashboard!$C$17="All",J691=Dashboard!$C$17)),1,0)</f>
        <v>0</v>
      </c>
      <c r="N691" s="24">
        <f>IF(AND(L691=1,OR(Dashboard!$C$13="All",A691=Dashboard!$C$13),OR(Dashboard!$C$14="All",B691=Dashboard!$C$14),OR(Dashboard!$C$16="All",K691=Dashboard!$C$16),OR(Dashboard!$C$17="All",J691=Dashboard!$C$17)),1,0)</f>
        <v>0</v>
      </c>
      <c r="O691" s="24">
        <f>IF(AND(L691=1,OR(Dashboard!$C$13="All",A691=Dashboard!$C$13),OR(Dashboard!$C$15="All",C691=Dashboard!$C$15),OR(Dashboard!$C$16="All",K691=Dashboard!$C$16),OR(Dashboard!$C$17="All",J691=Dashboard!$C$17)),1,0)</f>
        <v>0</v>
      </c>
      <c r="P691" s="24">
        <f>IF(AND(L691=1,OR(Dashboard!$C$13="All",A691=Dashboard!$C$13),OR(Dashboard!$C$14="All",B691=Dashboard!$C$14),OR(Dashboard!$C$15="All",C691=Dashboard!$C$15),OR(Dashboard!$C$17="All",J691=Dashboard!$C$17)),1,0)</f>
        <v>0</v>
      </c>
      <c r="Q691" s="24">
        <f>IF(AND(L691=1,OR(Dashboard!$C$14="All",B691=Dashboard!$C$14),OR(Dashboard!$C$15="All",C691=Dashboard!$C$15),OR(Dashboard!$C$16="All",K691=Dashboard!$C$16),OR(Dashboard!$C$17="All",J691=Dashboard!$C$17)),1,0)</f>
        <v>0</v>
      </c>
      <c r="R691" s="24">
        <f>IF(AND(L691=1,OR(Dashboard!$C$13="All",A691=Dashboard!$C$13),OR(Dashboard!$C$14="All",B691=Dashboard!$C$14),OR(Dashboard!$C$15="All",C691=Dashboard!$C$15),OR(Dashboard!$C$16="All",K691=Dashboard!$C$16)),1,0)</f>
        <v>0</v>
      </c>
      <c r="S691" s="25" t="str">
        <f t="shared" si="3"/>
        <v/>
      </c>
    </row>
    <row r="692" ht="15.75" customHeight="1">
      <c r="A692" s="27"/>
      <c r="B692" s="27"/>
      <c r="C692" s="27"/>
      <c r="D692" s="27"/>
      <c r="E692" s="28"/>
      <c r="F692" s="28" t="str">
        <f t="shared" si="4"/>
        <v/>
      </c>
      <c r="G692" s="29"/>
      <c r="H692" s="27"/>
      <c r="I692" s="29" t="str">
        <f t="shared" si="5"/>
        <v/>
      </c>
      <c r="J692" s="27"/>
      <c r="K692" s="27"/>
      <c r="L692" s="25" t="str">
        <f>IF(A692="","",IF(OR(G692="",AND(G692&gt;=Dashboard!$C$18,G692&lt;=Dashboard!$C$19)),1,0))</f>
        <v/>
      </c>
      <c r="M692" s="24">
        <f>IF(AND(L692=1,OR(Dashboard!$C$13="All",A692=Dashboard!$C$13),OR(Dashboard!$C$14="All",B692=Dashboard!$C$14),OR(Dashboard!$C$15="All",C692=Dashboard!$C$15),OR(Dashboard!$C$16="All",K692=Dashboard!$C$16),OR(Dashboard!$C$17="All",J692=Dashboard!$C$17)),1,0)</f>
        <v>0</v>
      </c>
      <c r="N692" s="24">
        <f>IF(AND(L692=1,OR(Dashboard!$C$13="All",A692=Dashboard!$C$13),OR(Dashboard!$C$14="All",B692=Dashboard!$C$14),OR(Dashboard!$C$16="All",K692=Dashboard!$C$16),OR(Dashboard!$C$17="All",J692=Dashboard!$C$17)),1,0)</f>
        <v>0</v>
      </c>
      <c r="O692" s="24">
        <f>IF(AND(L692=1,OR(Dashboard!$C$13="All",A692=Dashboard!$C$13),OR(Dashboard!$C$15="All",C692=Dashboard!$C$15),OR(Dashboard!$C$16="All",K692=Dashboard!$C$16),OR(Dashboard!$C$17="All",J692=Dashboard!$C$17)),1,0)</f>
        <v>0</v>
      </c>
      <c r="P692" s="24">
        <f>IF(AND(L692=1,OR(Dashboard!$C$13="All",A692=Dashboard!$C$13),OR(Dashboard!$C$14="All",B692=Dashboard!$C$14),OR(Dashboard!$C$15="All",C692=Dashboard!$C$15),OR(Dashboard!$C$17="All",J692=Dashboard!$C$17)),1,0)</f>
        <v>0</v>
      </c>
      <c r="Q692" s="24">
        <f>IF(AND(L692=1,OR(Dashboard!$C$14="All",B692=Dashboard!$C$14),OR(Dashboard!$C$15="All",C692=Dashboard!$C$15),OR(Dashboard!$C$16="All",K692=Dashboard!$C$16),OR(Dashboard!$C$17="All",J692=Dashboard!$C$17)),1,0)</f>
        <v>0</v>
      </c>
      <c r="R692" s="24">
        <f>IF(AND(L692=1,OR(Dashboard!$C$13="All",A692=Dashboard!$C$13),OR(Dashboard!$C$14="All",B692=Dashboard!$C$14),OR(Dashboard!$C$15="All",C692=Dashboard!$C$15),OR(Dashboard!$C$16="All",K692=Dashboard!$C$16)),1,0)</f>
        <v>0</v>
      </c>
      <c r="S692" s="25" t="str">
        <f t="shared" si="3"/>
        <v/>
      </c>
    </row>
    <row r="693" ht="15.75" customHeight="1">
      <c r="A693" s="27"/>
      <c r="B693" s="27"/>
      <c r="C693" s="27"/>
      <c r="D693" s="27"/>
      <c r="E693" s="28"/>
      <c r="F693" s="28" t="str">
        <f t="shared" si="4"/>
        <v/>
      </c>
      <c r="G693" s="29"/>
      <c r="H693" s="27"/>
      <c r="I693" s="29" t="str">
        <f t="shared" si="5"/>
        <v/>
      </c>
      <c r="J693" s="27"/>
      <c r="K693" s="27"/>
      <c r="L693" s="25" t="str">
        <f>IF(A693="","",IF(OR(G693="",AND(G693&gt;=Dashboard!$C$18,G693&lt;=Dashboard!$C$19)),1,0))</f>
        <v/>
      </c>
      <c r="M693" s="24">
        <f>IF(AND(L693=1,OR(Dashboard!$C$13="All",A693=Dashboard!$C$13),OR(Dashboard!$C$14="All",B693=Dashboard!$C$14),OR(Dashboard!$C$15="All",C693=Dashboard!$C$15),OR(Dashboard!$C$16="All",K693=Dashboard!$C$16),OR(Dashboard!$C$17="All",J693=Dashboard!$C$17)),1,0)</f>
        <v>0</v>
      </c>
      <c r="N693" s="24">
        <f>IF(AND(L693=1,OR(Dashboard!$C$13="All",A693=Dashboard!$C$13),OR(Dashboard!$C$14="All",B693=Dashboard!$C$14),OR(Dashboard!$C$16="All",K693=Dashboard!$C$16),OR(Dashboard!$C$17="All",J693=Dashboard!$C$17)),1,0)</f>
        <v>0</v>
      </c>
      <c r="O693" s="24">
        <f>IF(AND(L693=1,OR(Dashboard!$C$13="All",A693=Dashboard!$C$13),OR(Dashboard!$C$15="All",C693=Dashboard!$C$15),OR(Dashboard!$C$16="All",K693=Dashboard!$C$16),OR(Dashboard!$C$17="All",J693=Dashboard!$C$17)),1,0)</f>
        <v>0</v>
      </c>
      <c r="P693" s="24">
        <f>IF(AND(L693=1,OR(Dashboard!$C$13="All",A693=Dashboard!$C$13),OR(Dashboard!$C$14="All",B693=Dashboard!$C$14),OR(Dashboard!$C$15="All",C693=Dashboard!$C$15),OR(Dashboard!$C$17="All",J693=Dashboard!$C$17)),1,0)</f>
        <v>0</v>
      </c>
      <c r="Q693" s="24">
        <f>IF(AND(L693=1,OR(Dashboard!$C$14="All",B693=Dashboard!$C$14),OR(Dashboard!$C$15="All",C693=Dashboard!$C$15),OR(Dashboard!$C$16="All",K693=Dashboard!$C$16),OR(Dashboard!$C$17="All",J693=Dashboard!$C$17)),1,0)</f>
        <v>0</v>
      </c>
      <c r="R693" s="24">
        <f>IF(AND(L693=1,OR(Dashboard!$C$13="All",A693=Dashboard!$C$13),OR(Dashboard!$C$14="All",B693=Dashboard!$C$14),OR(Dashboard!$C$15="All",C693=Dashboard!$C$15),OR(Dashboard!$C$16="All",K693=Dashboard!$C$16)),1,0)</f>
        <v>0</v>
      </c>
      <c r="S693" s="25" t="str">
        <f t="shared" si="3"/>
        <v/>
      </c>
    </row>
    <row r="694" ht="15.75" customHeight="1">
      <c r="A694" s="27"/>
      <c r="B694" s="27"/>
      <c r="C694" s="27"/>
      <c r="D694" s="27"/>
      <c r="E694" s="28"/>
      <c r="F694" s="28" t="str">
        <f t="shared" si="4"/>
        <v/>
      </c>
      <c r="G694" s="29"/>
      <c r="H694" s="27"/>
      <c r="I694" s="29" t="str">
        <f t="shared" si="5"/>
        <v/>
      </c>
      <c r="J694" s="27"/>
      <c r="K694" s="27"/>
      <c r="L694" s="25" t="str">
        <f>IF(A694="","",IF(OR(G694="",AND(G694&gt;=Dashboard!$C$18,G694&lt;=Dashboard!$C$19)),1,0))</f>
        <v/>
      </c>
      <c r="M694" s="24">
        <f>IF(AND(L694=1,OR(Dashboard!$C$13="All",A694=Dashboard!$C$13),OR(Dashboard!$C$14="All",B694=Dashboard!$C$14),OR(Dashboard!$C$15="All",C694=Dashboard!$C$15),OR(Dashboard!$C$16="All",K694=Dashboard!$C$16),OR(Dashboard!$C$17="All",J694=Dashboard!$C$17)),1,0)</f>
        <v>0</v>
      </c>
      <c r="N694" s="24">
        <f>IF(AND(L694=1,OR(Dashboard!$C$13="All",A694=Dashboard!$C$13),OR(Dashboard!$C$14="All",B694=Dashboard!$C$14),OR(Dashboard!$C$16="All",K694=Dashboard!$C$16),OR(Dashboard!$C$17="All",J694=Dashboard!$C$17)),1,0)</f>
        <v>0</v>
      </c>
      <c r="O694" s="24">
        <f>IF(AND(L694=1,OR(Dashboard!$C$13="All",A694=Dashboard!$C$13),OR(Dashboard!$C$15="All",C694=Dashboard!$C$15),OR(Dashboard!$C$16="All",K694=Dashboard!$C$16),OR(Dashboard!$C$17="All",J694=Dashboard!$C$17)),1,0)</f>
        <v>0</v>
      </c>
      <c r="P694" s="24">
        <f>IF(AND(L694=1,OR(Dashboard!$C$13="All",A694=Dashboard!$C$13),OR(Dashboard!$C$14="All",B694=Dashboard!$C$14),OR(Dashboard!$C$15="All",C694=Dashboard!$C$15),OR(Dashboard!$C$17="All",J694=Dashboard!$C$17)),1,0)</f>
        <v>0</v>
      </c>
      <c r="Q694" s="24">
        <f>IF(AND(L694=1,OR(Dashboard!$C$14="All",B694=Dashboard!$C$14),OR(Dashboard!$C$15="All",C694=Dashboard!$C$15),OR(Dashboard!$C$16="All",K694=Dashboard!$C$16),OR(Dashboard!$C$17="All",J694=Dashboard!$C$17)),1,0)</f>
        <v>0</v>
      </c>
      <c r="R694" s="24">
        <f>IF(AND(L694=1,OR(Dashboard!$C$13="All",A694=Dashboard!$C$13),OR(Dashboard!$C$14="All",B694=Dashboard!$C$14),OR(Dashboard!$C$15="All",C694=Dashboard!$C$15),OR(Dashboard!$C$16="All",K694=Dashboard!$C$16)),1,0)</f>
        <v>0</v>
      </c>
      <c r="S694" s="25" t="str">
        <f t="shared" si="3"/>
        <v/>
      </c>
    </row>
    <row r="695" ht="15.75" customHeight="1">
      <c r="A695" s="27"/>
      <c r="B695" s="27"/>
      <c r="C695" s="27"/>
      <c r="D695" s="27"/>
      <c r="E695" s="28"/>
      <c r="F695" s="28" t="str">
        <f t="shared" si="4"/>
        <v/>
      </c>
      <c r="G695" s="29"/>
      <c r="H695" s="27"/>
      <c r="I695" s="29" t="str">
        <f t="shared" si="5"/>
        <v/>
      </c>
      <c r="J695" s="27"/>
      <c r="K695" s="27"/>
      <c r="L695" s="25" t="str">
        <f>IF(A695="","",IF(OR(G695="",AND(G695&gt;=Dashboard!$C$18,G695&lt;=Dashboard!$C$19)),1,0))</f>
        <v/>
      </c>
      <c r="M695" s="24">
        <f>IF(AND(L695=1,OR(Dashboard!$C$13="All",A695=Dashboard!$C$13),OR(Dashboard!$C$14="All",B695=Dashboard!$C$14),OR(Dashboard!$C$15="All",C695=Dashboard!$C$15),OR(Dashboard!$C$16="All",K695=Dashboard!$C$16),OR(Dashboard!$C$17="All",J695=Dashboard!$C$17)),1,0)</f>
        <v>0</v>
      </c>
      <c r="N695" s="24">
        <f>IF(AND(L695=1,OR(Dashboard!$C$13="All",A695=Dashboard!$C$13),OR(Dashboard!$C$14="All",B695=Dashboard!$C$14),OR(Dashboard!$C$16="All",K695=Dashboard!$C$16),OR(Dashboard!$C$17="All",J695=Dashboard!$C$17)),1,0)</f>
        <v>0</v>
      </c>
      <c r="O695" s="24">
        <f>IF(AND(L695=1,OR(Dashboard!$C$13="All",A695=Dashboard!$C$13),OR(Dashboard!$C$15="All",C695=Dashboard!$C$15),OR(Dashboard!$C$16="All",K695=Dashboard!$C$16),OR(Dashboard!$C$17="All",J695=Dashboard!$C$17)),1,0)</f>
        <v>0</v>
      </c>
      <c r="P695" s="24">
        <f>IF(AND(L695=1,OR(Dashboard!$C$13="All",A695=Dashboard!$C$13),OR(Dashboard!$C$14="All",B695=Dashboard!$C$14),OR(Dashboard!$C$15="All",C695=Dashboard!$C$15),OR(Dashboard!$C$17="All",J695=Dashboard!$C$17)),1,0)</f>
        <v>0</v>
      </c>
      <c r="Q695" s="24">
        <f>IF(AND(L695=1,OR(Dashboard!$C$14="All",B695=Dashboard!$C$14),OR(Dashboard!$C$15="All",C695=Dashboard!$C$15),OR(Dashboard!$C$16="All",K695=Dashboard!$C$16),OR(Dashboard!$C$17="All",J695=Dashboard!$C$17)),1,0)</f>
        <v>0</v>
      </c>
      <c r="R695" s="24">
        <f>IF(AND(L695=1,OR(Dashboard!$C$13="All",A695=Dashboard!$C$13),OR(Dashboard!$C$14="All",B695=Dashboard!$C$14),OR(Dashboard!$C$15="All",C695=Dashboard!$C$15),OR(Dashboard!$C$16="All",K695=Dashboard!$C$16)),1,0)</f>
        <v>0</v>
      </c>
      <c r="S695" s="25" t="str">
        <f t="shared" si="3"/>
        <v/>
      </c>
    </row>
    <row r="696" ht="15.75" customHeight="1">
      <c r="A696" s="27"/>
      <c r="B696" s="27"/>
      <c r="C696" s="27"/>
      <c r="D696" s="27"/>
      <c r="E696" s="28"/>
      <c r="F696" s="28" t="str">
        <f t="shared" si="4"/>
        <v/>
      </c>
      <c r="G696" s="29"/>
      <c r="H696" s="27"/>
      <c r="I696" s="29" t="str">
        <f t="shared" si="5"/>
        <v/>
      </c>
      <c r="J696" s="27"/>
      <c r="K696" s="27"/>
      <c r="L696" s="25" t="str">
        <f>IF(A696="","",IF(OR(G696="",AND(G696&gt;=Dashboard!$C$18,G696&lt;=Dashboard!$C$19)),1,0))</f>
        <v/>
      </c>
      <c r="M696" s="24">
        <f>IF(AND(L696=1,OR(Dashboard!$C$13="All",A696=Dashboard!$C$13),OR(Dashboard!$C$14="All",B696=Dashboard!$C$14),OR(Dashboard!$C$15="All",C696=Dashboard!$C$15),OR(Dashboard!$C$16="All",K696=Dashboard!$C$16),OR(Dashboard!$C$17="All",J696=Dashboard!$C$17)),1,0)</f>
        <v>0</v>
      </c>
      <c r="N696" s="24">
        <f>IF(AND(L696=1,OR(Dashboard!$C$13="All",A696=Dashboard!$C$13),OR(Dashboard!$C$14="All",B696=Dashboard!$C$14),OR(Dashboard!$C$16="All",K696=Dashboard!$C$16),OR(Dashboard!$C$17="All",J696=Dashboard!$C$17)),1,0)</f>
        <v>0</v>
      </c>
      <c r="O696" s="24">
        <f>IF(AND(L696=1,OR(Dashboard!$C$13="All",A696=Dashboard!$C$13),OR(Dashboard!$C$15="All",C696=Dashboard!$C$15),OR(Dashboard!$C$16="All",K696=Dashboard!$C$16),OR(Dashboard!$C$17="All",J696=Dashboard!$C$17)),1,0)</f>
        <v>0</v>
      </c>
      <c r="P696" s="24">
        <f>IF(AND(L696=1,OR(Dashboard!$C$13="All",A696=Dashboard!$C$13),OR(Dashboard!$C$14="All",B696=Dashboard!$C$14),OR(Dashboard!$C$15="All",C696=Dashboard!$C$15),OR(Dashboard!$C$17="All",J696=Dashboard!$C$17)),1,0)</f>
        <v>0</v>
      </c>
      <c r="Q696" s="24">
        <f>IF(AND(L696=1,OR(Dashboard!$C$14="All",B696=Dashboard!$C$14),OR(Dashboard!$C$15="All",C696=Dashboard!$C$15),OR(Dashboard!$C$16="All",K696=Dashboard!$C$16),OR(Dashboard!$C$17="All",J696=Dashboard!$C$17)),1,0)</f>
        <v>0</v>
      </c>
      <c r="R696" s="24">
        <f>IF(AND(L696=1,OR(Dashboard!$C$13="All",A696=Dashboard!$C$13),OR(Dashboard!$C$14="All",B696=Dashboard!$C$14),OR(Dashboard!$C$15="All",C696=Dashboard!$C$15),OR(Dashboard!$C$16="All",K696=Dashboard!$C$16)),1,0)</f>
        <v>0</v>
      </c>
      <c r="S696" s="25" t="str">
        <f t="shared" si="3"/>
        <v/>
      </c>
    </row>
    <row r="697" ht="15.75" customHeight="1">
      <c r="A697" s="27"/>
      <c r="B697" s="27"/>
      <c r="C697" s="27"/>
      <c r="D697" s="27"/>
      <c r="E697" s="28"/>
      <c r="F697" s="28" t="str">
        <f t="shared" si="4"/>
        <v/>
      </c>
      <c r="G697" s="29"/>
      <c r="H697" s="27"/>
      <c r="I697" s="29" t="str">
        <f t="shared" si="5"/>
        <v/>
      </c>
      <c r="J697" s="27"/>
      <c r="K697" s="27"/>
      <c r="L697" s="25" t="str">
        <f>IF(A697="","",IF(OR(G697="",AND(G697&gt;=Dashboard!$C$18,G697&lt;=Dashboard!$C$19)),1,0))</f>
        <v/>
      </c>
      <c r="M697" s="24">
        <f>IF(AND(L697=1,OR(Dashboard!$C$13="All",A697=Dashboard!$C$13),OR(Dashboard!$C$14="All",B697=Dashboard!$C$14),OR(Dashboard!$C$15="All",C697=Dashboard!$C$15),OR(Dashboard!$C$16="All",K697=Dashboard!$C$16),OR(Dashboard!$C$17="All",J697=Dashboard!$C$17)),1,0)</f>
        <v>0</v>
      </c>
      <c r="N697" s="24">
        <f>IF(AND(L697=1,OR(Dashboard!$C$13="All",A697=Dashboard!$C$13),OR(Dashboard!$C$14="All",B697=Dashboard!$C$14),OR(Dashboard!$C$16="All",K697=Dashboard!$C$16),OR(Dashboard!$C$17="All",J697=Dashboard!$C$17)),1,0)</f>
        <v>0</v>
      </c>
      <c r="O697" s="24">
        <f>IF(AND(L697=1,OR(Dashboard!$C$13="All",A697=Dashboard!$C$13),OR(Dashboard!$C$15="All",C697=Dashboard!$C$15),OR(Dashboard!$C$16="All",K697=Dashboard!$C$16),OR(Dashboard!$C$17="All",J697=Dashboard!$C$17)),1,0)</f>
        <v>0</v>
      </c>
      <c r="P697" s="24">
        <f>IF(AND(L697=1,OR(Dashboard!$C$13="All",A697=Dashboard!$C$13),OR(Dashboard!$C$14="All",B697=Dashboard!$C$14),OR(Dashboard!$C$15="All",C697=Dashboard!$C$15),OR(Dashboard!$C$17="All",J697=Dashboard!$C$17)),1,0)</f>
        <v>0</v>
      </c>
      <c r="Q697" s="24">
        <f>IF(AND(L697=1,OR(Dashboard!$C$14="All",B697=Dashboard!$C$14),OR(Dashboard!$C$15="All",C697=Dashboard!$C$15),OR(Dashboard!$C$16="All",K697=Dashboard!$C$16),OR(Dashboard!$C$17="All",J697=Dashboard!$C$17)),1,0)</f>
        <v>0</v>
      </c>
      <c r="R697" s="24">
        <f>IF(AND(L697=1,OR(Dashboard!$C$13="All",A697=Dashboard!$C$13),OR(Dashboard!$C$14="All",B697=Dashboard!$C$14),OR(Dashboard!$C$15="All",C697=Dashboard!$C$15),OR(Dashboard!$C$16="All",K697=Dashboard!$C$16)),1,0)</f>
        <v>0</v>
      </c>
      <c r="S697" s="25" t="str">
        <f t="shared" si="3"/>
        <v/>
      </c>
    </row>
    <row r="698" ht="15.75" customHeight="1">
      <c r="A698" s="27"/>
      <c r="B698" s="27"/>
      <c r="C698" s="27"/>
      <c r="D698" s="27"/>
      <c r="E698" s="28"/>
      <c r="F698" s="28" t="str">
        <f t="shared" si="4"/>
        <v/>
      </c>
      <c r="G698" s="29"/>
      <c r="H698" s="27"/>
      <c r="I698" s="29" t="str">
        <f t="shared" si="5"/>
        <v/>
      </c>
      <c r="J698" s="27"/>
      <c r="K698" s="27"/>
      <c r="L698" s="25" t="str">
        <f>IF(A698="","",IF(OR(G698="",AND(G698&gt;=Dashboard!$C$18,G698&lt;=Dashboard!$C$19)),1,0))</f>
        <v/>
      </c>
      <c r="M698" s="24">
        <f>IF(AND(L698=1,OR(Dashboard!$C$13="All",A698=Dashboard!$C$13),OR(Dashboard!$C$14="All",B698=Dashboard!$C$14),OR(Dashboard!$C$15="All",C698=Dashboard!$C$15),OR(Dashboard!$C$16="All",K698=Dashboard!$C$16),OR(Dashboard!$C$17="All",J698=Dashboard!$C$17)),1,0)</f>
        <v>0</v>
      </c>
      <c r="N698" s="24">
        <f>IF(AND(L698=1,OR(Dashboard!$C$13="All",A698=Dashboard!$C$13),OR(Dashboard!$C$14="All",B698=Dashboard!$C$14),OR(Dashboard!$C$16="All",K698=Dashboard!$C$16),OR(Dashboard!$C$17="All",J698=Dashboard!$C$17)),1,0)</f>
        <v>0</v>
      </c>
      <c r="O698" s="24">
        <f>IF(AND(L698=1,OR(Dashboard!$C$13="All",A698=Dashboard!$C$13),OR(Dashboard!$C$15="All",C698=Dashboard!$C$15),OR(Dashboard!$C$16="All",K698=Dashboard!$C$16),OR(Dashboard!$C$17="All",J698=Dashboard!$C$17)),1,0)</f>
        <v>0</v>
      </c>
      <c r="P698" s="24">
        <f>IF(AND(L698=1,OR(Dashboard!$C$13="All",A698=Dashboard!$C$13),OR(Dashboard!$C$14="All",B698=Dashboard!$C$14),OR(Dashboard!$C$15="All",C698=Dashboard!$C$15),OR(Dashboard!$C$17="All",J698=Dashboard!$C$17)),1,0)</f>
        <v>0</v>
      </c>
      <c r="Q698" s="24">
        <f>IF(AND(L698=1,OR(Dashboard!$C$14="All",B698=Dashboard!$C$14),OR(Dashboard!$C$15="All",C698=Dashboard!$C$15),OR(Dashboard!$C$16="All",K698=Dashboard!$C$16),OR(Dashboard!$C$17="All",J698=Dashboard!$C$17)),1,0)</f>
        <v>0</v>
      </c>
      <c r="R698" s="24">
        <f>IF(AND(L698=1,OR(Dashboard!$C$13="All",A698=Dashboard!$C$13),OR(Dashboard!$C$14="All",B698=Dashboard!$C$14),OR(Dashboard!$C$15="All",C698=Dashboard!$C$15),OR(Dashboard!$C$16="All",K698=Dashboard!$C$16)),1,0)</f>
        <v>0</v>
      </c>
      <c r="S698" s="25" t="str">
        <f t="shared" si="3"/>
        <v/>
      </c>
    </row>
    <row r="699" ht="15.75" customHeight="1">
      <c r="A699" s="27"/>
      <c r="B699" s="27"/>
      <c r="C699" s="27"/>
      <c r="D699" s="27"/>
      <c r="E699" s="28"/>
      <c r="F699" s="28" t="str">
        <f t="shared" si="4"/>
        <v/>
      </c>
      <c r="G699" s="29"/>
      <c r="H699" s="27"/>
      <c r="I699" s="29" t="str">
        <f t="shared" si="5"/>
        <v/>
      </c>
      <c r="J699" s="27"/>
      <c r="K699" s="27"/>
      <c r="L699" s="25" t="str">
        <f>IF(A699="","",IF(OR(G699="",AND(G699&gt;=Dashboard!$C$18,G699&lt;=Dashboard!$C$19)),1,0))</f>
        <v/>
      </c>
      <c r="M699" s="24">
        <f>IF(AND(L699=1,OR(Dashboard!$C$13="All",A699=Dashboard!$C$13),OR(Dashboard!$C$14="All",B699=Dashboard!$C$14),OR(Dashboard!$C$15="All",C699=Dashboard!$C$15),OR(Dashboard!$C$16="All",K699=Dashboard!$C$16),OR(Dashboard!$C$17="All",J699=Dashboard!$C$17)),1,0)</f>
        <v>0</v>
      </c>
      <c r="N699" s="24">
        <f>IF(AND(L699=1,OR(Dashboard!$C$13="All",A699=Dashboard!$C$13),OR(Dashboard!$C$14="All",B699=Dashboard!$C$14),OR(Dashboard!$C$16="All",K699=Dashboard!$C$16),OR(Dashboard!$C$17="All",J699=Dashboard!$C$17)),1,0)</f>
        <v>0</v>
      </c>
      <c r="O699" s="24">
        <f>IF(AND(L699=1,OR(Dashboard!$C$13="All",A699=Dashboard!$C$13),OR(Dashboard!$C$15="All",C699=Dashboard!$C$15),OR(Dashboard!$C$16="All",K699=Dashboard!$C$16),OR(Dashboard!$C$17="All",J699=Dashboard!$C$17)),1,0)</f>
        <v>0</v>
      </c>
      <c r="P699" s="24">
        <f>IF(AND(L699=1,OR(Dashboard!$C$13="All",A699=Dashboard!$C$13),OR(Dashboard!$C$14="All",B699=Dashboard!$C$14),OR(Dashboard!$C$15="All",C699=Dashboard!$C$15),OR(Dashboard!$C$17="All",J699=Dashboard!$C$17)),1,0)</f>
        <v>0</v>
      </c>
      <c r="Q699" s="24">
        <f>IF(AND(L699=1,OR(Dashboard!$C$14="All",B699=Dashboard!$C$14),OR(Dashboard!$C$15="All",C699=Dashboard!$C$15),OR(Dashboard!$C$16="All",K699=Dashboard!$C$16),OR(Dashboard!$C$17="All",J699=Dashboard!$C$17)),1,0)</f>
        <v>0</v>
      </c>
      <c r="R699" s="24">
        <f>IF(AND(L699=1,OR(Dashboard!$C$13="All",A699=Dashboard!$C$13),OR(Dashboard!$C$14="All",B699=Dashboard!$C$14),OR(Dashboard!$C$15="All",C699=Dashboard!$C$15),OR(Dashboard!$C$16="All",K699=Dashboard!$C$16)),1,0)</f>
        <v>0</v>
      </c>
      <c r="S699" s="25" t="str">
        <f t="shared" si="3"/>
        <v/>
      </c>
    </row>
    <row r="700" ht="15.75" customHeight="1">
      <c r="A700" s="27"/>
      <c r="B700" s="27"/>
      <c r="C700" s="27"/>
      <c r="D700" s="27"/>
      <c r="E700" s="28"/>
      <c r="F700" s="28" t="str">
        <f t="shared" si="4"/>
        <v/>
      </c>
      <c r="G700" s="29"/>
      <c r="H700" s="27"/>
      <c r="I700" s="29" t="str">
        <f t="shared" si="5"/>
        <v/>
      </c>
      <c r="J700" s="27"/>
      <c r="K700" s="27"/>
      <c r="L700" s="25" t="str">
        <f>IF(A700="","",IF(OR(G700="",AND(G700&gt;=Dashboard!$C$18,G700&lt;=Dashboard!$C$19)),1,0))</f>
        <v/>
      </c>
      <c r="M700" s="24">
        <f>IF(AND(L700=1,OR(Dashboard!$C$13="All",A700=Dashboard!$C$13),OR(Dashboard!$C$14="All",B700=Dashboard!$C$14),OR(Dashboard!$C$15="All",C700=Dashboard!$C$15),OR(Dashboard!$C$16="All",K700=Dashboard!$C$16),OR(Dashboard!$C$17="All",J700=Dashboard!$C$17)),1,0)</f>
        <v>0</v>
      </c>
      <c r="N700" s="24">
        <f>IF(AND(L700=1,OR(Dashboard!$C$13="All",A700=Dashboard!$C$13),OR(Dashboard!$C$14="All",B700=Dashboard!$C$14),OR(Dashboard!$C$16="All",K700=Dashboard!$C$16),OR(Dashboard!$C$17="All",J700=Dashboard!$C$17)),1,0)</f>
        <v>0</v>
      </c>
      <c r="O700" s="24">
        <f>IF(AND(L700=1,OR(Dashboard!$C$13="All",A700=Dashboard!$C$13),OR(Dashboard!$C$15="All",C700=Dashboard!$C$15),OR(Dashboard!$C$16="All",K700=Dashboard!$C$16),OR(Dashboard!$C$17="All",J700=Dashboard!$C$17)),1,0)</f>
        <v>0</v>
      </c>
      <c r="P700" s="24">
        <f>IF(AND(L700=1,OR(Dashboard!$C$13="All",A700=Dashboard!$C$13),OR(Dashboard!$C$14="All",B700=Dashboard!$C$14),OR(Dashboard!$C$15="All",C700=Dashboard!$C$15),OR(Dashboard!$C$17="All",J700=Dashboard!$C$17)),1,0)</f>
        <v>0</v>
      </c>
      <c r="Q700" s="24">
        <f>IF(AND(L700=1,OR(Dashboard!$C$14="All",B700=Dashboard!$C$14),OR(Dashboard!$C$15="All",C700=Dashboard!$C$15),OR(Dashboard!$C$16="All",K700=Dashboard!$C$16),OR(Dashboard!$C$17="All",J700=Dashboard!$C$17)),1,0)</f>
        <v>0</v>
      </c>
      <c r="R700" s="24">
        <f>IF(AND(L700=1,OR(Dashboard!$C$13="All",A700=Dashboard!$C$13),OR(Dashboard!$C$14="All",B700=Dashboard!$C$14),OR(Dashboard!$C$15="All",C700=Dashboard!$C$15),OR(Dashboard!$C$16="All",K700=Dashboard!$C$16)),1,0)</f>
        <v>0</v>
      </c>
      <c r="S700" s="25" t="str">
        <f t="shared" si="3"/>
        <v/>
      </c>
    </row>
    <row r="701" ht="15.75" customHeight="1">
      <c r="A701" s="27"/>
      <c r="B701" s="27"/>
      <c r="C701" s="27"/>
      <c r="D701" s="27"/>
      <c r="E701" s="28"/>
      <c r="F701" s="28" t="str">
        <f t="shared" si="4"/>
        <v/>
      </c>
      <c r="G701" s="29"/>
      <c r="H701" s="27"/>
      <c r="I701" s="29" t="str">
        <f t="shared" si="5"/>
        <v/>
      </c>
      <c r="J701" s="27"/>
      <c r="K701" s="27"/>
      <c r="L701" s="25" t="str">
        <f>IF(A701="","",IF(OR(G701="",AND(G701&gt;=Dashboard!$C$18,G701&lt;=Dashboard!$C$19)),1,0))</f>
        <v/>
      </c>
      <c r="M701" s="24">
        <f>IF(AND(L701=1,OR(Dashboard!$C$13="All",A701=Dashboard!$C$13),OR(Dashboard!$C$14="All",B701=Dashboard!$C$14),OR(Dashboard!$C$15="All",C701=Dashboard!$C$15),OR(Dashboard!$C$16="All",K701=Dashboard!$C$16),OR(Dashboard!$C$17="All",J701=Dashboard!$C$17)),1,0)</f>
        <v>0</v>
      </c>
      <c r="N701" s="24">
        <f>IF(AND(L701=1,OR(Dashboard!$C$13="All",A701=Dashboard!$C$13),OR(Dashboard!$C$14="All",B701=Dashboard!$C$14),OR(Dashboard!$C$16="All",K701=Dashboard!$C$16),OR(Dashboard!$C$17="All",J701=Dashboard!$C$17)),1,0)</f>
        <v>0</v>
      </c>
      <c r="O701" s="24">
        <f>IF(AND(L701=1,OR(Dashboard!$C$13="All",A701=Dashboard!$C$13),OR(Dashboard!$C$15="All",C701=Dashboard!$C$15),OR(Dashboard!$C$16="All",K701=Dashboard!$C$16),OR(Dashboard!$C$17="All",J701=Dashboard!$C$17)),1,0)</f>
        <v>0</v>
      </c>
      <c r="P701" s="24">
        <f>IF(AND(L701=1,OR(Dashboard!$C$13="All",A701=Dashboard!$C$13),OR(Dashboard!$C$14="All",B701=Dashboard!$C$14),OR(Dashboard!$C$15="All",C701=Dashboard!$C$15),OR(Dashboard!$C$17="All",J701=Dashboard!$C$17)),1,0)</f>
        <v>0</v>
      </c>
      <c r="Q701" s="24">
        <f>IF(AND(L701=1,OR(Dashboard!$C$14="All",B701=Dashboard!$C$14),OR(Dashboard!$C$15="All",C701=Dashboard!$C$15),OR(Dashboard!$C$16="All",K701=Dashboard!$C$16),OR(Dashboard!$C$17="All",J701=Dashboard!$C$17)),1,0)</f>
        <v>0</v>
      </c>
      <c r="R701" s="24">
        <f>IF(AND(L701=1,OR(Dashboard!$C$13="All",A701=Dashboard!$C$13),OR(Dashboard!$C$14="All",B701=Dashboard!$C$14),OR(Dashboard!$C$15="All",C701=Dashboard!$C$15),OR(Dashboard!$C$16="All",K701=Dashboard!$C$16)),1,0)</f>
        <v>0</v>
      </c>
      <c r="S701" s="25" t="str">
        <f t="shared" si="3"/>
        <v/>
      </c>
    </row>
    <row r="702" ht="15.75" customHeight="1">
      <c r="A702" s="27"/>
      <c r="B702" s="27"/>
      <c r="C702" s="27"/>
      <c r="D702" s="27"/>
      <c r="E702" s="28"/>
      <c r="F702" s="28" t="str">
        <f t="shared" si="4"/>
        <v/>
      </c>
      <c r="G702" s="29"/>
      <c r="H702" s="27"/>
      <c r="I702" s="29" t="str">
        <f t="shared" si="5"/>
        <v/>
      </c>
      <c r="J702" s="27"/>
      <c r="K702" s="27"/>
      <c r="L702" s="25" t="str">
        <f>IF(A702="","",IF(OR(G702="",AND(G702&gt;=Dashboard!$C$18,G702&lt;=Dashboard!$C$19)),1,0))</f>
        <v/>
      </c>
      <c r="M702" s="24">
        <f>IF(AND(L702=1,OR(Dashboard!$C$13="All",A702=Dashboard!$C$13),OR(Dashboard!$C$14="All",B702=Dashboard!$C$14),OR(Dashboard!$C$15="All",C702=Dashboard!$C$15),OR(Dashboard!$C$16="All",K702=Dashboard!$C$16),OR(Dashboard!$C$17="All",J702=Dashboard!$C$17)),1,0)</f>
        <v>0</v>
      </c>
      <c r="N702" s="24">
        <f>IF(AND(L702=1,OR(Dashboard!$C$13="All",A702=Dashboard!$C$13),OR(Dashboard!$C$14="All",B702=Dashboard!$C$14),OR(Dashboard!$C$16="All",K702=Dashboard!$C$16),OR(Dashboard!$C$17="All",J702=Dashboard!$C$17)),1,0)</f>
        <v>0</v>
      </c>
      <c r="O702" s="24">
        <f>IF(AND(L702=1,OR(Dashboard!$C$13="All",A702=Dashboard!$C$13),OR(Dashboard!$C$15="All",C702=Dashboard!$C$15),OR(Dashboard!$C$16="All",K702=Dashboard!$C$16),OR(Dashboard!$C$17="All",J702=Dashboard!$C$17)),1,0)</f>
        <v>0</v>
      </c>
      <c r="P702" s="24">
        <f>IF(AND(L702=1,OR(Dashboard!$C$13="All",A702=Dashboard!$C$13),OR(Dashboard!$C$14="All",B702=Dashboard!$C$14),OR(Dashboard!$C$15="All",C702=Dashboard!$C$15),OR(Dashboard!$C$17="All",J702=Dashboard!$C$17)),1,0)</f>
        <v>0</v>
      </c>
      <c r="Q702" s="24">
        <f>IF(AND(L702=1,OR(Dashboard!$C$14="All",B702=Dashboard!$C$14),OR(Dashboard!$C$15="All",C702=Dashboard!$C$15),OR(Dashboard!$C$16="All",K702=Dashboard!$C$16),OR(Dashboard!$C$17="All",J702=Dashboard!$C$17)),1,0)</f>
        <v>0</v>
      </c>
      <c r="R702" s="24">
        <f>IF(AND(L702=1,OR(Dashboard!$C$13="All",A702=Dashboard!$C$13),OR(Dashboard!$C$14="All",B702=Dashboard!$C$14),OR(Dashboard!$C$15="All",C702=Dashboard!$C$15),OR(Dashboard!$C$16="All",K702=Dashboard!$C$16)),1,0)</f>
        <v>0</v>
      </c>
      <c r="S702" s="25" t="str">
        <f t="shared" si="3"/>
        <v/>
      </c>
    </row>
    <row r="703" ht="15.75" customHeight="1">
      <c r="A703" s="27"/>
      <c r="B703" s="27"/>
      <c r="C703" s="27"/>
      <c r="D703" s="27"/>
      <c r="E703" s="28"/>
      <c r="F703" s="28" t="str">
        <f t="shared" si="4"/>
        <v/>
      </c>
      <c r="G703" s="29"/>
      <c r="H703" s="27"/>
      <c r="I703" s="29" t="str">
        <f t="shared" si="5"/>
        <v/>
      </c>
      <c r="J703" s="27"/>
      <c r="K703" s="27"/>
      <c r="L703" s="25" t="str">
        <f>IF(A703="","",IF(OR(G703="",AND(G703&gt;=Dashboard!$C$18,G703&lt;=Dashboard!$C$19)),1,0))</f>
        <v/>
      </c>
      <c r="M703" s="24">
        <f>IF(AND(L703=1,OR(Dashboard!$C$13="All",A703=Dashboard!$C$13),OR(Dashboard!$C$14="All",B703=Dashboard!$C$14),OR(Dashboard!$C$15="All",C703=Dashboard!$C$15),OR(Dashboard!$C$16="All",K703=Dashboard!$C$16),OR(Dashboard!$C$17="All",J703=Dashboard!$C$17)),1,0)</f>
        <v>0</v>
      </c>
      <c r="N703" s="24">
        <f>IF(AND(L703=1,OR(Dashboard!$C$13="All",A703=Dashboard!$C$13),OR(Dashboard!$C$14="All",B703=Dashboard!$C$14),OR(Dashboard!$C$16="All",K703=Dashboard!$C$16),OR(Dashboard!$C$17="All",J703=Dashboard!$C$17)),1,0)</f>
        <v>0</v>
      </c>
      <c r="O703" s="24">
        <f>IF(AND(L703=1,OR(Dashboard!$C$13="All",A703=Dashboard!$C$13),OR(Dashboard!$C$15="All",C703=Dashboard!$C$15),OR(Dashboard!$C$16="All",K703=Dashboard!$C$16),OR(Dashboard!$C$17="All",J703=Dashboard!$C$17)),1,0)</f>
        <v>0</v>
      </c>
      <c r="P703" s="24">
        <f>IF(AND(L703=1,OR(Dashboard!$C$13="All",A703=Dashboard!$C$13),OR(Dashboard!$C$14="All",B703=Dashboard!$C$14),OR(Dashboard!$C$15="All",C703=Dashboard!$C$15),OR(Dashboard!$C$17="All",J703=Dashboard!$C$17)),1,0)</f>
        <v>0</v>
      </c>
      <c r="Q703" s="24">
        <f>IF(AND(L703=1,OR(Dashboard!$C$14="All",B703=Dashboard!$C$14),OR(Dashboard!$C$15="All",C703=Dashboard!$C$15),OR(Dashboard!$C$16="All",K703=Dashboard!$C$16),OR(Dashboard!$C$17="All",J703=Dashboard!$C$17)),1,0)</f>
        <v>0</v>
      </c>
      <c r="R703" s="24">
        <f>IF(AND(L703=1,OR(Dashboard!$C$13="All",A703=Dashboard!$C$13),OR(Dashboard!$C$14="All",B703=Dashboard!$C$14),OR(Dashboard!$C$15="All",C703=Dashboard!$C$15),OR(Dashboard!$C$16="All",K703=Dashboard!$C$16)),1,0)</f>
        <v>0</v>
      </c>
      <c r="S703" s="25" t="str">
        <f t="shared" si="3"/>
        <v/>
      </c>
    </row>
    <row r="704" ht="15.75" customHeight="1">
      <c r="A704" s="27"/>
      <c r="B704" s="27"/>
      <c r="C704" s="27"/>
      <c r="D704" s="27"/>
      <c r="E704" s="28"/>
      <c r="F704" s="28" t="str">
        <f t="shared" si="4"/>
        <v/>
      </c>
      <c r="G704" s="29"/>
      <c r="H704" s="27"/>
      <c r="I704" s="29" t="str">
        <f t="shared" si="5"/>
        <v/>
      </c>
      <c r="J704" s="27"/>
      <c r="K704" s="27"/>
      <c r="L704" s="25" t="str">
        <f>IF(A704="","",IF(OR(G704="",AND(G704&gt;=Dashboard!$C$18,G704&lt;=Dashboard!$C$19)),1,0))</f>
        <v/>
      </c>
      <c r="M704" s="24">
        <f>IF(AND(L704=1,OR(Dashboard!$C$13="All",A704=Dashboard!$C$13),OR(Dashboard!$C$14="All",B704=Dashboard!$C$14),OR(Dashboard!$C$15="All",C704=Dashboard!$C$15),OR(Dashboard!$C$16="All",K704=Dashboard!$C$16),OR(Dashboard!$C$17="All",J704=Dashboard!$C$17)),1,0)</f>
        <v>0</v>
      </c>
      <c r="N704" s="24">
        <f>IF(AND(L704=1,OR(Dashboard!$C$13="All",A704=Dashboard!$C$13),OR(Dashboard!$C$14="All",B704=Dashboard!$C$14),OR(Dashboard!$C$16="All",K704=Dashboard!$C$16),OR(Dashboard!$C$17="All",J704=Dashboard!$C$17)),1,0)</f>
        <v>0</v>
      </c>
      <c r="O704" s="24">
        <f>IF(AND(L704=1,OR(Dashboard!$C$13="All",A704=Dashboard!$C$13),OR(Dashboard!$C$15="All",C704=Dashboard!$C$15),OR(Dashboard!$C$16="All",K704=Dashboard!$C$16),OR(Dashboard!$C$17="All",J704=Dashboard!$C$17)),1,0)</f>
        <v>0</v>
      </c>
      <c r="P704" s="24">
        <f>IF(AND(L704=1,OR(Dashboard!$C$13="All",A704=Dashboard!$C$13),OR(Dashboard!$C$14="All",B704=Dashboard!$C$14),OR(Dashboard!$C$15="All",C704=Dashboard!$C$15),OR(Dashboard!$C$17="All",J704=Dashboard!$C$17)),1,0)</f>
        <v>0</v>
      </c>
      <c r="Q704" s="24">
        <f>IF(AND(L704=1,OR(Dashboard!$C$14="All",B704=Dashboard!$C$14),OR(Dashboard!$C$15="All",C704=Dashboard!$C$15),OR(Dashboard!$C$16="All",K704=Dashboard!$C$16),OR(Dashboard!$C$17="All",J704=Dashboard!$C$17)),1,0)</f>
        <v>0</v>
      </c>
      <c r="R704" s="24">
        <f>IF(AND(L704=1,OR(Dashboard!$C$13="All",A704=Dashboard!$C$13),OR(Dashboard!$C$14="All",B704=Dashboard!$C$14),OR(Dashboard!$C$15="All",C704=Dashboard!$C$15),OR(Dashboard!$C$16="All",K704=Dashboard!$C$16)),1,0)</f>
        <v>0</v>
      </c>
      <c r="S704" s="25" t="str">
        <f t="shared" si="3"/>
        <v/>
      </c>
    </row>
    <row r="705" ht="15.75" customHeight="1">
      <c r="A705" s="27"/>
      <c r="B705" s="27"/>
      <c r="C705" s="27"/>
      <c r="D705" s="27"/>
      <c r="E705" s="28"/>
      <c r="F705" s="28" t="str">
        <f t="shared" si="4"/>
        <v/>
      </c>
      <c r="G705" s="29"/>
      <c r="H705" s="27"/>
      <c r="I705" s="29" t="str">
        <f t="shared" si="5"/>
        <v/>
      </c>
      <c r="J705" s="27"/>
      <c r="K705" s="27"/>
      <c r="L705" s="25" t="str">
        <f>IF(A705="","",IF(OR(G705="",AND(G705&gt;=Dashboard!$C$18,G705&lt;=Dashboard!$C$19)),1,0))</f>
        <v/>
      </c>
      <c r="M705" s="24">
        <f>IF(AND(L705=1,OR(Dashboard!$C$13="All",A705=Dashboard!$C$13),OR(Dashboard!$C$14="All",B705=Dashboard!$C$14),OR(Dashboard!$C$15="All",C705=Dashboard!$C$15),OR(Dashboard!$C$16="All",K705=Dashboard!$C$16),OR(Dashboard!$C$17="All",J705=Dashboard!$C$17)),1,0)</f>
        <v>0</v>
      </c>
      <c r="N705" s="24">
        <f>IF(AND(L705=1,OR(Dashboard!$C$13="All",A705=Dashboard!$C$13),OR(Dashboard!$C$14="All",B705=Dashboard!$C$14),OR(Dashboard!$C$16="All",K705=Dashboard!$C$16),OR(Dashboard!$C$17="All",J705=Dashboard!$C$17)),1,0)</f>
        <v>0</v>
      </c>
      <c r="O705" s="24">
        <f>IF(AND(L705=1,OR(Dashboard!$C$13="All",A705=Dashboard!$C$13),OR(Dashboard!$C$15="All",C705=Dashboard!$C$15),OR(Dashboard!$C$16="All",K705=Dashboard!$C$16),OR(Dashboard!$C$17="All",J705=Dashboard!$C$17)),1,0)</f>
        <v>0</v>
      </c>
      <c r="P705" s="24">
        <f>IF(AND(L705=1,OR(Dashboard!$C$13="All",A705=Dashboard!$C$13),OR(Dashboard!$C$14="All",B705=Dashboard!$C$14),OR(Dashboard!$C$15="All",C705=Dashboard!$C$15),OR(Dashboard!$C$17="All",J705=Dashboard!$C$17)),1,0)</f>
        <v>0</v>
      </c>
      <c r="Q705" s="24">
        <f>IF(AND(L705=1,OR(Dashboard!$C$14="All",B705=Dashboard!$C$14),OR(Dashboard!$C$15="All",C705=Dashboard!$C$15),OR(Dashboard!$C$16="All",K705=Dashboard!$C$16),OR(Dashboard!$C$17="All",J705=Dashboard!$C$17)),1,0)</f>
        <v>0</v>
      </c>
      <c r="R705" s="24">
        <f>IF(AND(L705=1,OR(Dashboard!$C$13="All",A705=Dashboard!$C$13),OR(Dashboard!$C$14="All",B705=Dashboard!$C$14),OR(Dashboard!$C$15="All",C705=Dashboard!$C$15),OR(Dashboard!$C$16="All",K705=Dashboard!$C$16)),1,0)</f>
        <v>0</v>
      </c>
      <c r="S705" s="25" t="str">
        <f t="shared" si="3"/>
        <v/>
      </c>
    </row>
    <row r="706" ht="15.75" customHeight="1">
      <c r="A706" s="27"/>
      <c r="B706" s="27"/>
      <c r="C706" s="27"/>
      <c r="D706" s="27"/>
      <c r="E706" s="28"/>
      <c r="F706" s="28" t="str">
        <f t="shared" si="4"/>
        <v/>
      </c>
      <c r="G706" s="29"/>
      <c r="H706" s="27"/>
      <c r="I706" s="29" t="str">
        <f t="shared" si="5"/>
        <v/>
      </c>
      <c r="J706" s="27"/>
      <c r="K706" s="27"/>
      <c r="L706" s="25" t="str">
        <f>IF(A706="","",IF(OR(G706="",AND(G706&gt;=Dashboard!$C$18,G706&lt;=Dashboard!$C$19)),1,0))</f>
        <v/>
      </c>
      <c r="M706" s="24">
        <f>IF(AND(L706=1,OR(Dashboard!$C$13="All",A706=Dashboard!$C$13),OR(Dashboard!$C$14="All",B706=Dashboard!$C$14),OR(Dashboard!$C$15="All",C706=Dashboard!$C$15),OR(Dashboard!$C$16="All",K706=Dashboard!$C$16),OR(Dashboard!$C$17="All",J706=Dashboard!$C$17)),1,0)</f>
        <v>0</v>
      </c>
      <c r="N706" s="24">
        <f>IF(AND(L706=1,OR(Dashboard!$C$13="All",A706=Dashboard!$C$13),OR(Dashboard!$C$14="All",B706=Dashboard!$C$14),OR(Dashboard!$C$16="All",K706=Dashboard!$C$16),OR(Dashboard!$C$17="All",J706=Dashboard!$C$17)),1,0)</f>
        <v>0</v>
      </c>
      <c r="O706" s="24">
        <f>IF(AND(L706=1,OR(Dashboard!$C$13="All",A706=Dashboard!$C$13),OR(Dashboard!$C$15="All",C706=Dashboard!$C$15),OR(Dashboard!$C$16="All",K706=Dashboard!$C$16),OR(Dashboard!$C$17="All",J706=Dashboard!$C$17)),1,0)</f>
        <v>0</v>
      </c>
      <c r="P706" s="24">
        <f>IF(AND(L706=1,OR(Dashboard!$C$13="All",A706=Dashboard!$C$13),OR(Dashboard!$C$14="All",B706=Dashboard!$C$14),OR(Dashboard!$C$15="All",C706=Dashboard!$C$15),OR(Dashboard!$C$17="All",J706=Dashboard!$C$17)),1,0)</f>
        <v>0</v>
      </c>
      <c r="Q706" s="24">
        <f>IF(AND(L706=1,OR(Dashboard!$C$14="All",B706=Dashboard!$C$14),OR(Dashboard!$C$15="All",C706=Dashboard!$C$15),OR(Dashboard!$C$16="All",K706=Dashboard!$C$16),OR(Dashboard!$C$17="All",J706=Dashboard!$C$17)),1,0)</f>
        <v>0</v>
      </c>
      <c r="R706" s="24">
        <f>IF(AND(L706=1,OR(Dashboard!$C$13="All",A706=Dashboard!$C$13),OR(Dashboard!$C$14="All",B706=Dashboard!$C$14),OR(Dashboard!$C$15="All",C706=Dashboard!$C$15),OR(Dashboard!$C$16="All",K706=Dashboard!$C$16)),1,0)</f>
        <v>0</v>
      </c>
      <c r="S706" s="25" t="str">
        <f t="shared" si="3"/>
        <v/>
      </c>
    </row>
    <row r="707" ht="15.75" customHeight="1">
      <c r="A707" s="27"/>
      <c r="B707" s="27"/>
      <c r="C707" s="27"/>
      <c r="D707" s="27"/>
      <c r="E707" s="28"/>
      <c r="F707" s="28" t="str">
        <f t="shared" si="4"/>
        <v/>
      </c>
      <c r="G707" s="29"/>
      <c r="H707" s="27"/>
      <c r="I707" s="29" t="str">
        <f t="shared" si="5"/>
        <v/>
      </c>
      <c r="J707" s="27"/>
      <c r="K707" s="27"/>
      <c r="L707" s="25" t="str">
        <f>IF(A707="","",IF(OR(G707="",AND(G707&gt;=Dashboard!$C$18,G707&lt;=Dashboard!$C$19)),1,0))</f>
        <v/>
      </c>
      <c r="M707" s="24">
        <f>IF(AND(L707=1,OR(Dashboard!$C$13="All",A707=Dashboard!$C$13),OR(Dashboard!$C$14="All",B707=Dashboard!$C$14),OR(Dashboard!$C$15="All",C707=Dashboard!$C$15),OR(Dashboard!$C$16="All",K707=Dashboard!$C$16),OR(Dashboard!$C$17="All",J707=Dashboard!$C$17)),1,0)</f>
        <v>0</v>
      </c>
      <c r="N707" s="24">
        <f>IF(AND(L707=1,OR(Dashboard!$C$13="All",A707=Dashboard!$C$13),OR(Dashboard!$C$14="All",B707=Dashboard!$C$14),OR(Dashboard!$C$16="All",K707=Dashboard!$C$16),OR(Dashboard!$C$17="All",J707=Dashboard!$C$17)),1,0)</f>
        <v>0</v>
      </c>
      <c r="O707" s="24">
        <f>IF(AND(L707=1,OR(Dashboard!$C$13="All",A707=Dashboard!$C$13),OR(Dashboard!$C$15="All",C707=Dashboard!$C$15),OR(Dashboard!$C$16="All",K707=Dashboard!$C$16),OR(Dashboard!$C$17="All",J707=Dashboard!$C$17)),1,0)</f>
        <v>0</v>
      </c>
      <c r="P707" s="24">
        <f>IF(AND(L707=1,OR(Dashboard!$C$13="All",A707=Dashboard!$C$13),OR(Dashboard!$C$14="All",B707=Dashboard!$C$14),OR(Dashboard!$C$15="All",C707=Dashboard!$C$15),OR(Dashboard!$C$17="All",J707=Dashboard!$C$17)),1,0)</f>
        <v>0</v>
      </c>
      <c r="Q707" s="24">
        <f>IF(AND(L707=1,OR(Dashboard!$C$14="All",B707=Dashboard!$C$14),OR(Dashboard!$C$15="All",C707=Dashboard!$C$15),OR(Dashboard!$C$16="All",K707=Dashboard!$C$16),OR(Dashboard!$C$17="All",J707=Dashboard!$C$17)),1,0)</f>
        <v>0</v>
      </c>
      <c r="R707" s="24">
        <f>IF(AND(L707=1,OR(Dashboard!$C$13="All",A707=Dashboard!$C$13),OR(Dashboard!$C$14="All",B707=Dashboard!$C$14),OR(Dashboard!$C$15="All",C707=Dashboard!$C$15),OR(Dashboard!$C$16="All",K707=Dashboard!$C$16)),1,0)</f>
        <v>0</v>
      </c>
      <c r="S707" s="25" t="str">
        <f t="shared" si="3"/>
        <v/>
      </c>
    </row>
    <row r="708" ht="15.75" customHeight="1">
      <c r="A708" s="27"/>
      <c r="B708" s="27"/>
      <c r="C708" s="27"/>
      <c r="D708" s="27"/>
      <c r="E708" s="28"/>
      <c r="F708" s="28" t="str">
        <f t="shared" si="4"/>
        <v/>
      </c>
      <c r="G708" s="29"/>
      <c r="H708" s="27"/>
      <c r="I708" s="29" t="str">
        <f t="shared" si="5"/>
        <v/>
      </c>
      <c r="J708" s="27"/>
      <c r="K708" s="27"/>
      <c r="L708" s="25" t="str">
        <f>IF(A708="","",IF(OR(G708="",AND(G708&gt;=Dashboard!$C$18,G708&lt;=Dashboard!$C$19)),1,0))</f>
        <v/>
      </c>
      <c r="M708" s="24">
        <f>IF(AND(L708=1,OR(Dashboard!$C$13="All",A708=Dashboard!$C$13),OR(Dashboard!$C$14="All",B708=Dashboard!$C$14),OR(Dashboard!$C$15="All",C708=Dashboard!$C$15),OR(Dashboard!$C$16="All",K708=Dashboard!$C$16),OR(Dashboard!$C$17="All",J708=Dashboard!$C$17)),1,0)</f>
        <v>0</v>
      </c>
      <c r="N708" s="24">
        <f>IF(AND(L708=1,OR(Dashboard!$C$13="All",A708=Dashboard!$C$13),OR(Dashboard!$C$14="All",B708=Dashboard!$C$14),OR(Dashboard!$C$16="All",K708=Dashboard!$C$16),OR(Dashboard!$C$17="All",J708=Dashboard!$C$17)),1,0)</f>
        <v>0</v>
      </c>
      <c r="O708" s="24">
        <f>IF(AND(L708=1,OR(Dashboard!$C$13="All",A708=Dashboard!$C$13),OR(Dashboard!$C$15="All",C708=Dashboard!$C$15),OR(Dashboard!$C$16="All",K708=Dashboard!$C$16),OR(Dashboard!$C$17="All",J708=Dashboard!$C$17)),1,0)</f>
        <v>0</v>
      </c>
      <c r="P708" s="24">
        <f>IF(AND(L708=1,OR(Dashboard!$C$13="All",A708=Dashboard!$C$13),OR(Dashboard!$C$14="All",B708=Dashboard!$C$14),OR(Dashboard!$C$15="All",C708=Dashboard!$C$15),OR(Dashboard!$C$17="All",J708=Dashboard!$C$17)),1,0)</f>
        <v>0</v>
      </c>
      <c r="Q708" s="24">
        <f>IF(AND(L708=1,OR(Dashboard!$C$14="All",B708=Dashboard!$C$14),OR(Dashboard!$C$15="All",C708=Dashboard!$C$15),OR(Dashboard!$C$16="All",K708=Dashboard!$C$16),OR(Dashboard!$C$17="All",J708=Dashboard!$C$17)),1,0)</f>
        <v>0</v>
      </c>
      <c r="R708" s="24">
        <f>IF(AND(L708=1,OR(Dashboard!$C$13="All",A708=Dashboard!$C$13),OR(Dashboard!$C$14="All",B708=Dashboard!$C$14),OR(Dashboard!$C$15="All",C708=Dashboard!$C$15),OR(Dashboard!$C$16="All",K708=Dashboard!$C$16)),1,0)</f>
        <v>0</v>
      </c>
      <c r="S708" s="25" t="str">
        <f t="shared" si="3"/>
        <v/>
      </c>
    </row>
    <row r="709" ht="15.75" customHeight="1">
      <c r="A709" s="27"/>
      <c r="B709" s="27"/>
      <c r="C709" s="27"/>
      <c r="D709" s="27"/>
      <c r="E709" s="28"/>
      <c r="F709" s="28" t="str">
        <f t="shared" si="4"/>
        <v/>
      </c>
      <c r="G709" s="29"/>
      <c r="H709" s="27"/>
      <c r="I709" s="29" t="str">
        <f t="shared" si="5"/>
        <v/>
      </c>
      <c r="J709" s="27"/>
      <c r="K709" s="27"/>
      <c r="L709" s="25" t="str">
        <f>IF(A709="","",IF(OR(G709="",AND(G709&gt;=Dashboard!$C$18,G709&lt;=Dashboard!$C$19)),1,0))</f>
        <v/>
      </c>
      <c r="M709" s="24">
        <f>IF(AND(L709=1,OR(Dashboard!$C$13="All",A709=Dashboard!$C$13),OR(Dashboard!$C$14="All",B709=Dashboard!$C$14),OR(Dashboard!$C$15="All",C709=Dashboard!$C$15),OR(Dashboard!$C$16="All",K709=Dashboard!$C$16),OR(Dashboard!$C$17="All",J709=Dashboard!$C$17)),1,0)</f>
        <v>0</v>
      </c>
      <c r="N709" s="24">
        <f>IF(AND(L709=1,OR(Dashboard!$C$13="All",A709=Dashboard!$C$13),OR(Dashboard!$C$14="All",B709=Dashboard!$C$14),OR(Dashboard!$C$16="All",K709=Dashboard!$C$16),OR(Dashboard!$C$17="All",J709=Dashboard!$C$17)),1,0)</f>
        <v>0</v>
      </c>
      <c r="O709" s="24">
        <f>IF(AND(L709=1,OR(Dashboard!$C$13="All",A709=Dashboard!$C$13),OR(Dashboard!$C$15="All",C709=Dashboard!$C$15),OR(Dashboard!$C$16="All",K709=Dashboard!$C$16),OR(Dashboard!$C$17="All",J709=Dashboard!$C$17)),1,0)</f>
        <v>0</v>
      </c>
      <c r="P709" s="24">
        <f>IF(AND(L709=1,OR(Dashboard!$C$13="All",A709=Dashboard!$C$13),OR(Dashboard!$C$14="All",B709=Dashboard!$C$14),OR(Dashboard!$C$15="All",C709=Dashboard!$C$15),OR(Dashboard!$C$17="All",J709=Dashboard!$C$17)),1,0)</f>
        <v>0</v>
      </c>
      <c r="Q709" s="24">
        <f>IF(AND(L709=1,OR(Dashboard!$C$14="All",B709=Dashboard!$C$14),OR(Dashboard!$C$15="All",C709=Dashboard!$C$15),OR(Dashboard!$C$16="All",K709=Dashboard!$C$16),OR(Dashboard!$C$17="All",J709=Dashboard!$C$17)),1,0)</f>
        <v>0</v>
      </c>
      <c r="R709" s="24">
        <f>IF(AND(L709=1,OR(Dashboard!$C$13="All",A709=Dashboard!$C$13),OR(Dashboard!$C$14="All",B709=Dashboard!$C$14),OR(Dashboard!$C$15="All",C709=Dashboard!$C$15),OR(Dashboard!$C$16="All",K709=Dashboard!$C$16)),1,0)</f>
        <v>0</v>
      </c>
      <c r="S709" s="25" t="str">
        <f t="shared" si="3"/>
        <v/>
      </c>
    </row>
    <row r="710" ht="15.75" customHeight="1">
      <c r="A710" s="27"/>
      <c r="B710" s="27"/>
      <c r="C710" s="27"/>
      <c r="D710" s="27"/>
      <c r="E710" s="28"/>
      <c r="F710" s="28" t="str">
        <f t="shared" si="4"/>
        <v/>
      </c>
      <c r="G710" s="29"/>
      <c r="H710" s="27"/>
      <c r="I710" s="29" t="str">
        <f t="shared" si="5"/>
        <v/>
      </c>
      <c r="J710" s="27"/>
      <c r="K710" s="27"/>
      <c r="L710" s="25" t="str">
        <f>IF(A710="","",IF(OR(G710="",AND(G710&gt;=Dashboard!$C$18,G710&lt;=Dashboard!$C$19)),1,0))</f>
        <v/>
      </c>
      <c r="M710" s="24">
        <f>IF(AND(L710=1,OR(Dashboard!$C$13="All",A710=Dashboard!$C$13),OR(Dashboard!$C$14="All",B710=Dashboard!$C$14),OR(Dashboard!$C$15="All",C710=Dashboard!$C$15),OR(Dashboard!$C$16="All",K710=Dashboard!$C$16),OR(Dashboard!$C$17="All",J710=Dashboard!$C$17)),1,0)</f>
        <v>0</v>
      </c>
      <c r="N710" s="24">
        <f>IF(AND(L710=1,OR(Dashboard!$C$13="All",A710=Dashboard!$C$13),OR(Dashboard!$C$14="All",B710=Dashboard!$C$14),OR(Dashboard!$C$16="All",K710=Dashboard!$C$16),OR(Dashboard!$C$17="All",J710=Dashboard!$C$17)),1,0)</f>
        <v>0</v>
      </c>
      <c r="O710" s="24">
        <f>IF(AND(L710=1,OR(Dashboard!$C$13="All",A710=Dashboard!$C$13),OR(Dashboard!$C$15="All",C710=Dashboard!$C$15),OR(Dashboard!$C$16="All",K710=Dashboard!$C$16),OR(Dashboard!$C$17="All",J710=Dashboard!$C$17)),1,0)</f>
        <v>0</v>
      </c>
      <c r="P710" s="24">
        <f>IF(AND(L710=1,OR(Dashboard!$C$13="All",A710=Dashboard!$C$13),OR(Dashboard!$C$14="All",B710=Dashboard!$C$14),OR(Dashboard!$C$15="All",C710=Dashboard!$C$15),OR(Dashboard!$C$17="All",J710=Dashboard!$C$17)),1,0)</f>
        <v>0</v>
      </c>
      <c r="Q710" s="24">
        <f>IF(AND(L710=1,OR(Dashboard!$C$14="All",B710=Dashboard!$C$14),OR(Dashboard!$C$15="All",C710=Dashboard!$C$15),OR(Dashboard!$C$16="All",K710=Dashboard!$C$16),OR(Dashboard!$C$17="All",J710=Dashboard!$C$17)),1,0)</f>
        <v>0</v>
      </c>
      <c r="R710" s="24">
        <f>IF(AND(L710=1,OR(Dashboard!$C$13="All",A710=Dashboard!$C$13),OR(Dashboard!$C$14="All",B710=Dashboard!$C$14),OR(Dashboard!$C$15="All",C710=Dashboard!$C$15),OR(Dashboard!$C$16="All",K710=Dashboard!$C$16)),1,0)</f>
        <v>0</v>
      </c>
      <c r="S710" s="25" t="str">
        <f t="shared" si="3"/>
        <v/>
      </c>
    </row>
    <row r="711" ht="15.75" customHeight="1">
      <c r="A711" s="27"/>
      <c r="B711" s="27"/>
      <c r="C711" s="27"/>
      <c r="D711" s="27"/>
      <c r="E711" s="28"/>
      <c r="F711" s="28" t="str">
        <f t="shared" si="4"/>
        <v/>
      </c>
      <c r="G711" s="29"/>
      <c r="H711" s="27"/>
      <c r="I711" s="29" t="str">
        <f t="shared" si="5"/>
        <v/>
      </c>
      <c r="J711" s="27"/>
      <c r="K711" s="27"/>
      <c r="L711" s="25" t="str">
        <f>IF(A711="","",IF(OR(G711="",AND(G711&gt;=Dashboard!$C$18,G711&lt;=Dashboard!$C$19)),1,0))</f>
        <v/>
      </c>
      <c r="M711" s="24">
        <f>IF(AND(L711=1,OR(Dashboard!$C$13="All",A711=Dashboard!$C$13),OR(Dashboard!$C$14="All",B711=Dashboard!$C$14),OR(Dashboard!$C$15="All",C711=Dashboard!$C$15),OR(Dashboard!$C$16="All",K711=Dashboard!$C$16),OR(Dashboard!$C$17="All",J711=Dashboard!$C$17)),1,0)</f>
        <v>0</v>
      </c>
      <c r="N711" s="24">
        <f>IF(AND(L711=1,OR(Dashboard!$C$13="All",A711=Dashboard!$C$13),OR(Dashboard!$C$14="All",B711=Dashboard!$C$14),OR(Dashboard!$C$16="All",K711=Dashboard!$C$16),OR(Dashboard!$C$17="All",J711=Dashboard!$C$17)),1,0)</f>
        <v>0</v>
      </c>
      <c r="O711" s="24">
        <f>IF(AND(L711=1,OR(Dashboard!$C$13="All",A711=Dashboard!$C$13),OR(Dashboard!$C$15="All",C711=Dashboard!$C$15),OR(Dashboard!$C$16="All",K711=Dashboard!$C$16),OR(Dashboard!$C$17="All",J711=Dashboard!$C$17)),1,0)</f>
        <v>0</v>
      </c>
      <c r="P711" s="24">
        <f>IF(AND(L711=1,OR(Dashboard!$C$13="All",A711=Dashboard!$C$13),OR(Dashboard!$C$14="All",B711=Dashboard!$C$14),OR(Dashboard!$C$15="All",C711=Dashboard!$C$15),OR(Dashboard!$C$17="All",J711=Dashboard!$C$17)),1,0)</f>
        <v>0</v>
      </c>
      <c r="Q711" s="24">
        <f>IF(AND(L711=1,OR(Dashboard!$C$14="All",B711=Dashboard!$C$14),OR(Dashboard!$C$15="All",C711=Dashboard!$C$15),OR(Dashboard!$C$16="All",K711=Dashboard!$C$16),OR(Dashboard!$C$17="All",J711=Dashboard!$C$17)),1,0)</f>
        <v>0</v>
      </c>
      <c r="R711" s="24">
        <f>IF(AND(L711=1,OR(Dashboard!$C$13="All",A711=Dashboard!$C$13),OR(Dashboard!$C$14="All",B711=Dashboard!$C$14),OR(Dashboard!$C$15="All",C711=Dashboard!$C$15),OR(Dashboard!$C$16="All",K711=Dashboard!$C$16)),1,0)</f>
        <v>0</v>
      </c>
      <c r="S711" s="25" t="str">
        <f t="shared" si="3"/>
        <v/>
      </c>
    </row>
    <row r="712" ht="15.75" customHeight="1">
      <c r="A712" s="27"/>
      <c r="B712" s="27"/>
      <c r="C712" s="27"/>
      <c r="D712" s="27"/>
      <c r="E712" s="28"/>
      <c r="F712" s="28" t="str">
        <f t="shared" si="4"/>
        <v/>
      </c>
      <c r="G712" s="29"/>
      <c r="H712" s="27"/>
      <c r="I712" s="29" t="str">
        <f t="shared" si="5"/>
        <v/>
      </c>
      <c r="J712" s="27"/>
      <c r="K712" s="27"/>
      <c r="L712" s="25" t="str">
        <f>IF(A712="","",IF(OR(G712="",AND(G712&gt;=Dashboard!$C$18,G712&lt;=Dashboard!$C$19)),1,0))</f>
        <v/>
      </c>
      <c r="M712" s="24">
        <f>IF(AND(L712=1,OR(Dashboard!$C$13="All",A712=Dashboard!$C$13),OR(Dashboard!$C$14="All",B712=Dashboard!$C$14),OR(Dashboard!$C$15="All",C712=Dashboard!$C$15),OR(Dashboard!$C$16="All",K712=Dashboard!$C$16),OR(Dashboard!$C$17="All",J712=Dashboard!$C$17)),1,0)</f>
        <v>0</v>
      </c>
      <c r="N712" s="24">
        <f>IF(AND(L712=1,OR(Dashboard!$C$13="All",A712=Dashboard!$C$13),OR(Dashboard!$C$14="All",B712=Dashboard!$C$14),OR(Dashboard!$C$16="All",K712=Dashboard!$C$16),OR(Dashboard!$C$17="All",J712=Dashboard!$C$17)),1,0)</f>
        <v>0</v>
      </c>
      <c r="O712" s="24">
        <f>IF(AND(L712=1,OR(Dashboard!$C$13="All",A712=Dashboard!$C$13),OR(Dashboard!$C$15="All",C712=Dashboard!$C$15),OR(Dashboard!$C$16="All",K712=Dashboard!$C$16),OR(Dashboard!$C$17="All",J712=Dashboard!$C$17)),1,0)</f>
        <v>0</v>
      </c>
      <c r="P712" s="24">
        <f>IF(AND(L712=1,OR(Dashboard!$C$13="All",A712=Dashboard!$C$13),OR(Dashboard!$C$14="All",B712=Dashboard!$C$14),OR(Dashboard!$C$15="All",C712=Dashboard!$C$15),OR(Dashboard!$C$17="All",J712=Dashboard!$C$17)),1,0)</f>
        <v>0</v>
      </c>
      <c r="Q712" s="24">
        <f>IF(AND(L712=1,OR(Dashboard!$C$14="All",B712=Dashboard!$C$14),OR(Dashboard!$C$15="All",C712=Dashboard!$C$15),OR(Dashboard!$C$16="All",K712=Dashboard!$C$16),OR(Dashboard!$C$17="All",J712=Dashboard!$C$17)),1,0)</f>
        <v>0</v>
      </c>
      <c r="R712" s="24">
        <f>IF(AND(L712=1,OR(Dashboard!$C$13="All",A712=Dashboard!$C$13),OR(Dashboard!$C$14="All",B712=Dashboard!$C$14),OR(Dashboard!$C$15="All",C712=Dashboard!$C$15),OR(Dashboard!$C$16="All",K712=Dashboard!$C$16)),1,0)</f>
        <v>0</v>
      </c>
      <c r="S712" s="25" t="str">
        <f t="shared" si="3"/>
        <v/>
      </c>
    </row>
    <row r="713" ht="15.75" customHeight="1">
      <c r="A713" s="27"/>
      <c r="B713" s="27"/>
      <c r="C713" s="27"/>
      <c r="D713" s="27"/>
      <c r="E713" s="28"/>
      <c r="F713" s="28" t="str">
        <f t="shared" si="4"/>
        <v/>
      </c>
      <c r="G713" s="29"/>
      <c r="H713" s="27"/>
      <c r="I713" s="29" t="str">
        <f t="shared" si="5"/>
        <v/>
      </c>
      <c r="J713" s="27"/>
      <c r="K713" s="27"/>
      <c r="L713" s="25" t="str">
        <f>IF(A713="","",IF(OR(G713="",AND(G713&gt;=Dashboard!$C$18,G713&lt;=Dashboard!$C$19)),1,0))</f>
        <v/>
      </c>
      <c r="M713" s="24">
        <f>IF(AND(L713=1,OR(Dashboard!$C$13="All",A713=Dashboard!$C$13),OR(Dashboard!$C$14="All",B713=Dashboard!$C$14),OR(Dashboard!$C$15="All",C713=Dashboard!$C$15),OR(Dashboard!$C$16="All",K713=Dashboard!$C$16),OR(Dashboard!$C$17="All",J713=Dashboard!$C$17)),1,0)</f>
        <v>0</v>
      </c>
      <c r="N713" s="24">
        <f>IF(AND(L713=1,OR(Dashboard!$C$13="All",A713=Dashboard!$C$13),OR(Dashboard!$C$14="All",B713=Dashboard!$C$14),OR(Dashboard!$C$16="All",K713=Dashboard!$C$16),OR(Dashboard!$C$17="All",J713=Dashboard!$C$17)),1,0)</f>
        <v>0</v>
      </c>
      <c r="O713" s="24">
        <f>IF(AND(L713=1,OR(Dashboard!$C$13="All",A713=Dashboard!$C$13),OR(Dashboard!$C$15="All",C713=Dashboard!$C$15),OR(Dashboard!$C$16="All",K713=Dashboard!$C$16),OR(Dashboard!$C$17="All",J713=Dashboard!$C$17)),1,0)</f>
        <v>0</v>
      </c>
      <c r="P713" s="24">
        <f>IF(AND(L713=1,OR(Dashboard!$C$13="All",A713=Dashboard!$C$13),OR(Dashboard!$C$14="All",B713=Dashboard!$C$14),OR(Dashboard!$C$15="All",C713=Dashboard!$C$15),OR(Dashboard!$C$17="All",J713=Dashboard!$C$17)),1,0)</f>
        <v>0</v>
      </c>
      <c r="Q713" s="24">
        <f>IF(AND(L713=1,OR(Dashboard!$C$14="All",B713=Dashboard!$C$14),OR(Dashboard!$C$15="All",C713=Dashboard!$C$15),OR(Dashboard!$C$16="All",K713=Dashboard!$C$16),OR(Dashboard!$C$17="All",J713=Dashboard!$C$17)),1,0)</f>
        <v>0</v>
      </c>
      <c r="R713" s="24">
        <f>IF(AND(L713=1,OR(Dashboard!$C$13="All",A713=Dashboard!$C$13),OR(Dashboard!$C$14="All",B713=Dashboard!$C$14),OR(Dashboard!$C$15="All",C713=Dashboard!$C$15),OR(Dashboard!$C$16="All",K713=Dashboard!$C$16)),1,0)</f>
        <v>0</v>
      </c>
      <c r="S713" s="25" t="str">
        <f t="shared" si="3"/>
        <v/>
      </c>
    </row>
    <row r="714" ht="15.75" customHeight="1">
      <c r="A714" s="27"/>
      <c r="B714" s="27"/>
      <c r="C714" s="27"/>
      <c r="D714" s="27"/>
      <c r="E714" s="28"/>
      <c r="F714" s="28" t="str">
        <f t="shared" si="4"/>
        <v/>
      </c>
      <c r="G714" s="29"/>
      <c r="H714" s="27"/>
      <c r="I714" s="29" t="str">
        <f t="shared" si="5"/>
        <v/>
      </c>
      <c r="J714" s="27"/>
      <c r="K714" s="27"/>
      <c r="L714" s="25" t="str">
        <f>IF(A714="","",IF(OR(G714="",AND(G714&gt;=Dashboard!$C$18,G714&lt;=Dashboard!$C$19)),1,0))</f>
        <v/>
      </c>
      <c r="M714" s="24">
        <f>IF(AND(L714=1,OR(Dashboard!$C$13="All",A714=Dashboard!$C$13),OR(Dashboard!$C$14="All",B714=Dashboard!$C$14),OR(Dashboard!$C$15="All",C714=Dashboard!$C$15),OR(Dashboard!$C$16="All",K714=Dashboard!$C$16),OR(Dashboard!$C$17="All",J714=Dashboard!$C$17)),1,0)</f>
        <v>0</v>
      </c>
      <c r="N714" s="24">
        <f>IF(AND(L714=1,OR(Dashboard!$C$13="All",A714=Dashboard!$C$13),OR(Dashboard!$C$14="All",B714=Dashboard!$C$14),OR(Dashboard!$C$16="All",K714=Dashboard!$C$16),OR(Dashboard!$C$17="All",J714=Dashboard!$C$17)),1,0)</f>
        <v>0</v>
      </c>
      <c r="O714" s="24">
        <f>IF(AND(L714=1,OR(Dashboard!$C$13="All",A714=Dashboard!$C$13),OR(Dashboard!$C$15="All",C714=Dashboard!$C$15),OR(Dashboard!$C$16="All",K714=Dashboard!$C$16),OR(Dashboard!$C$17="All",J714=Dashboard!$C$17)),1,0)</f>
        <v>0</v>
      </c>
      <c r="P714" s="24">
        <f>IF(AND(L714=1,OR(Dashboard!$C$13="All",A714=Dashboard!$C$13),OR(Dashboard!$C$14="All",B714=Dashboard!$C$14),OR(Dashboard!$C$15="All",C714=Dashboard!$C$15),OR(Dashboard!$C$17="All",J714=Dashboard!$C$17)),1,0)</f>
        <v>0</v>
      </c>
      <c r="Q714" s="24">
        <f>IF(AND(L714=1,OR(Dashboard!$C$14="All",B714=Dashboard!$C$14),OR(Dashboard!$C$15="All",C714=Dashboard!$C$15),OR(Dashboard!$C$16="All",K714=Dashboard!$C$16),OR(Dashboard!$C$17="All",J714=Dashboard!$C$17)),1,0)</f>
        <v>0</v>
      </c>
      <c r="R714" s="24">
        <f>IF(AND(L714=1,OR(Dashboard!$C$13="All",A714=Dashboard!$C$13),OR(Dashboard!$C$14="All",B714=Dashboard!$C$14),OR(Dashboard!$C$15="All",C714=Dashboard!$C$15),OR(Dashboard!$C$16="All",K714=Dashboard!$C$16)),1,0)</f>
        <v>0</v>
      </c>
      <c r="S714" s="25" t="str">
        <f t="shared" si="3"/>
        <v/>
      </c>
    </row>
    <row r="715" ht="15.75" customHeight="1">
      <c r="A715" s="27"/>
      <c r="B715" s="27"/>
      <c r="C715" s="27"/>
      <c r="D715" s="27"/>
      <c r="E715" s="28"/>
      <c r="F715" s="28" t="str">
        <f t="shared" si="4"/>
        <v/>
      </c>
      <c r="G715" s="29"/>
      <c r="H715" s="27"/>
      <c r="I715" s="29" t="str">
        <f t="shared" si="5"/>
        <v/>
      </c>
      <c r="J715" s="27"/>
      <c r="K715" s="27"/>
      <c r="L715" s="25" t="str">
        <f>IF(A715="","",IF(OR(G715="",AND(G715&gt;=Dashboard!$C$18,G715&lt;=Dashboard!$C$19)),1,0))</f>
        <v/>
      </c>
      <c r="M715" s="24">
        <f>IF(AND(L715=1,OR(Dashboard!$C$13="All",A715=Dashboard!$C$13),OR(Dashboard!$C$14="All",B715=Dashboard!$C$14),OR(Dashboard!$C$15="All",C715=Dashboard!$C$15),OR(Dashboard!$C$16="All",K715=Dashboard!$C$16),OR(Dashboard!$C$17="All",J715=Dashboard!$C$17)),1,0)</f>
        <v>0</v>
      </c>
      <c r="N715" s="24">
        <f>IF(AND(L715=1,OR(Dashboard!$C$13="All",A715=Dashboard!$C$13),OR(Dashboard!$C$14="All",B715=Dashboard!$C$14),OR(Dashboard!$C$16="All",K715=Dashboard!$C$16),OR(Dashboard!$C$17="All",J715=Dashboard!$C$17)),1,0)</f>
        <v>0</v>
      </c>
      <c r="O715" s="24">
        <f>IF(AND(L715=1,OR(Dashboard!$C$13="All",A715=Dashboard!$C$13),OR(Dashboard!$C$15="All",C715=Dashboard!$C$15),OR(Dashboard!$C$16="All",K715=Dashboard!$C$16),OR(Dashboard!$C$17="All",J715=Dashboard!$C$17)),1,0)</f>
        <v>0</v>
      </c>
      <c r="P715" s="24">
        <f>IF(AND(L715=1,OR(Dashboard!$C$13="All",A715=Dashboard!$C$13),OR(Dashboard!$C$14="All",B715=Dashboard!$C$14),OR(Dashboard!$C$15="All",C715=Dashboard!$C$15),OR(Dashboard!$C$17="All",J715=Dashboard!$C$17)),1,0)</f>
        <v>0</v>
      </c>
      <c r="Q715" s="24">
        <f>IF(AND(L715=1,OR(Dashboard!$C$14="All",B715=Dashboard!$C$14),OR(Dashboard!$C$15="All",C715=Dashboard!$C$15),OR(Dashboard!$C$16="All",K715=Dashboard!$C$16),OR(Dashboard!$C$17="All",J715=Dashboard!$C$17)),1,0)</f>
        <v>0</v>
      </c>
      <c r="R715" s="24">
        <f>IF(AND(L715=1,OR(Dashboard!$C$13="All",A715=Dashboard!$C$13),OR(Dashboard!$C$14="All",B715=Dashboard!$C$14),OR(Dashboard!$C$15="All",C715=Dashboard!$C$15),OR(Dashboard!$C$16="All",K715=Dashboard!$C$16)),1,0)</f>
        <v>0</v>
      </c>
      <c r="S715" s="25" t="str">
        <f t="shared" si="3"/>
        <v/>
      </c>
    </row>
    <row r="716" ht="15.75" customHeight="1">
      <c r="A716" s="27"/>
      <c r="B716" s="27"/>
      <c r="C716" s="27"/>
      <c r="D716" s="27"/>
      <c r="E716" s="28"/>
      <c r="F716" s="28" t="str">
        <f t="shared" si="4"/>
        <v/>
      </c>
      <c r="G716" s="29"/>
      <c r="H716" s="27"/>
      <c r="I716" s="29" t="str">
        <f t="shared" si="5"/>
        <v/>
      </c>
      <c r="J716" s="27"/>
      <c r="K716" s="27"/>
      <c r="L716" s="25" t="str">
        <f>IF(A716="","",IF(OR(G716="",AND(G716&gt;=Dashboard!$C$18,G716&lt;=Dashboard!$C$19)),1,0))</f>
        <v/>
      </c>
      <c r="M716" s="24">
        <f>IF(AND(L716=1,OR(Dashboard!$C$13="All",A716=Dashboard!$C$13),OR(Dashboard!$C$14="All",B716=Dashboard!$C$14),OR(Dashboard!$C$15="All",C716=Dashboard!$C$15),OR(Dashboard!$C$16="All",K716=Dashboard!$C$16),OR(Dashboard!$C$17="All",J716=Dashboard!$C$17)),1,0)</f>
        <v>0</v>
      </c>
      <c r="N716" s="24">
        <f>IF(AND(L716=1,OR(Dashboard!$C$13="All",A716=Dashboard!$C$13),OR(Dashboard!$C$14="All",B716=Dashboard!$C$14),OR(Dashboard!$C$16="All",K716=Dashboard!$C$16),OR(Dashboard!$C$17="All",J716=Dashboard!$C$17)),1,0)</f>
        <v>0</v>
      </c>
      <c r="O716" s="24">
        <f>IF(AND(L716=1,OR(Dashboard!$C$13="All",A716=Dashboard!$C$13),OR(Dashboard!$C$15="All",C716=Dashboard!$C$15),OR(Dashboard!$C$16="All",K716=Dashboard!$C$16),OR(Dashboard!$C$17="All",J716=Dashboard!$C$17)),1,0)</f>
        <v>0</v>
      </c>
      <c r="P716" s="24">
        <f>IF(AND(L716=1,OR(Dashboard!$C$13="All",A716=Dashboard!$C$13),OR(Dashboard!$C$14="All",B716=Dashboard!$C$14),OR(Dashboard!$C$15="All",C716=Dashboard!$C$15),OR(Dashboard!$C$17="All",J716=Dashboard!$C$17)),1,0)</f>
        <v>0</v>
      </c>
      <c r="Q716" s="24">
        <f>IF(AND(L716=1,OR(Dashboard!$C$14="All",B716=Dashboard!$C$14),OR(Dashboard!$C$15="All",C716=Dashboard!$C$15),OR(Dashboard!$C$16="All",K716=Dashboard!$C$16),OR(Dashboard!$C$17="All",J716=Dashboard!$C$17)),1,0)</f>
        <v>0</v>
      </c>
      <c r="R716" s="24">
        <f>IF(AND(L716=1,OR(Dashboard!$C$13="All",A716=Dashboard!$C$13),OR(Dashboard!$C$14="All",B716=Dashboard!$C$14),OR(Dashboard!$C$15="All",C716=Dashboard!$C$15),OR(Dashboard!$C$16="All",K716=Dashboard!$C$16)),1,0)</f>
        <v>0</v>
      </c>
      <c r="S716" s="25" t="str">
        <f t="shared" si="3"/>
        <v/>
      </c>
    </row>
    <row r="717" ht="15.75" customHeight="1">
      <c r="A717" s="27"/>
      <c r="B717" s="27"/>
      <c r="C717" s="27"/>
      <c r="D717" s="27"/>
      <c r="E717" s="28"/>
      <c r="F717" s="28" t="str">
        <f t="shared" si="4"/>
        <v/>
      </c>
      <c r="G717" s="29"/>
      <c r="H717" s="27"/>
      <c r="I717" s="29" t="str">
        <f t="shared" si="5"/>
        <v/>
      </c>
      <c r="J717" s="27"/>
      <c r="K717" s="27"/>
      <c r="L717" s="25" t="str">
        <f>IF(A717="","",IF(OR(G717="",AND(G717&gt;=Dashboard!$C$18,G717&lt;=Dashboard!$C$19)),1,0))</f>
        <v/>
      </c>
      <c r="M717" s="24">
        <f>IF(AND(L717=1,OR(Dashboard!$C$13="All",A717=Dashboard!$C$13),OR(Dashboard!$C$14="All",B717=Dashboard!$C$14),OR(Dashboard!$C$15="All",C717=Dashboard!$C$15),OR(Dashboard!$C$16="All",K717=Dashboard!$C$16),OR(Dashboard!$C$17="All",J717=Dashboard!$C$17)),1,0)</f>
        <v>0</v>
      </c>
      <c r="N717" s="24">
        <f>IF(AND(L717=1,OR(Dashboard!$C$13="All",A717=Dashboard!$C$13),OR(Dashboard!$C$14="All",B717=Dashboard!$C$14),OR(Dashboard!$C$16="All",K717=Dashboard!$C$16),OR(Dashboard!$C$17="All",J717=Dashboard!$C$17)),1,0)</f>
        <v>0</v>
      </c>
      <c r="O717" s="24">
        <f>IF(AND(L717=1,OR(Dashboard!$C$13="All",A717=Dashboard!$C$13),OR(Dashboard!$C$15="All",C717=Dashboard!$C$15),OR(Dashboard!$C$16="All",K717=Dashboard!$C$16),OR(Dashboard!$C$17="All",J717=Dashboard!$C$17)),1,0)</f>
        <v>0</v>
      </c>
      <c r="P717" s="24">
        <f>IF(AND(L717=1,OR(Dashboard!$C$13="All",A717=Dashboard!$C$13),OR(Dashboard!$C$14="All",B717=Dashboard!$C$14),OR(Dashboard!$C$15="All",C717=Dashboard!$C$15),OR(Dashboard!$C$17="All",J717=Dashboard!$C$17)),1,0)</f>
        <v>0</v>
      </c>
      <c r="Q717" s="24">
        <f>IF(AND(L717=1,OR(Dashboard!$C$14="All",B717=Dashboard!$C$14),OR(Dashboard!$C$15="All",C717=Dashboard!$C$15),OR(Dashboard!$C$16="All",K717=Dashboard!$C$16),OR(Dashboard!$C$17="All",J717=Dashboard!$C$17)),1,0)</f>
        <v>0</v>
      </c>
      <c r="R717" s="24">
        <f>IF(AND(L717=1,OR(Dashboard!$C$13="All",A717=Dashboard!$C$13),OR(Dashboard!$C$14="All",B717=Dashboard!$C$14),OR(Dashboard!$C$15="All",C717=Dashboard!$C$15),OR(Dashboard!$C$16="All",K717=Dashboard!$C$16)),1,0)</f>
        <v>0</v>
      </c>
      <c r="S717" s="25" t="str">
        <f t="shared" si="3"/>
        <v/>
      </c>
    </row>
    <row r="718" ht="15.75" customHeight="1">
      <c r="A718" s="27"/>
      <c r="B718" s="27"/>
      <c r="C718" s="27"/>
      <c r="D718" s="27"/>
      <c r="E718" s="28"/>
      <c r="F718" s="28" t="str">
        <f t="shared" si="4"/>
        <v/>
      </c>
      <c r="G718" s="29"/>
      <c r="H718" s="27"/>
      <c r="I718" s="29" t="str">
        <f t="shared" si="5"/>
        <v/>
      </c>
      <c r="J718" s="27"/>
      <c r="K718" s="27"/>
      <c r="L718" s="25" t="str">
        <f>IF(A718="","",IF(OR(G718="",AND(G718&gt;=Dashboard!$C$18,G718&lt;=Dashboard!$C$19)),1,0))</f>
        <v/>
      </c>
      <c r="M718" s="24">
        <f>IF(AND(L718=1,OR(Dashboard!$C$13="All",A718=Dashboard!$C$13),OR(Dashboard!$C$14="All",B718=Dashboard!$C$14),OR(Dashboard!$C$15="All",C718=Dashboard!$C$15),OR(Dashboard!$C$16="All",K718=Dashboard!$C$16),OR(Dashboard!$C$17="All",J718=Dashboard!$C$17)),1,0)</f>
        <v>0</v>
      </c>
      <c r="N718" s="24">
        <f>IF(AND(L718=1,OR(Dashboard!$C$13="All",A718=Dashboard!$C$13),OR(Dashboard!$C$14="All",B718=Dashboard!$C$14),OR(Dashboard!$C$16="All",K718=Dashboard!$C$16),OR(Dashboard!$C$17="All",J718=Dashboard!$C$17)),1,0)</f>
        <v>0</v>
      </c>
      <c r="O718" s="24">
        <f>IF(AND(L718=1,OR(Dashboard!$C$13="All",A718=Dashboard!$C$13),OR(Dashboard!$C$15="All",C718=Dashboard!$C$15),OR(Dashboard!$C$16="All",K718=Dashboard!$C$16),OR(Dashboard!$C$17="All",J718=Dashboard!$C$17)),1,0)</f>
        <v>0</v>
      </c>
      <c r="P718" s="24">
        <f>IF(AND(L718=1,OR(Dashboard!$C$13="All",A718=Dashboard!$C$13),OR(Dashboard!$C$14="All",B718=Dashboard!$C$14),OR(Dashboard!$C$15="All",C718=Dashboard!$C$15),OR(Dashboard!$C$17="All",J718=Dashboard!$C$17)),1,0)</f>
        <v>0</v>
      </c>
      <c r="Q718" s="24">
        <f>IF(AND(L718=1,OR(Dashboard!$C$14="All",B718=Dashboard!$C$14),OR(Dashboard!$C$15="All",C718=Dashboard!$C$15),OR(Dashboard!$C$16="All",K718=Dashboard!$C$16),OR(Dashboard!$C$17="All",J718=Dashboard!$C$17)),1,0)</f>
        <v>0</v>
      </c>
      <c r="R718" s="24">
        <f>IF(AND(L718=1,OR(Dashboard!$C$13="All",A718=Dashboard!$C$13),OR(Dashboard!$C$14="All",B718=Dashboard!$C$14),OR(Dashboard!$C$15="All",C718=Dashboard!$C$15),OR(Dashboard!$C$16="All",K718=Dashboard!$C$16)),1,0)</f>
        <v>0</v>
      </c>
      <c r="S718" s="25" t="str">
        <f t="shared" si="3"/>
        <v/>
      </c>
    </row>
    <row r="719" ht="15.75" customHeight="1">
      <c r="A719" s="27"/>
      <c r="B719" s="27"/>
      <c r="C719" s="27"/>
      <c r="D719" s="27"/>
      <c r="E719" s="28"/>
      <c r="F719" s="28" t="str">
        <f t="shared" si="4"/>
        <v/>
      </c>
      <c r="G719" s="29"/>
      <c r="H719" s="27"/>
      <c r="I719" s="29" t="str">
        <f t="shared" si="5"/>
        <v/>
      </c>
      <c r="J719" s="27"/>
      <c r="K719" s="27"/>
      <c r="L719" s="25" t="str">
        <f>IF(A719="","",IF(OR(G719="",AND(G719&gt;=Dashboard!$C$18,G719&lt;=Dashboard!$C$19)),1,0))</f>
        <v/>
      </c>
      <c r="M719" s="24">
        <f>IF(AND(L719=1,OR(Dashboard!$C$13="All",A719=Dashboard!$C$13),OR(Dashboard!$C$14="All",B719=Dashboard!$C$14),OR(Dashboard!$C$15="All",C719=Dashboard!$C$15),OR(Dashboard!$C$16="All",K719=Dashboard!$C$16),OR(Dashboard!$C$17="All",J719=Dashboard!$C$17)),1,0)</f>
        <v>0</v>
      </c>
      <c r="N719" s="24">
        <f>IF(AND(L719=1,OR(Dashboard!$C$13="All",A719=Dashboard!$C$13),OR(Dashboard!$C$14="All",B719=Dashboard!$C$14),OR(Dashboard!$C$16="All",K719=Dashboard!$C$16),OR(Dashboard!$C$17="All",J719=Dashboard!$C$17)),1,0)</f>
        <v>0</v>
      </c>
      <c r="O719" s="24">
        <f>IF(AND(L719=1,OR(Dashboard!$C$13="All",A719=Dashboard!$C$13),OR(Dashboard!$C$15="All",C719=Dashboard!$C$15),OR(Dashboard!$C$16="All",K719=Dashboard!$C$16),OR(Dashboard!$C$17="All",J719=Dashboard!$C$17)),1,0)</f>
        <v>0</v>
      </c>
      <c r="P719" s="24">
        <f>IF(AND(L719=1,OR(Dashboard!$C$13="All",A719=Dashboard!$C$13),OR(Dashboard!$C$14="All",B719=Dashboard!$C$14),OR(Dashboard!$C$15="All",C719=Dashboard!$C$15),OR(Dashboard!$C$17="All",J719=Dashboard!$C$17)),1,0)</f>
        <v>0</v>
      </c>
      <c r="Q719" s="24">
        <f>IF(AND(L719=1,OR(Dashboard!$C$14="All",B719=Dashboard!$C$14),OR(Dashboard!$C$15="All",C719=Dashboard!$C$15),OR(Dashboard!$C$16="All",K719=Dashboard!$C$16),OR(Dashboard!$C$17="All",J719=Dashboard!$C$17)),1,0)</f>
        <v>0</v>
      </c>
      <c r="R719" s="24">
        <f>IF(AND(L719=1,OR(Dashboard!$C$13="All",A719=Dashboard!$C$13),OR(Dashboard!$C$14="All",B719=Dashboard!$C$14),OR(Dashboard!$C$15="All",C719=Dashboard!$C$15),OR(Dashboard!$C$16="All",K719=Dashboard!$C$16)),1,0)</f>
        <v>0</v>
      </c>
      <c r="S719" s="25" t="str">
        <f t="shared" si="3"/>
        <v/>
      </c>
    </row>
    <row r="720" ht="15.75" customHeight="1">
      <c r="A720" s="27"/>
      <c r="B720" s="27"/>
      <c r="C720" s="27"/>
      <c r="D720" s="27"/>
      <c r="E720" s="28"/>
      <c r="F720" s="28" t="str">
        <f t="shared" si="4"/>
        <v/>
      </c>
      <c r="G720" s="29"/>
      <c r="H720" s="27"/>
      <c r="I720" s="29" t="str">
        <f t="shared" si="5"/>
        <v/>
      </c>
      <c r="J720" s="27"/>
      <c r="K720" s="27"/>
      <c r="L720" s="25" t="str">
        <f>IF(A720="","",IF(OR(G720="",AND(G720&gt;=Dashboard!$C$18,G720&lt;=Dashboard!$C$19)),1,0))</f>
        <v/>
      </c>
      <c r="M720" s="24">
        <f>IF(AND(L720=1,OR(Dashboard!$C$13="All",A720=Dashboard!$C$13),OR(Dashboard!$C$14="All",B720=Dashboard!$C$14),OR(Dashboard!$C$15="All",C720=Dashboard!$C$15),OR(Dashboard!$C$16="All",K720=Dashboard!$C$16),OR(Dashboard!$C$17="All",J720=Dashboard!$C$17)),1,0)</f>
        <v>0</v>
      </c>
      <c r="N720" s="24">
        <f>IF(AND(L720=1,OR(Dashboard!$C$13="All",A720=Dashboard!$C$13),OR(Dashboard!$C$14="All",B720=Dashboard!$C$14),OR(Dashboard!$C$16="All",K720=Dashboard!$C$16),OR(Dashboard!$C$17="All",J720=Dashboard!$C$17)),1,0)</f>
        <v>0</v>
      </c>
      <c r="O720" s="24">
        <f>IF(AND(L720=1,OR(Dashboard!$C$13="All",A720=Dashboard!$C$13),OR(Dashboard!$C$15="All",C720=Dashboard!$C$15),OR(Dashboard!$C$16="All",K720=Dashboard!$C$16),OR(Dashboard!$C$17="All",J720=Dashboard!$C$17)),1,0)</f>
        <v>0</v>
      </c>
      <c r="P720" s="24">
        <f>IF(AND(L720=1,OR(Dashboard!$C$13="All",A720=Dashboard!$C$13),OR(Dashboard!$C$14="All",B720=Dashboard!$C$14),OR(Dashboard!$C$15="All",C720=Dashboard!$C$15),OR(Dashboard!$C$17="All",J720=Dashboard!$C$17)),1,0)</f>
        <v>0</v>
      </c>
      <c r="Q720" s="24">
        <f>IF(AND(L720=1,OR(Dashboard!$C$14="All",B720=Dashboard!$C$14),OR(Dashboard!$C$15="All",C720=Dashboard!$C$15),OR(Dashboard!$C$16="All",K720=Dashboard!$C$16),OR(Dashboard!$C$17="All",J720=Dashboard!$C$17)),1,0)</f>
        <v>0</v>
      </c>
      <c r="R720" s="24">
        <f>IF(AND(L720=1,OR(Dashboard!$C$13="All",A720=Dashboard!$C$13),OR(Dashboard!$C$14="All",B720=Dashboard!$C$14),OR(Dashboard!$C$15="All",C720=Dashboard!$C$15),OR(Dashboard!$C$16="All",K720=Dashboard!$C$16)),1,0)</f>
        <v>0</v>
      </c>
      <c r="S720" s="25" t="str">
        <f t="shared" si="3"/>
        <v/>
      </c>
    </row>
    <row r="721" ht="15.75" customHeight="1">
      <c r="A721" s="27"/>
      <c r="B721" s="27"/>
      <c r="C721" s="27"/>
      <c r="D721" s="27"/>
      <c r="E721" s="28"/>
      <c r="F721" s="28" t="str">
        <f t="shared" si="4"/>
        <v/>
      </c>
      <c r="G721" s="29"/>
      <c r="H721" s="27"/>
      <c r="I721" s="29" t="str">
        <f t="shared" si="5"/>
        <v/>
      </c>
      <c r="J721" s="27"/>
      <c r="K721" s="27"/>
      <c r="L721" s="25" t="str">
        <f>IF(A721="","",IF(OR(G721="",AND(G721&gt;=Dashboard!$C$18,G721&lt;=Dashboard!$C$19)),1,0))</f>
        <v/>
      </c>
      <c r="M721" s="24">
        <f>IF(AND(L721=1,OR(Dashboard!$C$13="All",A721=Dashboard!$C$13),OR(Dashboard!$C$14="All",B721=Dashboard!$C$14),OR(Dashboard!$C$15="All",C721=Dashboard!$C$15),OR(Dashboard!$C$16="All",K721=Dashboard!$C$16),OR(Dashboard!$C$17="All",J721=Dashboard!$C$17)),1,0)</f>
        <v>0</v>
      </c>
      <c r="N721" s="24">
        <f>IF(AND(L721=1,OR(Dashboard!$C$13="All",A721=Dashboard!$C$13),OR(Dashboard!$C$14="All",B721=Dashboard!$C$14),OR(Dashboard!$C$16="All",K721=Dashboard!$C$16),OR(Dashboard!$C$17="All",J721=Dashboard!$C$17)),1,0)</f>
        <v>0</v>
      </c>
      <c r="O721" s="24">
        <f>IF(AND(L721=1,OR(Dashboard!$C$13="All",A721=Dashboard!$C$13),OR(Dashboard!$C$15="All",C721=Dashboard!$C$15),OR(Dashboard!$C$16="All",K721=Dashboard!$C$16),OR(Dashboard!$C$17="All",J721=Dashboard!$C$17)),1,0)</f>
        <v>0</v>
      </c>
      <c r="P721" s="24">
        <f>IF(AND(L721=1,OR(Dashboard!$C$13="All",A721=Dashboard!$C$13),OR(Dashboard!$C$14="All",B721=Dashboard!$C$14),OR(Dashboard!$C$15="All",C721=Dashboard!$C$15),OR(Dashboard!$C$17="All",J721=Dashboard!$C$17)),1,0)</f>
        <v>0</v>
      </c>
      <c r="Q721" s="24">
        <f>IF(AND(L721=1,OR(Dashboard!$C$14="All",B721=Dashboard!$C$14),OR(Dashboard!$C$15="All",C721=Dashboard!$C$15),OR(Dashboard!$C$16="All",K721=Dashboard!$C$16),OR(Dashboard!$C$17="All",J721=Dashboard!$C$17)),1,0)</f>
        <v>0</v>
      </c>
      <c r="R721" s="24">
        <f>IF(AND(L721=1,OR(Dashboard!$C$13="All",A721=Dashboard!$C$13),OR(Dashboard!$C$14="All",B721=Dashboard!$C$14),OR(Dashboard!$C$15="All",C721=Dashboard!$C$15),OR(Dashboard!$C$16="All",K721=Dashboard!$C$16)),1,0)</f>
        <v>0</v>
      </c>
      <c r="S721" s="25" t="str">
        <f t="shared" si="3"/>
        <v/>
      </c>
    </row>
    <row r="722" ht="15.75" customHeight="1">
      <c r="A722" s="27"/>
      <c r="B722" s="27"/>
      <c r="C722" s="27"/>
      <c r="D722" s="27"/>
      <c r="E722" s="28"/>
      <c r="F722" s="28" t="str">
        <f t="shared" si="4"/>
        <v/>
      </c>
      <c r="G722" s="29"/>
      <c r="H722" s="27"/>
      <c r="I722" s="29" t="str">
        <f t="shared" si="5"/>
        <v/>
      </c>
      <c r="J722" s="27"/>
      <c r="K722" s="27"/>
      <c r="L722" s="25" t="str">
        <f>IF(A722="","",IF(OR(G722="",AND(G722&gt;=Dashboard!$C$18,G722&lt;=Dashboard!$C$19)),1,0))</f>
        <v/>
      </c>
      <c r="M722" s="24">
        <f>IF(AND(L722=1,OR(Dashboard!$C$13="All",A722=Dashboard!$C$13),OR(Dashboard!$C$14="All",B722=Dashboard!$C$14),OR(Dashboard!$C$15="All",C722=Dashboard!$C$15),OR(Dashboard!$C$16="All",K722=Dashboard!$C$16),OR(Dashboard!$C$17="All",J722=Dashboard!$C$17)),1,0)</f>
        <v>0</v>
      </c>
      <c r="N722" s="24">
        <f>IF(AND(L722=1,OR(Dashboard!$C$13="All",A722=Dashboard!$C$13),OR(Dashboard!$C$14="All",B722=Dashboard!$C$14),OR(Dashboard!$C$16="All",K722=Dashboard!$C$16),OR(Dashboard!$C$17="All",J722=Dashboard!$C$17)),1,0)</f>
        <v>0</v>
      </c>
      <c r="O722" s="24">
        <f>IF(AND(L722=1,OR(Dashboard!$C$13="All",A722=Dashboard!$C$13),OR(Dashboard!$C$15="All",C722=Dashboard!$C$15),OR(Dashboard!$C$16="All",K722=Dashboard!$C$16),OR(Dashboard!$C$17="All",J722=Dashboard!$C$17)),1,0)</f>
        <v>0</v>
      </c>
      <c r="P722" s="24">
        <f>IF(AND(L722=1,OR(Dashboard!$C$13="All",A722=Dashboard!$C$13),OR(Dashboard!$C$14="All",B722=Dashboard!$C$14),OR(Dashboard!$C$15="All",C722=Dashboard!$C$15),OR(Dashboard!$C$17="All",J722=Dashboard!$C$17)),1,0)</f>
        <v>0</v>
      </c>
      <c r="Q722" s="24">
        <f>IF(AND(L722=1,OR(Dashboard!$C$14="All",B722=Dashboard!$C$14),OR(Dashboard!$C$15="All",C722=Dashboard!$C$15),OR(Dashboard!$C$16="All",K722=Dashboard!$C$16),OR(Dashboard!$C$17="All",J722=Dashboard!$C$17)),1,0)</f>
        <v>0</v>
      </c>
      <c r="R722" s="24">
        <f>IF(AND(L722=1,OR(Dashboard!$C$13="All",A722=Dashboard!$C$13),OR(Dashboard!$C$14="All",B722=Dashboard!$C$14),OR(Dashboard!$C$15="All",C722=Dashboard!$C$15),OR(Dashboard!$C$16="All",K722=Dashboard!$C$16)),1,0)</f>
        <v>0</v>
      </c>
      <c r="S722" s="25" t="str">
        <f t="shared" si="3"/>
        <v/>
      </c>
    </row>
    <row r="723" ht="15.75" customHeight="1">
      <c r="A723" s="27"/>
      <c r="B723" s="27"/>
      <c r="C723" s="27"/>
      <c r="D723" s="27"/>
      <c r="E723" s="28"/>
      <c r="F723" s="28" t="str">
        <f t="shared" si="4"/>
        <v/>
      </c>
      <c r="G723" s="29"/>
      <c r="H723" s="27"/>
      <c r="I723" s="29" t="str">
        <f t="shared" si="5"/>
        <v/>
      </c>
      <c r="J723" s="27"/>
      <c r="K723" s="27"/>
      <c r="L723" s="25" t="str">
        <f>IF(A723="","",IF(OR(G723="",AND(G723&gt;=Dashboard!$C$18,G723&lt;=Dashboard!$C$19)),1,0))</f>
        <v/>
      </c>
      <c r="M723" s="24">
        <f>IF(AND(L723=1,OR(Dashboard!$C$13="All",A723=Dashboard!$C$13),OR(Dashboard!$C$14="All",B723=Dashboard!$C$14),OR(Dashboard!$C$15="All",C723=Dashboard!$C$15),OR(Dashboard!$C$16="All",K723=Dashboard!$C$16),OR(Dashboard!$C$17="All",J723=Dashboard!$C$17)),1,0)</f>
        <v>0</v>
      </c>
      <c r="N723" s="24">
        <f>IF(AND(L723=1,OR(Dashboard!$C$13="All",A723=Dashboard!$C$13),OR(Dashboard!$C$14="All",B723=Dashboard!$C$14),OR(Dashboard!$C$16="All",K723=Dashboard!$C$16),OR(Dashboard!$C$17="All",J723=Dashboard!$C$17)),1,0)</f>
        <v>0</v>
      </c>
      <c r="O723" s="24">
        <f>IF(AND(L723=1,OR(Dashboard!$C$13="All",A723=Dashboard!$C$13),OR(Dashboard!$C$15="All",C723=Dashboard!$C$15),OR(Dashboard!$C$16="All",K723=Dashboard!$C$16),OR(Dashboard!$C$17="All",J723=Dashboard!$C$17)),1,0)</f>
        <v>0</v>
      </c>
      <c r="P723" s="24">
        <f>IF(AND(L723=1,OR(Dashboard!$C$13="All",A723=Dashboard!$C$13),OR(Dashboard!$C$14="All",B723=Dashboard!$C$14),OR(Dashboard!$C$15="All",C723=Dashboard!$C$15),OR(Dashboard!$C$17="All",J723=Dashboard!$C$17)),1,0)</f>
        <v>0</v>
      </c>
      <c r="Q723" s="24">
        <f>IF(AND(L723=1,OR(Dashboard!$C$14="All",B723=Dashboard!$C$14),OR(Dashboard!$C$15="All",C723=Dashboard!$C$15),OR(Dashboard!$C$16="All",K723=Dashboard!$C$16),OR(Dashboard!$C$17="All",J723=Dashboard!$C$17)),1,0)</f>
        <v>0</v>
      </c>
      <c r="R723" s="24">
        <f>IF(AND(L723=1,OR(Dashboard!$C$13="All",A723=Dashboard!$C$13),OR(Dashboard!$C$14="All",B723=Dashboard!$C$14),OR(Dashboard!$C$15="All",C723=Dashboard!$C$15),OR(Dashboard!$C$16="All",K723=Dashboard!$C$16)),1,0)</f>
        <v>0</v>
      </c>
      <c r="S723" s="25" t="str">
        <f t="shared" si="3"/>
        <v/>
      </c>
    </row>
    <row r="724" ht="15.75" customHeight="1">
      <c r="A724" s="27"/>
      <c r="B724" s="27"/>
      <c r="C724" s="27"/>
      <c r="D724" s="27"/>
      <c r="E724" s="28"/>
      <c r="F724" s="28" t="str">
        <f t="shared" si="4"/>
        <v/>
      </c>
      <c r="G724" s="29"/>
      <c r="H724" s="27"/>
      <c r="I724" s="29" t="str">
        <f t="shared" si="5"/>
        <v/>
      </c>
      <c r="J724" s="27"/>
      <c r="K724" s="27"/>
      <c r="L724" s="25" t="str">
        <f>IF(A724="","",IF(OR(G724="",AND(G724&gt;=Dashboard!$C$18,G724&lt;=Dashboard!$C$19)),1,0))</f>
        <v/>
      </c>
      <c r="M724" s="24">
        <f>IF(AND(L724=1,OR(Dashboard!$C$13="All",A724=Dashboard!$C$13),OR(Dashboard!$C$14="All",B724=Dashboard!$C$14),OR(Dashboard!$C$15="All",C724=Dashboard!$C$15),OR(Dashboard!$C$16="All",K724=Dashboard!$C$16),OR(Dashboard!$C$17="All",J724=Dashboard!$C$17)),1,0)</f>
        <v>0</v>
      </c>
      <c r="N724" s="24">
        <f>IF(AND(L724=1,OR(Dashboard!$C$13="All",A724=Dashboard!$C$13),OR(Dashboard!$C$14="All",B724=Dashboard!$C$14),OR(Dashboard!$C$16="All",K724=Dashboard!$C$16),OR(Dashboard!$C$17="All",J724=Dashboard!$C$17)),1,0)</f>
        <v>0</v>
      </c>
      <c r="O724" s="24">
        <f>IF(AND(L724=1,OR(Dashboard!$C$13="All",A724=Dashboard!$C$13),OR(Dashboard!$C$15="All",C724=Dashboard!$C$15),OR(Dashboard!$C$16="All",K724=Dashboard!$C$16),OR(Dashboard!$C$17="All",J724=Dashboard!$C$17)),1,0)</f>
        <v>0</v>
      </c>
      <c r="P724" s="24">
        <f>IF(AND(L724=1,OR(Dashboard!$C$13="All",A724=Dashboard!$C$13),OR(Dashboard!$C$14="All",B724=Dashboard!$C$14),OR(Dashboard!$C$15="All",C724=Dashboard!$C$15),OR(Dashboard!$C$17="All",J724=Dashboard!$C$17)),1,0)</f>
        <v>0</v>
      </c>
      <c r="Q724" s="24">
        <f>IF(AND(L724=1,OR(Dashboard!$C$14="All",B724=Dashboard!$C$14),OR(Dashboard!$C$15="All",C724=Dashboard!$C$15),OR(Dashboard!$C$16="All",K724=Dashboard!$C$16),OR(Dashboard!$C$17="All",J724=Dashboard!$C$17)),1,0)</f>
        <v>0</v>
      </c>
      <c r="R724" s="24">
        <f>IF(AND(L724=1,OR(Dashboard!$C$13="All",A724=Dashboard!$C$13),OR(Dashboard!$C$14="All",B724=Dashboard!$C$14),OR(Dashboard!$C$15="All",C724=Dashboard!$C$15),OR(Dashboard!$C$16="All",K724=Dashboard!$C$16)),1,0)</f>
        <v>0</v>
      </c>
      <c r="S724" s="25" t="str">
        <f t="shared" si="3"/>
        <v/>
      </c>
    </row>
    <row r="725" ht="15.75" customHeight="1">
      <c r="A725" s="27"/>
      <c r="B725" s="27"/>
      <c r="C725" s="27"/>
      <c r="D725" s="27"/>
      <c r="E725" s="28"/>
      <c r="F725" s="28" t="str">
        <f t="shared" si="4"/>
        <v/>
      </c>
      <c r="G725" s="29"/>
      <c r="H725" s="27"/>
      <c r="I725" s="29" t="str">
        <f t="shared" si="5"/>
        <v/>
      </c>
      <c r="J725" s="27"/>
      <c r="K725" s="27"/>
      <c r="L725" s="25" t="str">
        <f>IF(A725="","",IF(OR(G725="",AND(G725&gt;=Dashboard!$C$18,G725&lt;=Dashboard!$C$19)),1,0))</f>
        <v/>
      </c>
      <c r="M725" s="24">
        <f>IF(AND(L725=1,OR(Dashboard!$C$13="All",A725=Dashboard!$C$13),OR(Dashboard!$C$14="All",B725=Dashboard!$C$14),OR(Dashboard!$C$15="All",C725=Dashboard!$C$15),OR(Dashboard!$C$16="All",K725=Dashboard!$C$16),OR(Dashboard!$C$17="All",J725=Dashboard!$C$17)),1,0)</f>
        <v>0</v>
      </c>
      <c r="N725" s="24">
        <f>IF(AND(L725=1,OR(Dashboard!$C$13="All",A725=Dashboard!$C$13),OR(Dashboard!$C$14="All",B725=Dashboard!$C$14),OR(Dashboard!$C$16="All",K725=Dashboard!$C$16),OR(Dashboard!$C$17="All",J725=Dashboard!$C$17)),1,0)</f>
        <v>0</v>
      </c>
      <c r="O725" s="24">
        <f>IF(AND(L725=1,OR(Dashboard!$C$13="All",A725=Dashboard!$C$13),OR(Dashboard!$C$15="All",C725=Dashboard!$C$15),OR(Dashboard!$C$16="All",K725=Dashboard!$C$16),OR(Dashboard!$C$17="All",J725=Dashboard!$C$17)),1,0)</f>
        <v>0</v>
      </c>
      <c r="P725" s="24">
        <f>IF(AND(L725=1,OR(Dashboard!$C$13="All",A725=Dashboard!$C$13),OR(Dashboard!$C$14="All",B725=Dashboard!$C$14),OR(Dashboard!$C$15="All",C725=Dashboard!$C$15),OR(Dashboard!$C$17="All",J725=Dashboard!$C$17)),1,0)</f>
        <v>0</v>
      </c>
      <c r="Q725" s="24">
        <f>IF(AND(L725=1,OR(Dashboard!$C$14="All",B725=Dashboard!$C$14),OR(Dashboard!$C$15="All",C725=Dashboard!$C$15),OR(Dashboard!$C$16="All",K725=Dashboard!$C$16),OR(Dashboard!$C$17="All",J725=Dashboard!$C$17)),1,0)</f>
        <v>0</v>
      </c>
      <c r="R725" s="24">
        <f>IF(AND(L725=1,OR(Dashboard!$C$13="All",A725=Dashboard!$C$13),OR(Dashboard!$C$14="All",B725=Dashboard!$C$14),OR(Dashboard!$C$15="All",C725=Dashboard!$C$15),OR(Dashboard!$C$16="All",K725=Dashboard!$C$16)),1,0)</f>
        <v>0</v>
      </c>
      <c r="S725" s="25" t="str">
        <f t="shared" si="3"/>
        <v/>
      </c>
    </row>
    <row r="726" ht="15.75" customHeight="1">
      <c r="A726" s="27"/>
      <c r="B726" s="27"/>
      <c r="C726" s="27"/>
      <c r="D726" s="27"/>
      <c r="E726" s="28"/>
      <c r="F726" s="28" t="str">
        <f t="shared" si="4"/>
        <v/>
      </c>
      <c r="G726" s="29"/>
      <c r="H726" s="27"/>
      <c r="I726" s="29" t="str">
        <f t="shared" si="5"/>
        <v/>
      </c>
      <c r="J726" s="27"/>
      <c r="K726" s="27"/>
      <c r="L726" s="25" t="str">
        <f>IF(A726="","",IF(OR(G726="",AND(G726&gt;=Dashboard!$C$18,G726&lt;=Dashboard!$C$19)),1,0))</f>
        <v/>
      </c>
      <c r="M726" s="24">
        <f>IF(AND(L726=1,OR(Dashboard!$C$13="All",A726=Dashboard!$C$13),OR(Dashboard!$C$14="All",B726=Dashboard!$C$14),OR(Dashboard!$C$15="All",C726=Dashboard!$C$15),OR(Dashboard!$C$16="All",K726=Dashboard!$C$16),OR(Dashboard!$C$17="All",J726=Dashboard!$C$17)),1,0)</f>
        <v>0</v>
      </c>
      <c r="N726" s="24">
        <f>IF(AND(L726=1,OR(Dashboard!$C$13="All",A726=Dashboard!$C$13),OR(Dashboard!$C$14="All",B726=Dashboard!$C$14),OR(Dashboard!$C$16="All",K726=Dashboard!$C$16),OR(Dashboard!$C$17="All",J726=Dashboard!$C$17)),1,0)</f>
        <v>0</v>
      </c>
      <c r="O726" s="24">
        <f>IF(AND(L726=1,OR(Dashboard!$C$13="All",A726=Dashboard!$C$13),OR(Dashboard!$C$15="All",C726=Dashboard!$C$15),OR(Dashboard!$C$16="All",K726=Dashboard!$C$16),OR(Dashboard!$C$17="All",J726=Dashboard!$C$17)),1,0)</f>
        <v>0</v>
      </c>
      <c r="P726" s="24">
        <f>IF(AND(L726=1,OR(Dashboard!$C$13="All",A726=Dashboard!$C$13),OR(Dashboard!$C$14="All",B726=Dashboard!$C$14),OR(Dashboard!$C$15="All",C726=Dashboard!$C$15),OR(Dashboard!$C$17="All",J726=Dashboard!$C$17)),1,0)</f>
        <v>0</v>
      </c>
      <c r="Q726" s="24">
        <f>IF(AND(L726=1,OR(Dashboard!$C$14="All",B726=Dashboard!$C$14),OR(Dashboard!$C$15="All",C726=Dashboard!$C$15),OR(Dashboard!$C$16="All",K726=Dashboard!$C$16),OR(Dashboard!$C$17="All",J726=Dashboard!$C$17)),1,0)</f>
        <v>0</v>
      </c>
      <c r="R726" s="24">
        <f>IF(AND(L726=1,OR(Dashboard!$C$13="All",A726=Dashboard!$C$13),OR(Dashboard!$C$14="All",B726=Dashboard!$C$14),OR(Dashboard!$C$15="All",C726=Dashboard!$C$15),OR(Dashboard!$C$16="All",K726=Dashboard!$C$16)),1,0)</f>
        <v>0</v>
      </c>
      <c r="S726" s="25" t="str">
        <f t="shared" si="3"/>
        <v/>
      </c>
    </row>
    <row r="727" ht="15.75" customHeight="1">
      <c r="A727" s="27"/>
      <c r="B727" s="27"/>
      <c r="C727" s="27"/>
      <c r="D727" s="27"/>
      <c r="E727" s="28"/>
      <c r="F727" s="28" t="str">
        <f t="shared" si="4"/>
        <v/>
      </c>
      <c r="G727" s="29"/>
      <c r="H727" s="27"/>
      <c r="I727" s="29" t="str">
        <f t="shared" si="5"/>
        <v/>
      </c>
      <c r="J727" s="27"/>
      <c r="K727" s="27"/>
      <c r="L727" s="25" t="str">
        <f>IF(A727="","",IF(OR(G727="",AND(G727&gt;=Dashboard!$C$18,G727&lt;=Dashboard!$C$19)),1,0))</f>
        <v/>
      </c>
      <c r="M727" s="24">
        <f>IF(AND(L727=1,OR(Dashboard!$C$13="All",A727=Dashboard!$C$13),OR(Dashboard!$C$14="All",B727=Dashboard!$C$14),OR(Dashboard!$C$15="All",C727=Dashboard!$C$15),OR(Dashboard!$C$16="All",K727=Dashboard!$C$16),OR(Dashboard!$C$17="All",J727=Dashboard!$C$17)),1,0)</f>
        <v>0</v>
      </c>
      <c r="N727" s="24">
        <f>IF(AND(L727=1,OR(Dashboard!$C$13="All",A727=Dashboard!$C$13),OR(Dashboard!$C$14="All",B727=Dashboard!$C$14),OR(Dashboard!$C$16="All",K727=Dashboard!$C$16),OR(Dashboard!$C$17="All",J727=Dashboard!$C$17)),1,0)</f>
        <v>0</v>
      </c>
      <c r="O727" s="24">
        <f>IF(AND(L727=1,OR(Dashboard!$C$13="All",A727=Dashboard!$C$13),OR(Dashboard!$C$15="All",C727=Dashboard!$C$15),OR(Dashboard!$C$16="All",K727=Dashboard!$C$16),OR(Dashboard!$C$17="All",J727=Dashboard!$C$17)),1,0)</f>
        <v>0</v>
      </c>
      <c r="P727" s="24">
        <f>IF(AND(L727=1,OR(Dashboard!$C$13="All",A727=Dashboard!$C$13),OR(Dashboard!$C$14="All",B727=Dashboard!$C$14),OR(Dashboard!$C$15="All",C727=Dashboard!$C$15),OR(Dashboard!$C$17="All",J727=Dashboard!$C$17)),1,0)</f>
        <v>0</v>
      </c>
      <c r="Q727" s="24">
        <f>IF(AND(L727=1,OR(Dashboard!$C$14="All",B727=Dashboard!$C$14),OR(Dashboard!$C$15="All",C727=Dashboard!$C$15),OR(Dashboard!$C$16="All",K727=Dashboard!$C$16),OR(Dashboard!$C$17="All",J727=Dashboard!$C$17)),1,0)</f>
        <v>0</v>
      </c>
      <c r="R727" s="24">
        <f>IF(AND(L727=1,OR(Dashboard!$C$13="All",A727=Dashboard!$C$13),OR(Dashboard!$C$14="All",B727=Dashboard!$C$14),OR(Dashboard!$C$15="All",C727=Dashboard!$C$15),OR(Dashboard!$C$16="All",K727=Dashboard!$C$16)),1,0)</f>
        <v>0</v>
      </c>
      <c r="S727" s="25" t="str">
        <f t="shared" si="3"/>
        <v/>
      </c>
    </row>
    <row r="728" ht="15.75" customHeight="1">
      <c r="A728" s="27"/>
      <c r="B728" s="27"/>
      <c r="C728" s="27"/>
      <c r="D728" s="27"/>
      <c r="E728" s="28"/>
      <c r="F728" s="28" t="str">
        <f t="shared" si="4"/>
        <v/>
      </c>
      <c r="G728" s="29"/>
      <c r="H728" s="27"/>
      <c r="I728" s="29" t="str">
        <f t="shared" si="5"/>
        <v/>
      </c>
      <c r="J728" s="27"/>
      <c r="K728" s="27"/>
      <c r="L728" s="25" t="str">
        <f>IF(A728="","",IF(OR(G728="",AND(G728&gt;=Dashboard!$C$18,G728&lt;=Dashboard!$C$19)),1,0))</f>
        <v/>
      </c>
      <c r="M728" s="24">
        <f>IF(AND(L728=1,OR(Dashboard!$C$13="All",A728=Dashboard!$C$13),OR(Dashboard!$C$14="All",B728=Dashboard!$C$14),OR(Dashboard!$C$15="All",C728=Dashboard!$C$15),OR(Dashboard!$C$16="All",K728=Dashboard!$C$16),OR(Dashboard!$C$17="All",J728=Dashboard!$C$17)),1,0)</f>
        <v>0</v>
      </c>
      <c r="N728" s="24">
        <f>IF(AND(L728=1,OR(Dashboard!$C$13="All",A728=Dashboard!$C$13),OR(Dashboard!$C$14="All",B728=Dashboard!$C$14),OR(Dashboard!$C$16="All",K728=Dashboard!$C$16),OR(Dashboard!$C$17="All",J728=Dashboard!$C$17)),1,0)</f>
        <v>0</v>
      </c>
      <c r="O728" s="24">
        <f>IF(AND(L728=1,OR(Dashboard!$C$13="All",A728=Dashboard!$C$13),OR(Dashboard!$C$15="All",C728=Dashboard!$C$15),OR(Dashboard!$C$16="All",K728=Dashboard!$C$16),OR(Dashboard!$C$17="All",J728=Dashboard!$C$17)),1,0)</f>
        <v>0</v>
      </c>
      <c r="P728" s="24">
        <f>IF(AND(L728=1,OR(Dashboard!$C$13="All",A728=Dashboard!$C$13),OR(Dashboard!$C$14="All",B728=Dashboard!$C$14),OR(Dashboard!$C$15="All",C728=Dashboard!$C$15),OR(Dashboard!$C$17="All",J728=Dashboard!$C$17)),1,0)</f>
        <v>0</v>
      </c>
      <c r="Q728" s="24">
        <f>IF(AND(L728=1,OR(Dashboard!$C$14="All",B728=Dashboard!$C$14),OR(Dashboard!$C$15="All",C728=Dashboard!$C$15),OR(Dashboard!$C$16="All",K728=Dashboard!$C$16),OR(Dashboard!$C$17="All",J728=Dashboard!$C$17)),1,0)</f>
        <v>0</v>
      </c>
      <c r="R728" s="24">
        <f>IF(AND(L728=1,OR(Dashboard!$C$13="All",A728=Dashboard!$C$13),OR(Dashboard!$C$14="All",B728=Dashboard!$C$14),OR(Dashboard!$C$15="All",C728=Dashboard!$C$15),OR(Dashboard!$C$16="All",K728=Dashboard!$C$16)),1,0)</f>
        <v>0</v>
      </c>
      <c r="S728" s="25" t="str">
        <f t="shared" si="3"/>
        <v/>
      </c>
    </row>
    <row r="729" ht="15.75" customHeight="1">
      <c r="A729" s="27"/>
      <c r="B729" s="27"/>
      <c r="C729" s="27"/>
      <c r="D729" s="27"/>
      <c r="E729" s="28"/>
      <c r="F729" s="28" t="str">
        <f t="shared" si="4"/>
        <v/>
      </c>
      <c r="G729" s="29"/>
      <c r="H729" s="27"/>
      <c r="I729" s="29" t="str">
        <f t="shared" si="5"/>
        <v/>
      </c>
      <c r="J729" s="27"/>
      <c r="K729" s="27"/>
      <c r="L729" s="25" t="str">
        <f>IF(A729="","",IF(OR(G729="",AND(G729&gt;=Dashboard!$C$18,G729&lt;=Dashboard!$C$19)),1,0))</f>
        <v/>
      </c>
      <c r="M729" s="24">
        <f>IF(AND(L729=1,OR(Dashboard!$C$13="All",A729=Dashboard!$C$13),OR(Dashboard!$C$14="All",B729=Dashboard!$C$14),OR(Dashboard!$C$15="All",C729=Dashboard!$C$15),OR(Dashboard!$C$16="All",K729=Dashboard!$C$16),OR(Dashboard!$C$17="All",J729=Dashboard!$C$17)),1,0)</f>
        <v>0</v>
      </c>
      <c r="N729" s="24">
        <f>IF(AND(L729=1,OR(Dashboard!$C$13="All",A729=Dashboard!$C$13),OR(Dashboard!$C$14="All",B729=Dashboard!$C$14),OR(Dashboard!$C$16="All",K729=Dashboard!$C$16),OR(Dashboard!$C$17="All",J729=Dashboard!$C$17)),1,0)</f>
        <v>0</v>
      </c>
      <c r="O729" s="24">
        <f>IF(AND(L729=1,OR(Dashboard!$C$13="All",A729=Dashboard!$C$13),OR(Dashboard!$C$15="All",C729=Dashboard!$C$15),OR(Dashboard!$C$16="All",K729=Dashboard!$C$16),OR(Dashboard!$C$17="All",J729=Dashboard!$C$17)),1,0)</f>
        <v>0</v>
      </c>
      <c r="P729" s="24">
        <f>IF(AND(L729=1,OR(Dashboard!$C$13="All",A729=Dashboard!$C$13),OR(Dashboard!$C$14="All",B729=Dashboard!$C$14),OR(Dashboard!$C$15="All",C729=Dashboard!$C$15),OR(Dashboard!$C$17="All",J729=Dashboard!$C$17)),1,0)</f>
        <v>0</v>
      </c>
      <c r="Q729" s="24">
        <f>IF(AND(L729=1,OR(Dashboard!$C$14="All",B729=Dashboard!$C$14),OR(Dashboard!$C$15="All",C729=Dashboard!$C$15),OR(Dashboard!$C$16="All",K729=Dashboard!$C$16),OR(Dashboard!$C$17="All",J729=Dashboard!$C$17)),1,0)</f>
        <v>0</v>
      </c>
      <c r="R729" s="24">
        <f>IF(AND(L729=1,OR(Dashboard!$C$13="All",A729=Dashboard!$C$13),OR(Dashboard!$C$14="All",B729=Dashboard!$C$14),OR(Dashboard!$C$15="All",C729=Dashboard!$C$15),OR(Dashboard!$C$16="All",K729=Dashboard!$C$16)),1,0)</f>
        <v>0</v>
      </c>
      <c r="S729" s="25" t="str">
        <f t="shared" si="3"/>
        <v/>
      </c>
    </row>
    <row r="730" ht="15.75" customHeight="1">
      <c r="A730" s="27"/>
      <c r="B730" s="27"/>
      <c r="C730" s="27"/>
      <c r="D730" s="27"/>
      <c r="E730" s="28"/>
      <c r="F730" s="28" t="str">
        <f t="shared" si="4"/>
        <v/>
      </c>
      <c r="G730" s="29"/>
      <c r="H730" s="27"/>
      <c r="I730" s="29" t="str">
        <f t="shared" si="5"/>
        <v/>
      </c>
      <c r="J730" s="27"/>
      <c r="K730" s="27"/>
      <c r="L730" s="25" t="str">
        <f>IF(A730="","",IF(OR(G730="",AND(G730&gt;=Dashboard!$C$18,G730&lt;=Dashboard!$C$19)),1,0))</f>
        <v/>
      </c>
      <c r="M730" s="24">
        <f>IF(AND(L730=1,OR(Dashboard!$C$13="All",A730=Dashboard!$C$13),OR(Dashboard!$C$14="All",B730=Dashboard!$C$14),OR(Dashboard!$C$15="All",C730=Dashboard!$C$15),OR(Dashboard!$C$16="All",K730=Dashboard!$C$16),OR(Dashboard!$C$17="All",J730=Dashboard!$C$17)),1,0)</f>
        <v>0</v>
      </c>
      <c r="N730" s="24">
        <f>IF(AND(L730=1,OR(Dashboard!$C$13="All",A730=Dashboard!$C$13),OR(Dashboard!$C$14="All",B730=Dashboard!$C$14),OR(Dashboard!$C$16="All",K730=Dashboard!$C$16),OR(Dashboard!$C$17="All",J730=Dashboard!$C$17)),1,0)</f>
        <v>0</v>
      </c>
      <c r="O730" s="24">
        <f>IF(AND(L730=1,OR(Dashboard!$C$13="All",A730=Dashboard!$C$13),OR(Dashboard!$C$15="All",C730=Dashboard!$C$15),OR(Dashboard!$C$16="All",K730=Dashboard!$C$16),OR(Dashboard!$C$17="All",J730=Dashboard!$C$17)),1,0)</f>
        <v>0</v>
      </c>
      <c r="P730" s="24">
        <f>IF(AND(L730=1,OR(Dashboard!$C$13="All",A730=Dashboard!$C$13),OR(Dashboard!$C$14="All",B730=Dashboard!$C$14),OR(Dashboard!$C$15="All",C730=Dashboard!$C$15),OR(Dashboard!$C$17="All",J730=Dashboard!$C$17)),1,0)</f>
        <v>0</v>
      </c>
      <c r="Q730" s="24">
        <f>IF(AND(L730=1,OR(Dashboard!$C$14="All",B730=Dashboard!$C$14),OR(Dashboard!$C$15="All",C730=Dashboard!$C$15),OR(Dashboard!$C$16="All",K730=Dashboard!$C$16),OR(Dashboard!$C$17="All",J730=Dashboard!$C$17)),1,0)</f>
        <v>0</v>
      </c>
      <c r="R730" s="24">
        <f>IF(AND(L730=1,OR(Dashboard!$C$13="All",A730=Dashboard!$C$13),OR(Dashboard!$C$14="All",B730=Dashboard!$C$14),OR(Dashboard!$C$15="All",C730=Dashboard!$C$15),OR(Dashboard!$C$16="All",K730=Dashboard!$C$16)),1,0)</f>
        <v>0</v>
      </c>
      <c r="S730" s="25" t="str">
        <f t="shared" si="3"/>
        <v/>
      </c>
    </row>
    <row r="731" ht="15.75" customHeight="1">
      <c r="A731" s="27"/>
      <c r="B731" s="27"/>
      <c r="C731" s="27"/>
      <c r="D731" s="27"/>
      <c r="E731" s="28"/>
      <c r="F731" s="28" t="str">
        <f t="shared" si="4"/>
        <v/>
      </c>
      <c r="G731" s="29"/>
      <c r="H731" s="27"/>
      <c r="I731" s="29" t="str">
        <f t="shared" si="5"/>
        <v/>
      </c>
      <c r="J731" s="27"/>
      <c r="K731" s="27"/>
      <c r="L731" s="25" t="str">
        <f>IF(A731="","",IF(OR(G731="",AND(G731&gt;=Dashboard!$C$18,G731&lt;=Dashboard!$C$19)),1,0))</f>
        <v/>
      </c>
      <c r="M731" s="24">
        <f>IF(AND(L731=1,OR(Dashboard!$C$13="All",A731=Dashboard!$C$13),OR(Dashboard!$C$14="All",B731=Dashboard!$C$14),OR(Dashboard!$C$15="All",C731=Dashboard!$C$15),OR(Dashboard!$C$16="All",K731=Dashboard!$C$16),OR(Dashboard!$C$17="All",J731=Dashboard!$C$17)),1,0)</f>
        <v>0</v>
      </c>
      <c r="N731" s="24">
        <f>IF(AND(L731=1,OR(Dashboard!$C$13="All",A731=Dashboard!$C$13),OR(Dashboard!$C$14="All",B731=Dashboard!$C$14),OR(Dashboard!$C$16="All",K731=Dashboard!$C$16),OR(Dashboard!$C$17="All",J731=Dashboard!$C$17)),1,0)</f>
        <v>0</v>
      </c>
      <c r="O731" s="24">
        <f>IF(AND(L731=1,OR(Dashboard!$C$13="All",A731=Dashboard!$C$13),OR(Dashboard!$C$15="All",C731=Dashboard!$C$15),OR(Dashboard!$C$16="All",K731=Dashboard!$C$16),OR(Dashboard!$C$17="All",J731=Dashboard!$C$17)),1,0)</f>
        <v>0</v>
      </c>
      <c r="P731" s="24">
        <f>IF(AND(L731=1,OR(Dashboard!$C$13="All",A731=Dashboard!$C$13),OR(Dashboard!$C$14="All",B731=Dashboard!$C$14),OR(Dashboard!$C$15="All",C731=Dashboard!$C$15),OR(Dashboard!$C$17="All",J731=Dashboard!$C$17)),1,0)</f>
        <v>0</v>
      </c>
      <c r="Q731" s="24">
        <f>IF(AND(L731=1,OR(Dashboard!$C$14="All",B731=Dashboard!$C$14),OR(Dashboard!$C$15="All",C731=Dashboard!$C$15),OR(Dashboard!$C$16="All",K731=Dashboard!$C$16),OR(Dashboard!$C$17="All",J731=Dashboard!$C$17)),1,0)</f>
        <v>0</v>
      </c>
      <c r="R731" s="24">
        <f>IF(AND(L731=1,OR(Dashboard!$C$13="All",A731=Dashboard!$C$13),OR(Dashboard!$C$14="All",B731=Dashboard!$C$14),OR(Dashboard!$C$15="All",C731=Dashboard!$C$15),OR(Dashboard!$C$16="All",K731=Dashboard!$C$16)),1,0)</f>
        <v>0</v>
      </c>
      <c r="S731" s="25" t="str">
        <f t="shared" si="3"/>
        <v/>
      </c>
    </row>
    <row r="732" ht="15.75" customHeight="1">
      <c r="A732" s="27"/>
      <c r="B732" s="27"/>
      <c r="C732" s="27"/>
      <c r="D732" s="27"/>
      <c r="E732" s="28"/>
      <c r="F732" s="28" t="str">
        <f t="shared" si="4"/>
        <v/>
      </c>
      <c r="G732" s="29"/>
      <c r="H732" s="27"/>
      <c r="I732" s="29" t="str">
        <f t="shared" si="5"/>
        <v/>
      </c>
      <c r="J732" s="27"/>
      <c r="K732" s="27"/>
      <c r="L732" s="25" t="str">
        <f>IF(A732="","",IF(OR(G732="",AND(G732&gt;=Dashboard!$C$18,G732&lt;=Dashboard!$C$19)),1,0))</f>
        <v/>
      </c>
      <c r="M732" s="24">
        <f>IF(AND(L732=1,OR(Dashboard!$C$13="All",A732=Dashboard!$C$13),OR(Dashboard!$C$14="All",B732=Dashboard!$C$14),OR(Dashboard!$C$15="All",C732=Dashboard!$C$15),OR(Dashboard!$C$16="All",K732=Dashboard!$C$16),OR(Dashboard!$C$17="All",J732=Dashboard!$C$17)),1,0)</f>
        <v>0</v>
      </c>
      <c r="N732" s="24">
        <f>IF(AND(L732=1,OR(Dashboard!$C$13="All",A732=Dashboard!$C$13),OR(Dashboard!$C$14="All",B732=Dashboard!$C$14),OR(Dashboard!$C$16="All",K732=Dashboard!$C$16),OR(Dashboard!$C$17="All",J732=Dashboard!$C$17)),1,0)</f>
        <v>0</v>
      </c>
      <c r="O732" s="24">
        <f>IF(AND(L732=1,OR(Dashboard!$C$13="All",A732=Dashboard!$C$13),OR(Dashboard!$C$15="All",C732=Dashboard!$C$15),OR(Dashboard!$C$16="All",K732=Dashboard!$C$16),OR(Dashboard!$C$17="All",J732=Dashboard!$C$17)),1,0)</f>
        <v>0</v>
      </c>
      <c r="P732" s="24">
        <f>IF(AND(L732=1,OR(Dashboard!$C$13="All",A732=Dashboard!$C$13),OR(Dashboard!$C$14="All",B732=Dashboard!$C$14),OR(Dashboard!$C$15="All",C732=Dashboard!$C$15),OR(Dashboard!$C$17="All",J732=Dashboard!$C$17)),1,0)</f>
        <v>0</v>
      </c>
      <c r="Q732" s="24">
        <f>IF(AND(L732=1,OR(Dashboard!$C$14="All",B732=Dashboard!$C$14),OR(Dashboard!$C$15="All",C732=Dashboard!$C$15),OR(Dashboard!$C$16="All",K732=Dashboard!$C$16),OR(Dashboard!$C$17="All",J732=Dashboard!$C$17)),1,0)</f>
        <v>0</v>
      </c>
      <c r="R732" s="24">
        <f>IF(AND(L732=1,OR(Dashboard!$C$13="All",A732=Dashboard!$C$13),OR(Dashboard!$C$14="All",B732=Dashboard!$C$14),OR(Dashboard!$C$15="All",C732=Dashboard!$C$15),OR(Dashboard!$C$16="All",K732=Dashboard!$C$16)),1,0)</f>
        <v>0</v>
      </c>
      <c r="S732" s="25" t="str">
        <f t="shared" si="3"/>
        <v/>
      </c>
    </row>
    <row r="733" ht="15.75" customHeight="1">
      <c r="A733" s="27"/>
      <c r="B733" s="27"/>
      <c r="C733" s="27"/>
      <c r="D733" s="27"/>
      <c r="E733" s="28"/>
      <c r="F733" s="28" t="str">
        <f t="shared" si="4"/>
        <v/>
      </c>
      <c r="G733" s="29"/>
      <c r="H733" s="27"/>
      <c r="I733" s="29" t="str">
        <f t="shared" si="5"/>
        <v/>
      </c>
      <c r="J733" s="27"/>
      <c r="K733" s="27"/>
      <c r="L733" s="25" t="str">
        <f>IF(A733="","",IF(OR(G733="",AND(G733&gt;=Dashboard!$C$18,G733&lt;=Dashboard!$C$19)),1,0))</f>
        <v/>
      </c>
      <c r="M733" s="24">
        <f>IF(AND(L733=1,OR(Dashboard!$C$13="All",A733=Dashboard!$C$13),OR(Dashboard!$C$14="All",B733=Dashboard!$C$14),OR(Dashboard!$C$15="All",C733=Dashboard!$C$15),OR(Dashboard!$C$16="All",K733=Dashboard!$C$16),OR(Dashboard!$C$17="All",J733=Dashboard!$C$17)),1,0)</f>
        <v>0</v>
      </c>
      <c r="N733" s="24">
        <f>IF(AND(L733=1,OR(Dashboard!$C$13="All",A733=Dashboard!$C$13),OR(Dashboard!$C$14="All",B733=Dashboard!$C$14),OR(Dashboard!$C$16="All",K733=Dashboard!$C$16),OR(Dashboard!$C$17="All",J733=Dashboard!$C$17)),1,0)</f>
        <v>0</v>
      </c>
      <c r="O733" s="24">
        <f>IF(AND(L733=1,OR(Dashboard!$C$13="All",A733=Dashboard!$C$13),OR(Dashboard!$C$15="All",C733=Dashboard!$C$15),OR(Dashboard!$C$16="All",K733=Dashboard!$C$16),OR(Dashboard!$C$17="All",J733=Dashboard!$C$17)),1,0)</f>
        <v>0</v>
      </c>
      <c r="P733" s="24">
        <f>IF(AND(L733=1,OR(Dashboard!$C$13="All",A733=Dashboard!$C$13),OR(Dashboard!$C$14="All",B733=Dashboard!$C$14),OR(Dashboard!$C$15="All",C733=Dashboard!$C$15),OR(Dashboard!$C$17="All",J733=Dashboard!$C$17)),1,0)</f>
        <v>0</v>
      </c>
      <c r="Q733" s="24">
        <f>IF(AND(L733=1,OR(Dashboard!$C$14="All",B733=Dashboard!$C$14),OR(Dashboard!$C$15="All",C733=Dashboard!$C$15),OR(Dashboard!$C$16="All",K733=Dashboard!$C$16),OR(Dashboard!$C$17="All",J733=Dashboard!$C$17)),1,0)</f>
        <v>0</v>
      </c>
      <c r="R733" s="24">
        <f>IF(AND(L733=1,OR(Dashboard!$C$13="All",A733=Dashboard!$C$13),OR(Dashboard!$C$14="All",B733=Dashboard!$C$14),OR(Dashboard!$C$15="All",C733=Dashboard!$C$15),OR(Dashboard!$C$16="All",K733=Dashboard!$C$16)),1,0)</f>
        <v>0</v>
      </c>
      <c r="S733" s="25" t="str">
        <f t="shared" si="3"/>
        <v/>
      </c>
    </row>
    <row r="734" ht="15.75" customHeight="1">
      <c r="A734" s="27"/>
      <c r="B734" s="27"/>
      <c r="C734" s="27"/>
      <c r="D734" s="27"/>
      <c r="E734" s="28"/>
      <c r="F734" s="28" t="str">
        <f t="shared" si="4"/>
        <v/>
      </c>
      <c r="G734" s="29"/>
      <c r="H734" s="27"/>
      <c r="I734" s="29" t="str">
        <f t="shared" si="5"/>
        <v/>
      </c>
      <c r="J734" s="27"/>
      <c r="K734" s="27"/>
      <c r="L734" s="25" t="str">
        <f>IF(A734="","",IF(OR(G734="",AND(G734&gt;=Dashboard!$C$18,G734&lt;=Dashboard!$C$19)),1,0))</f>
        <v/>
      </c>
      <c r="M734" s="24">
        <f>IF(AND(L734=1,OR(Dashboard!$C$13="All",A734=Dashboard!$C$13),OR(Dashboard!$C$14="All",B734=Dashboard!$C$14),OR(Dashboard!$C$15="All",C734=Dashboard!$C$15),OR(Dashboard!$C$16="All",K734=Dashboard!$C$16),OR(Dashboard!$C$17="All",J734=Dashboard!$C$17)),1,0)</f>
        <v>0</v>
      </c>
      <c r="N734" s="24">
        <f>IF(AND(L734=1,OR(Dashboard!$C$13="All",A734=Dashboard!$C$13),OR(Dashboard!$C$14="All",B734=Dashboard!$C$14),OR(Dashboard!$C$16="All",K734=Dashboard!$C$16),OR(Dashboard!$C$17="All",J734=Dashboard!$C$17)),1,0)</f>
        <v>0</v>
      </c>
      <c r="O734" s="24">
        <f>IF(AND(L734=1,OR(Dashboard!$C$13="All",A734=Dashboard!$C$13),OR(Dashboard!$C$15="All",C734=Dashboard!$C$15),OR(Dashboard!$C$16="All",K734=Dashboard!$C$16),OR(Dashboard!$C$17="All",J734=Dashboard!$C$17)),1,0)</f>
        <v>0</v>
      </c>
      <c r="P734" s="24">
        <f>IF(AND(L734=1,OR(Dashboard!$C$13="All",A734=Dashboard!$C$13),OR(Dashboard!$C$14="All",B734=Dashboard!$C$14),OR(Dashboard!$C$15="All",C734=Dashboard!$C$15),OR(Dashboard!$C$17="All",J734=Dashboard!$C$17)),1,0)</f>
        <v>0</v>
      </c>
      <c r="Q734" s="24">
        <f>IF(AND(L734=1,OR(Dashboard!$C$14="All",B734=Dashboard!$C$14),OR(Dashboard!$C$15="All",C734=Dashboard!$C$15),OR(Dashboard!$C$16="All",K734=Dashboard!$C$16),OR(Dashboard!$C$17="All",J734=Dashboard!$C$17)),1,0)</f>
        <v>0</v>
      </c>
      <c r="R734" s="24">
        <f>IF(AND(L734=1,OR(Dashboard!$C$13="All",A734=Dashboard!$C$13),OR(Dashboard!$C$14="All",B734=Dashboard!$C$14),OR(Dashboard!$C$15="All",C734=Dashboard!$C$15),OR(Dashboard!$C$16="All",K734=Dashboard!$C$16)),1,0)</f>
        <v>0</v>
      </c>
      <c r="S734" s="25" t="str">
        <f t="shared" si="3"/>
        <v/>
      </c>
    </row>
    <row r="735" ht="15.75" customHeight="1">
      <c r="A735" s="27"/>
      <c r="B735" s="27"/>
      <c r="C735" s="27"/>
      <c r="D735" s="27"/>
      <c r="E735" s="28"/>
      <c r="F735" s="28" t="str">
        <f t="shared" si="4"/>
        <v/>
      </c>
      <c r="G735" s="29"/>
      <c r="H735" s="27"/>
      <c r="I735" s="29" t="str">
        <f t="shared" si="5"/>
        <v/>
      </c>
      <c r="J735" s="27"/>
      <c r="K735" s="27"/>
      <c r="L735" s="25" t="str">
        <f>IF(A735="","",IF(OR(G735="",AND(G735&gt;=Dashboard!$C$18,G735&lt;=Dashboard!$C$19)),1,0))</f>
        <v/>
      </c>
      <c r="M735" s="24">
        <f>IF(AND(L735=1,OR(Dashboard!$C$13="All",A735=Dashboard!$C$13),OR(Dashboard!$C$14="All",B735=Dashboard!$C$14),OR(Dashboard!$C$15="All",C735=Dashboard!$C$15),OR(Dashboard!$C$16="All",K735=Dashboard!$C$16),OR(Dashboard!$C$17="All",J735=Dashboard!$C$17)),1,0)</f>
        <v>0</v>
      </c>
      <c r="N735" s="24">
        <f>IF(AND(L735=1,OR(Dashboard!$C$13="All",A735=Dashboard!$C$13),OR(Dashboard!$C$14="All",B735=Dashboard!$C$14),OR(Dashboard!$C$16="All",K735=Dashboard!$C$16),OR(Dashboard!$C$17="All",J735=Dashboard!$C$17)),1,0)</f>
        <v>0</v>
      </c>
      <c r="O735" s="24">
        <f>IF(AND(L735=1,OR(Dashboard!$C$13="All",A735=Dashboard!$C$13),OR(Dashboard!$C$15="All",C735=Dashboard!$C$15),OR(Dashboard!$C$16="All",K735=Dashboard!$C$16),OR(Dashboard!$C$17="All",J735=Dashboard!$C$17)),1,0)</f>
        <v>0</v>
      </c>
      <c r="P735" s="24">
        <f>IF(AND(L735=1,OR(Dashboard!$C$13="All",A735=Dashboard!$C$13),OR(Dashboard!$C$14="All",B735=Dashboard!$C$14),OR(Dashboard!$C$15="All",C735=Dashboard!$C$15),OR(Dashboard!$C$17="All",J735=Dashboard!$C$17)),1,0)</f>
        <v>0</v>
      </c>
      <c r="Q735" s="24">
        <f>IF(AND(L735=1,OR(Dashboard!$C$14="All",B735=Dashboard!$C$14),OR(Dashboard!$C$15="All",C735=Dashboard!$C$15),OR(Dashboard!$C$16="All",K735=Dashboard!$C$16),OR(Dashboard!$C$17="All",J735=Dashboard!$C$17)),1,0)</f>
        <v>0</v>
      </c>
      <c r="R735" s="24">
        <f>IF(AND(L735=1,OR(Dashboard!$C$13="All",A735=Dashboard!$C$13),OR(Dashboard!$C$14="All",B735=Dashboard!$C$14),OR(Dashboard!$C$15="All",C735=Dashboard!$C$15),OR(Dashboard!$C$16="All",K735=Dashboard!$C$16)),1,0)</f>
        <v>0</v>
      </c>
      <c r="S735" s="25" t="str">
        <f t="shared" si="3"/>
        <v/>
      </c>
    </row>
    <row r="736" ht="15.75" customHeight="1">
      <c r="A736" s="27"/>
      <c r="B736" s="27"/>
      <c r="C736" s="27"/>
      <c r="D736" s="27"/>
      <c r="E736" s="28"/>
      <c r="F736" s="28" t="str">
        <f t="shared" si="4"/>
        <v/>
      </c>
      <c r="G736" s="29"/>
      <c r="H736" s="27"/>
      <c r="I736" s="29" t="str">
        <f t="shared" si="5"/>
        <v/>
      </c>
      <c r="J736" s="27"/>
      <c r="K736" s="27"/>
      <c r="L736" s="25" t="str">
        <f>IF(A736="","",IF(OR(G736="",AND(G736&gt;=Dashboard!$C$18,G736&lt;=Dashboard!$C$19)),1,0))</f>
        <v/>
      </c>
      <c r="M736" s="24">
        <f>IF(AND(L736=1,OR(Dashboard!$C$13="All",A736=Dashboard!$C$13),OR(Dashboard!$C$14="All",B736=Dashboard!$C$14),OR(Dashboard!$C$15="All",C736=Dashboard!$C$15),OR(Dashboard!$C$16="All",K736=Dashboard!$C$16),OR(Dashboard!$C$17="All",J736=Dashboard!$C$17)),1,0)</f>
        <v>0</v>
      </c>
      <c r="N736" s="24">
        <f>IF(AND(L736=1,OR(Dashboard!$C$13="All",A736=Dashboard!$C$13),OR(Dashboard!$C$14="All",B736=Dashboard!$C$14),OR(Dashboard!$C$16="All",K736=Dashboard!$C$16),OR(Dashboard!$C$17="All",J736=Dashboard!$C$17)),1,0)</f>
        <v>0</v>
      </c>
      <c r="O736" s="24">
        <f>IF(AND(L736=1,OR(Dashboard!$C$13="All",A736=Dashboard!$C$13),OR(Dashboard!$C$15="All",C736=Dashboard!$C$15),OR(Dashboard!$C$16="All",K736=Dashboard!$C$16),OR(Dashboard!$C$17="All",J736=Dashboard!$C$17)),1,0)</f>
        <v>0</v>
      </c>
      <c r="P736" s="24">
        <f>IF(AND(L736=1,OR(Dashboard!$C$13="All",A736=Dashboard!$C$13),OR(Dashboard!$C$14="All",B736=Dashboard!$C$14),OR(Dashboard!$C$15="All",C736=Dashboard!$C$15),OR(Dashboard!$C$17="All",J736=Dashboard!$C$17)),1,0)</f>
        <v>0</v>
      </c>
      <c r="Q736" s="24">
        <f>IF(AND(L736=1,OR(Dashboard!$C$14="All",B736=Dashboard!$C$14),OR(Dashboard!$C$15="All",C736=Dashboard!$C$15),OR(Dashboard!$C$16="All",K736=Dashboard!$C$16),OR(Dashboard!$C$17="All",J736=Dashboard!$C$17)),1,0)</f>
        <v>0</v>
      </c>
      <c r="R736" s="24">
        <f>IF(AND(L736=1,OR(Dashboard!$C$13="All",A736=Dashboard!$C$13),OR(Dashboard!$C$14="All",B736=Dashboard!$C$14),OR(Dashboard!$C$15="All",C736=Dashboard!$C$15),OR(Dashboard!$C$16="All",K736=Dashboard!$C$16)),1,0)</f>
        <v>0</v>
      </c>
      <c r="S736" s="25" t="str">
        <f t="shared" si="3"/>
        <v/>
      </c>
    </row>
    <row r="737" ht="15.75" customHeight="1">
      <c r="A737" s="27"/>
      <c r="B737" s="27"/>
      <c r="C737" s="27"/>
      <c r="D737" s="27"/>
      <c r="E737" s="28"/>
      <c r="F737" s="28" t="str">
        <f t="shared" si="4"/>
        <v/>
      </c>
      <c r="G737" s="29"/>
      <c r="H737" s="27"/>
      <c r="I737" s="29" t="str">
        <f t="shared" si="5"/>
        <v/>
      </c>
      <c r="J737" s="27"/>
      <c r="K737" s="27"/>
      <c r="L737" s="25" t="str">
        <f>IF(A737="","",IF(OR(G737="",AND(G737&gt;=Dashboard!$C$18,G737&lt;=Dashboard!$C$19)),1,0))</f>
        <v/>
      </c>
      <c r="M737" s="24">
        <f>IF(AND(L737=1,OR(Dashboard!$C$13="All",A737=Dashboard!$C$13),OR(Dashboard!$C$14="All",B737=Dashboard!$C$14),OR(Dashboard!$C$15="All",C737=Dashboard!$C$15),OR(Dashboard!$C$16="All",K737=Dashboard!$C$16),OR(Dashboard!$C$17="All",J737=Dashboard!$C$17)),1,0)</f>
        <v>0</v>
      </c>
      <c r="N737" s="24">
        <f>IF(AND(L737=1,OR(Dashboard!$C$13="All",A737=Dashboard!$C$13),OR(Dashboard!$C$14="All",B737=Dashboard!$C$14),OR(Dashboard!$C$16="All",K737=Dashboard!$C$16),OR(Dashboard!$C$17="All",J737=Dashboard!$C$17)),1,0)</f>
        <v>0</v>
      </c>
      <c r="O737" s="24">
        <f>IF(AND(L737=1,OR(Dashboard!$C$13="All",A737=Dashboard!$C$13),OR(Dashboard!$C$15="All",C737=Dashboard!$C$15),OR(Dashboard!$C$16="All",K737=Dashboard!$C$16),OR(Dashboard!$C$17="All",J737=Dashboard!$C$17)),1,0)</f>
        <v>0</v>
      </c>
      <c r="P737" s="24">
        <f>IF(AND(L737=1,OR(Dashboard!$C$13="All",A737=Dashboard!$C$13),OR(Dashboard!$C$14="All",B737=Dashboard!$C$14),OR(Dashboard!$C$15="All",C737=Dashboard!$C$15),OR(Dashboard!$C$17="All",J737=Dashboard!$C$17)),1,0)</f>
        <v>0</v>
      </c>
      <c r="Q737" s="24">
        <f>IF(AND(L737=1,OR(Dashboard!$C$14="All",B737=Dashboard!$C$14),OR(Dashboard!$C$15="All",C737=Dashboard!$C$15),OR(Dashboard!$C$16="All",K737=Dashboard!$C$16),OR(Dashboard!$C$17="All",J737=Dashboard!$C$17)),1,0)</f>
        <v>0</v>
      </c>
      <c r="R737" s="24">
        <f>IF(AND(L737=1,OR(Dashboard!$C$13="All",A737=Dashboard!$C$13),OR(Dashboard!$C$14="All",B737=Dashboard!$C$14),OR(Dashboard!$C$15="All",C737=Dashboard!$C$15),OR(Dashboard!$C$16="All",K737=Dashboard!$C$16)),1,0)</f>
        <v>0</v>
      </c>
      <c r="S737" s="25" t="str">
        <f t="shared" si="3"/>
        <v/>
      </c>
    </row>
    <row r="738" ht="15.75" customHeight="1">
      <c r="A738" s="27"/>
      <c r="B738" s="27"/>
      <c r="C738" s="27"/>
      <c r="D738" s="27"/>
      <c r="E738" s="28"/>
      <c r="F738" s="28" t="str">
        <f t="shared" si="4"/>
        <v/>
      </c>
      <c r="G738" s="29"/>
      <c r="H738" s="27"/>
      <c r="I738" s="29" t="str">
        <f t="shared" si="5"/>
        <v/>
      </c>
      <c r="J738" s="27"/>
      <c r="K738" s="27"/>
      <c r="L738" s="25" t="str">
        <f>IF(A738="","",IF(OR(G738="",AND(G738&gt;=Dashboard!$C$18,G738&lt;=Dashboard!$C$19)),1,0))</f>
        <v/>
      </c>
      <c r="M738" s="24">
        <f>IF(AND(L738=1,OR(Dashboard!$C$13="All",A738=Dashboard!$C$13),OR(Dashboard!$C$14="All",B738=Dashboard!$C$14),OR(Dashboard!$C$15="All",C738=Dashboard!$C$15),OR(Dashboard!$C$16="All",K738=Dashboard!$C$16),OR(Dashboard!$C$17="All",J738=Dashboard!$C$17)),1,0)</f>
        <v>0</v>
      </c>
      <c r="N738" s="24">
        <f>IF(AND(L738=1,OR(Dashboard!$C$13="All",A738=Dashboard!$C$13),OR(Dashboard!$C$14="All",B738=Dashboard!$C$14),OR(Dashboard!$C$16="All",K738=Dashboard!$C$16),OR(Dashboard!$C$17="All",J738=Dashboard!$C$17)),1,0)</f>
        <v>0</v>
      </c>
      <c r="O738" s="24">
        <f>IF(AND(L738=1,OR(Dashboard!$C$13="All",A738=Dashboard!$C$13),OR(Dashboard!$C$15="All",C738=Dashboard!$C$15),OR(Dashboard!$C$16="All",K738=Dashboard!$C$16),OR(Dashboard!$C$17="All",J738=Dashboard!$C$17)),1,0)</f>
        <v>0</v>
      </c>
      <c r="P738" s="24">
        <f>IF(AND(L738=1,OR(Dashboard!$C$13="All",A738=Dashboard!$C$13),OR(Dashboard!$C$14="All",B738=Dashboard!$C$14),OR(Dashboard!$C$15="All",C738=Dashboard!$C$15),OR(Dashboard!$C$17="All",J738=Dashboard!$C$17)),1,0)</f>
        <v>0</v>
      </c>
      <c r="Q738" s="24">
        <f>IF(AND(L738=1,OR(Dashboard!$C$14="All",B738=Dashboard!$C$14),OR(Dashboard!$C$15="All",C738=Dashboard!$C$15),OR(Dashboard!$C$16="All",K738=Dashboard!$C$16),OR(Dashboard!$C$17="All",J738=Dashboard!$C$17)),1,0)</f>
        <v>0</v>
      </c>
      <c r="R738" s="24">
        <f>IF(AND(L738=1,OR(Dashboard!$C$13="All",A738=Dashboard!$C$13),OR(Dashboard!$C$14="All",B738=Dashboard!$C$14),OR(Dashboard!$C$15="All",C738=Dashboard!$C$15),OR(Dashboard!$C$16="All",K738=Dashboard!$C$16)),1,0)</f>
        <v>0</v>
      </c>
      <c r="S738" s="25" t="str">
        <f t="shared" si="3"/>
        <v/>
      </c>
    </row>
    <row r="739" ht="15.75" customHeight="1">
      <c r="A739" s="27"/>
      <c r="B739" s="27"/>
      <c r="C739" s="27"/>
      <c r="D739" s="27"/>
      <c r="E739" s="28"/>
      <c r="F739" s="28" t="str">
        <f t="shared" si="4"/>
        <v/>
      </c>
      <c r="G739" s="29"/>
      <c r="H739" s="27"/>
      <c r="I739" s="29" t="str">
        <f t="shared" si="5"/>
        <v/>
      </c>
      <c r="J739" s="27"/>
      <c r="K739" s="27"/>
      <c r="L739" s="25" t="str">
        <f>IF(A739="","",IF(OR(G739="",AND(G739&gt;=Dashboard!$C$18,G739&lt;=Dashboard!$C$19)),1,0))</f>
        <v/>
      </c>
      <c r="M739" s="24">
        <f>IF(AND(L739=1,OR(Dashboard!$C$13="All",A739=Dashboard!$C$13),OR(Dashboard!$C$14="All",B739=Dashboard!$C$14),OR(Dashboard!$C$15="All",C739=Dashboard!$C$15),OR(Dashboard!$C$16="All",K739=Dashboard!$C$16),OR(Dashboard!$C$17="All",J739=Dashboard!$C$17)),1,0)</f>
        <v>0</v>
      </c>
      <c r="N739" s="24">
        <f>IF(AND(L739=1,OR(Dashboard!$C$13="All",A739=Dashboard!$C$13),OR(Dashboard!$C$14="All",B739=Dashboard!$C$14),OR(Dashboard!$C$16="All",K739=Dashboard!$C$16),OR(Dashboard!$C$17="All",J739=Dashboard!$C$17)),1,0)</f>
        <v>0</v>
      </c>
      <c r="O739" s="24">
        <f>IF(AND(L739=1,OR(Dashboard!$C$13="All",A739=Dashboard!$C$13),OR(Dashboard!$C$15="All",C739=Dashboard!$C$15),OR(Dashboard!$C$16="All",K739=Dashboard!$C$16),OR(Dashboard!$C$17="All",J739=Dashboard!$C$17)),1,0)</f>
        <v>0</v>
      </c>
      <c r="P739" s="24">
        <f>IF(AND(L739=1,OR(Dashboard!$C$13="All",A739=Dashboard!$C$13),OR(Dashboard!$C$14="All",B739=Dashboard!$C$14),OR(Dashboard!$C$15="All",C739=Dashboard!$C$15),OR(Dashboard!$C$17="All",J739=Dashboard!$C$17)),1,0)</f>
        <v>0</v>
      </c>
      <c r="Q739" s="24">
        <f>IF(AND(L739=1,OR(Dashboard!$C$14="All",B739=Dashboard!$C$14),OR(Dashboard!$C$15="All",C739=Dashboard!$C$15),OR(Dashboard!$C$16="All",K739=Dashboard!$C$16),OR(Dashboard!$C$17="All",J739=Dashboard!$C$17)),1,0)</f>
        <v>0</v>
      </c>
      <c r="R739" s="24">
        <f>IF(AND(L739=1,OR(Dashboard!$C$13="All",A739=Dashboard!$C$13),OR(Dashboard!$C$14="All",B739=Dashboard!$C$14),OR(Dashboard!$C$15="All",C739=Dashboard!$C$15),OR(Dashboard!$C$16="All",K739=Dashboard!$C$16)),1,0)</f>
        <v>0</v>
      </c>
      <c r="S739" s="25" t="str">
        <f t="shared" si="3"/>
        <v/>
      </c>
    </row>
    <row r="740" ht="15.75" customHeight="1">
      <c r="A740" s="27"/>
      <c r="B740" s="27"/>
      <c r="C740" s="27"/>
      <c r="D740" s="27"/>
      <c r="E740" s="28"/>
      <c r="F740" s="28" t="str">
        <f t="shared" si="4"/>
        <v/>
      </c>
      <c r="G740" s="29"/>
      <c r="H740" s="27"/>
      <c r="I740" s="29" t="str">
        <f t="shared" si="5"/>
        <v/>
      </c>
      <c r="J740" s="27"/>
      <c r="K740" s="27"/>
      <c r="L740" s="25" t="str">
        <f>IF(A740="","",IF(OR(G740="",AND(G740&gt;=Dashboard!$C$18,G740&lt;=Dashboard!$C$19)),1,0))</f>
        <v/>
      </c>
      <c r="M740" s="24">
        <f>IF(AND(L740=1,OR(Dashboard!$C$13="All",A740=Dashboard!$C$13),OR(Dashboard!$C$14="All",B740=Dashboard!$C$14),OR(Dashboard!$C$15="All",C740=Dashboard!$C$15),OR(Dashboard!$C$16="All",K740=Dashboard!$C$16),OR(Dashboard!$C$17="All",J740=Dashboard!$C$17)),1,0)</f>
        <v>0</v>
      </c>
      <c r="N740" s="24">
        <f>IF(AND(L740=1,OR(Dashboard!$C$13="All",A740=Dashboard!$C$13),OR(Dashboard!$C$14="All",B740=Dashboard!$C$14),OR(Dashboard!$C$16="All",K740=Dashboard!$C$16),OR(Dashboard!$C$17="All",J740=Dashboard!$C$17)),1,0)</f>
        <v>0</v>
      </c>
      <c r="O740" s="24">
        <f>IF(AND(L740=1,OR(Dashboard!$C$13="All",A740=Dashboard!$C$13),OR(Dashboard!$C$15="All",C740=Dashboard!$C$15),OR(Dashboard!$C$16="All",K740=Dashboard!$C$16),OR(Dashboard!$C$17="All",J740=Dashboard!$C$17)),1,0)</f>
        <v>0</v>
      </c>
      <c r="P740" s="24">
        <f>IF(AND(L740=1,OR(Dashboard!$C$13="All",A740=Dashboard!$C$13),OR(Dashboard!$C$14="All",B740=Dashboard!$C$14),OR(Dashboard!$C$15="All",C740=Dashboard!$C$15),OR(Dashboard!$C$17="All",J740=Dashboard!$C$17)),1,0)</f>
        <v>0</v>
      </c>
      <c r="Q740" s="24">
        <f>IF(AND(L740=1,OR(Dashboard!$C$14="All",B740=Dashboard!$C$14),OR(Dashboard!$C$15="All",C740=Dashboard!$C$15),OR(Dashboard!$C$16="All",K740=Dashboard!$C$16),OR(Dashboard!$C$17="All",J740=Dashboard!$C$17)),1,0)</f>
        <v>0</v>
      </c>
      <c r="R740" s="24">
        <f>IF(AND(L740=1,OR(Dashboard!$C$13="All",A740=Dashboard!$C$13),OR(Dashboard!$C$14="All",B740=Dashboard!$C$14),OR(Dashboard!$C$15="All",C740=Dashboard!$C$15),OR(Dashboard!$C$16="All",K740=Dashboard!$C$16)),1,0)</f>
        <v>0</v>
      </c>
      <c r="S740" s="25" t="str">
        <f t="shared" si="3"/>
        <v/>
      </c>
    </row>
    <row r="741" ht="15.75" customHeight="1">
      <c r="A741" s="27"/>
      <c r="B741" s="27"/>
      <c r="C741" s="27"/>
      <c r="D741" s="27"/>
      <c r="E741" s="28"/>
      <c r="F741" s="28" t="str">
        <f t="shared" si="4"/>
        <v/>
      </c>
      <c r="G741" s="29"/>
      <c r="H741" s="27"/>
      <c r="I741" s="29" t="str">
        <f t="shared" si="5"/>
        <v/>
      </c>
      <c r="J741" s="27"/>
      <c r="K741" s="27"/>
      <c r="L741" s="25" t="str">
        <f>IF(A741="","",IF(OR(G741="",AND(G741&gt;=Dashboard!$C$18,G741&lt;=Dashboard!$C$19)),1,0))</f>
        <v/>
      </c>
      <c r="M741" s="24">
        <f>IF(AND(L741=1,OR(Dashboard!$C$13="All",A741=Dashboard!$C$13),OR(Dashboard!$C$14="All",B741=Dashboard!$C$14),OR(Dashboard!$C$15="All",C741=Dashboard!$C$15),OR(Dashboard!$C$16="All",K741=Dashboard!$C$16),OR(Dashboard!$C$17="All",J741=Dashboard!$C$17)),1,0)</f>
        <v>0</v>
      </c>
      <c r="N741" s="24">
        <f>IF(AND(L741=1,OR(Dashboard!$C$13="All",A741=Dashboard!$C$13),OR(Dashboard!$C$14="All",B741=Dashboard!$C$14),OR(Dashboard!$C$16="All",K741=Dashboard!$C$16),OR(Dashboard!$C$17="All",J741=Dashboard!$C$17)),1,0)</f>
        <v>0</v>
      </c>
      <c r="O741" s="24">
        <f>IF(AND(L741=1,OR(Dashboard!$C$13="All",A741=Dashboard!$C$13),OR(Dashboard!$C$15="All",C741=Dashboard!$C$15),OR(Dashboard!$C$16="All",K741=Dashboard!$C$16),OR(Dashboard!$C$17="All",J741=Dashboard!$C$17)),1,0)</f>
        <v>0</v>
      </c>
      <c r="P741" s="24">
        <f>IF(AND(L741=1,OR(Dashboard!$C$13="All",A741=Dashboard!$C$13),OR(Dashboard!$C$14="All",B741=Dashboard!$C$14),OR(Dashboard!$C$15="All",C741=Dashboard!$C$15),OR(Dashboard!$C$17="All",J741=Dashboard!$C$17)),1,0)</f>
        <v>0</v>
      </c>
      <c r="Q741" s="24">
        <f>IF(AND(L741=1,OR(Dashboard!$C$14="All",B741=Dashboard!$C$14),OR(Dashboard!$C$15="All",C741=Dashboard!$C$15),OR(Dashboard!$C$16="All",K741=Dashboard!$C$16),OR(Dashboard!$C$17="All",J741=Dashboard!$C$17)),1,0)</f>
        <v>0</v>
      </c>
      <c r="R741" s="24">
        <f>IF(AND(L741=1,OR(Dashboard!$C$13="All",A741=Dashboard!$C$13),OR(Dashboard!$C$14="All",B741=Dashboard!$C$14),OR(Dashboard!$C$15="All",C741=Dashboard!$C$15),OR(Dashboard!$C$16="All",K741=Dashboard!$C$16)),1,0)</f>
        <v>0</v>
      </c>
      <c r="S741" s="25" t="str">
        <f t="shared" si="3"/>
        <v/>
      </c>
    </row>
    <row r="742" ht="15.75" customHeight="1">
      <c r="A742" s="27"/>
      <c r="B742" s="27"/>
      <c r="C742" s="27"/>
      <c r="D742" s="27"/>
      <c r="E742" s="28"/>
      <c r="F742" s="28" t="str">
        <f t="shared" si="4"/>
        <v/>
      </c>
      <c r="G742" s="29"/>
      <c r="H742" s="27"/>
      <c r="I742" s="29" t="str">
        <f t="shared" si="5"/>
        <v/>
      </c>
      <c r="J742" s="27"/>
      <c r="K742" s="27"/>
      <c r="L742" s="25" t="str">
        <f>IF(A742="","",IF(OR(G742="",AND(G742&gt;=Dashboard!$C$18,G742&lt;=Dashboard!$C$19)),1,0))</f>
        <v/>
      </c>
      <c r="M742" s="24">
        <f>IF(AND(L742=1,OR(Dashboard!$C$13="All",A742=Dashboard!$C$13),OR(Dashboard!$C$14="All",B742=Dashboard!$C$14),OR(Dashboard!$C$15="All",C742=Dashboard!$C$15),OR(Dashboard!$C$16="All",K742=Dashboard!$C$16),OR(Dashboard!$C$17="All",J742=Dashboard!$C$17)),1,0)</f>
        <v>0</v>
      </c>
      <c r="N742" s="24">
        <f>IF(AND(L742=1,OR(Dashboard!$C$13="All",A742=Dashboard!$C$13),OR(Dashboard!$C$14="All",B742=Dashboard!$C$14),OR(Dashboard!$C$16="All",K742=Dashboard!$C$16),OR(Dashboard!$C$17="All",J742=Dashboard!$C$17)),1,0)</f>
        <v>0</v>
      </c>
      <c r="O742" s="24">
        <f>IF(AND(L742=1,OR(Dashboard!$C$13="All",A742=Dashboard!$C$13),OR(Dashboard!$C$15="All",C742=Dashboard!$C$15),OR(Dashboard!$C$16="All",K742=Dashboard!$C$16),OR(Dashboard!$C$17="All",J742=Dashboard!$C$17)),1,0)</f>
        <v>0</v>
      </c>
      <c r="P742" s="24">
        <f>IF(AND(L742=1,OR(Dashboard!$C$13="All",A742=Dashboard!$C$13),OR(Dashboard!$C$14="All",B742=Dashboard!$C$14),OR(Dashboard!$C$15="All",C742=Dashboard!$C$15),OR(Dashboard!$C$17="All",J742=Dashboard!$C$17)),1,0)</f>
        <v>0</v>
      </c>
      <c r="Q742" s="24">
        <f>IF(AND(L742=1,OR(Dashboard!$C$14="All",B742=Dashboard!$C$14),OR(Dashboard!$C$15="All",C742=Dashboard!$C$15),OR(Dashboard!$C$16="All",K742=Dashboard!$C$16),OR(Dashboard!$C$17="All",J742=Dashboard!$C$17)),1,0)</f>
        <v>0</v>
      </c>
      <c r="R742" s="24">
        <f>IF(AND(L742=1,OR(Dashboard!$C$13="All",A742=Dashboard!$C$13),OR(Dashboard!$C$14="All",B742=Dashboard!$C$14),OR(Dashboard!$C$15="All",C742=Dashboard!$C$15),OR(Dashboard!$C$16="All",K742=Dashboard!$C$16)),1,0)</f>
        <v>0</v>
      </c>
      <c r="S742" s="25" t="str">
        <f t="shared" si="3"/>
        <v/>
      </c>
    </row>
    <row r="743" ht="15.75" customHeight="1">
      <c r="A743" s="27"/>
      <c r="B743" s="27"/>
      <c r="C743" s="27"/>
      <c r="D743" s="27"/>
      <c r="E743" s="28"/>
      <c r="F743" s="28" t="str">
        <f t="shared" si="4"/>
        <v/>
      </c>
      <c r="G743" s="29"/>
      <c r="H743" s="27"/>
      <c r="I743" s="29" t="str">
        <f t="shared" si="5"/>
        <v/>
      </c>
      <c r="J743" s="27"/>
      <c r="K743" s="27"/>
      <c r="L743" s="25" t="str">
        <f>IF(A743="","",IF(OR(G743="",AND(G743&gt;=Dashboard!$C$18,G743&lt;=Dashboard!$C$19)),1,0))</f>
        <v/>
      </c>
      <c r="M743" s="24">
        <f>IF(AND(L743=1,OR(Dashboard!$C$13="All",A743=Dashboard!$C$13),OR(Dashboard!$C$14="All",B743=Dashboard!$C$14),OR(Dashboard!$C$15="All",C743=Dashboard!$C$15),OR(Dashboard!$C$16="All",K743=Dashboard!$C$16),OR(Dashboard!$C$17="All",J743=Dashboard!$C$17)),1,0)</f>
        <v>0</v>
      </c>
      <c r="N743" s="24">
        <f>IF(AND(L743=1,OR(Dashboard!$C$13="All",A743=Dashboard!$C$13),OR(Dashboard!$C$14="All",B743=Dashboard!$C$14),OR(Dashboard!$C$16="All",K743=Dashboard!$C$16),OR(Dashboard!$C$17="All",J743=Dashboard!$C$17)),1,0)</f>
        <v>0</v>
      </c>
      <c r="O743" s="24">
        <f>IF(AND(L743=1,OR(Dashboard!$C$13="All",A743=Dashboard!$C$13),OR(Dashboard!$C$15="All",C743=Dashboard!$C$15),OR(Dashboard!$C$16="All",K743=Dashboard!$C$16),OR(Dashboard!$C$17="All",J743=Dashboard!$C$17)),1,0)</f>
        <v>0</v>
      </c>
      <c r="P743" s="24">
        <f>IF(AND(L743=1,OR(Dashboard!$C$13="All",A743=Dashboard!$C$13),OR(Dashboard!$C$14="All",B743=Dashboard!$C$14),OR(Dashboard!$C$15="All",C743=Dashboard!$C$15),OR(Dashboard!$C$17="All",J743=Dashboard!$C$17)),1,0)</f>
        <v>0</v>
      </c>
      <c r="Q743" s="24">
        <f>IF(AND(L743=1,OR(Dashboard!$C$14="All",B743=Dashboard!$C$14),OR(Dashboard!$C$15="All",C743=Dashboard!$C$15),OR(Dashboard!$C$16="All",K743=Dashboard!$C$16),OR(Dashboard!$C$17="All",J743=Dashboard!$C$17)),1,0)</f>
        <v>0</v>
      </c>
      <c r="R743" s="24">
        <f>IF(AND(L743=1,OR(Dashboard!$C$13="All",A743=Dashboard!$C$13),OR(Dashboard!$C$14="All",B743=Dashboard!$C$14),OR(Dashboard!$C$15="All",C743=Dashboard!$C$15),OR(Dashboard!$C$16="All",K743=Dashboard!$C$16)),1,0)</f>
        <v>0</v>
      </c>
      <c r="S743" s="25" t="str">
        <f t="shared" si="3"/>
        <v/>
      </c>
    </row>
    <row r="744" ht="15.75" customHeight="1">
      <c r="A744" s="27"/>
      <c r="B744" s="27"/>
      <c r="C744" s="27"/>
      <c r="D744" s="27"/>
      <c r="E744" s="28"/>
      <c r="F744" s="28" t="str">
        <f t="shared" si="4"/>
        <v/>
      </c>
      <c r="G744" s="29"/>
      <c r="H744" s="27"/>
      <c r="I744" s="29" t="str">
        <f t="shared" si="5"/>
        <v/>
      </c>
      <c r="J744" s="27"/>
      <c r="K744" s="27"/>
      <c r="L744" s="25" t="str">
        <f>IF(A744="","",IF(OR(G744="",AND(G744&gt;=Dashboard!$C$18,G744&lt;=Dashboard!$C$19)),1,0))</f>
        <v/>
      </c>
      <c r="M744" s="24">
        <f>IF(AND(L744=1,OR(Dashboard!$C$13="All",A744=Dashboard!$C$13),OR(Dashboard!$C$14="All",B744=Dashboard!$C$14),OR(Dashboard!$C$15="All",C744=Dashboard!$C$15),OR(Dashboard!$C$16="All",K744=Dashboard!$C$16),OR(Dashboard!$C$17="All",J744=Dashboard!$C$17)),1,0)</f>
        <v>0</v>
      </c>
      <c r="N744" s="24">
        <f>IF(AND(L744=1,OR(Dashboard!$C$13="All",A744=Dashboard!$C$13),OR(Dashboard!$C$14="All",B744=Dashboard!$C$14),OR(Dashboard!$C$16="All",K744=Dashboard!$C$16),OR(Dashboard!$C$17="All",J744=Dashboard!$C$17)),1,0)</f>
        <v>0</v>
      </c>
      <c r="O744" s="24">
        <f>IF(AND(L744=1,OR(Dashboard!$C$13="All",A744=Dashboard!$C$13),OR(Dashboard!$C$15="All",C744=Dashboard!$C$15),OR(Dashboard!$C$16="All",K744=Dashboard!$C$16),OR(Dashboard!$C$17="All",J744=Dashboard!$C$17)),1,0)</f>
        <v>0</v>
      </c>
      <c r="P744" s="24">
        <f>IF(AND(L744=1,OR(Dashboard!$C$13="All",A744=Dashboard!$C$13),OR(Dashboard!$C$14="All",B744=Dashboard!$C$14),OR(Dashboard!$C$15="All",C744=Dashboard!$C$15),OR(Dashboard!$C$17="All",J744=Dashboard!$C$17)),1,0)</f>
        <v>0</v>
      </c>
      <c r="Q744" s="24">
        <f>IF(AND(L744=1,OR(Dashboard!$C$14="All",B744=Dashboard!$C$14),OR(Dashboard!$C$15="All",C744=Dashboard!$C$15),OR(Dashboard!$C$16="All",K744=Dashboard!$C$16),OR(Dashboard!$C$17="All",J744=Dashboard!$C$17)),1,0)</f>
        <v>0</v>
      </c>
      <c r="R744" s="24">
        <f>IF(AND(L744=1,OR(Dashboard!$C$13="All",A744=Dashboard!$C$13),OR(Dashboard!$C$14="All",B744=Dashboard!$C$14),OR(Dashboard!$C$15="All",C744=Dashboard!$C$15),OR(Dashboard!$C$16="All",K744=Dashboard!$C$16)),1,0)</f>
        <v>0</v>
      </c>
      <c r="S744" s="25" t="str">
        <f t="shared" si="3"/>
        <v/>
      </c>
    </row>
    <row r="745" ht="15.75" customHeight="1">
      <c r="A745" s="27"/>
      <c r="B745" s="27"/>
      <c r="C745" s="27"/>
      <c r="D745" s="27"/>
      <c r="E745" s="28"/>
      <c r="F745" s="28" t="str">
        <f t="shared" si="4"/>
        <v/>
      </c>
      <c r="G745" s="29"/>
      <c r="H745" s="27"/>
      <c r="I745" s="29" t="str">
        <f t="shared" si="5"/>
        <v/>
      </c>
      <c r="J745" s="27"/>
      <c r="K745" s="27"/>
      <c r="L745" s="25" t="str">
        <f>IF(A745="","",IF(OR(G745="",AND(G745&gt;=Dashboard!$C$18,G745&lt;=Dashboard!$C$19)),1,0))</f>
        <v/>
      </c>
      <c r="M745" s="24">
        <f>IF(AND(L745=1,OR(Dashboard!$C$13="All",A745=Dashboard!$C$13),OR(Dashboard!$C$14="All",B745=Dashboard!$C$14),OR(Dashboard!$C$15="All",C745=Dashboard!$C$15),OR(Dashboard!$C$16="All",K745=Dashboard!$C$16),OR(Dashboard!$C$17="All",J745=Dashboard!$C$17)),1,0)</f>
        <v>0</v>
      </c>
      <c r="N745" s="24">
        <f>IF(AND(L745=1,OR(Dashboard!$C$13="All",A745=Dashboard!$C$13),OR(Dashboard!$C$14="All",B745=Dashboard!$C$14),OR(Dashboard!$C$16="All",K745=Dashboard!$C$16),OR(Dashboard!$C$17="All",J745=Dashboard!$C$17)),1,0)</f>
        <v>0</v>
      </c>
      <c r="O745" s="24">
        <f>IF(AND(L745=1,OR(Dashboard!$C$13="All",A745=Dashboard!$C$13),OR(Dashboard!$C$15="All",C745=Dashboard!$C$15),OR(Dashboard!$C$16="All",K745=Dashboard!$C$16),OR(Dashboard!$C$17="All",J745=Dashboard!$C$17)),1,0)</f>
        <v>0</v>
      </c>
      <c r="P745" s="24">
        <f>IF(AND(L745=1,OR(Dashboard!$C$13="All",A745=Dashboard!$C$13),OR(Dashboard!$C$14="All",B745=Dashboard!$C$14),OR(Dashboard!$C$15="All",C745=Dashboard!$C$15),OR(Dashboard!$C$17="All",J745=Dashboard!$C$17)),1,0)</f>
        <v>0</v>
      </c>
      <c r="Q745" s="24">
        <f>IF(AND(L745=1,OR(Dashboard!$C$14="All",B745=Dashboard!$C$14),OR(Dashboard!$C$15="All",C745=Dashboard!$C$15),OR(Dashboard!$C$16="All",K745=Dashboard!$C$16),OR(Dashboard!$C$17="All",J745=Dashboard!$C$17)),1,0)</f>
        <v>0</v>
      </c>
      <c r="R745" s="24">
        <f>IF(AND(L745=1,OR(Dashboard!$C$13="All",A745=Dashboard!$C$13),OR(Dashboard!$C$14="All",B745=Dashboard!$C$14),OR(Dashboard!$C$15="All",C745=Dashboard!$C$15),OR(Dashboard!$C$16="All",K745=Dashboard!$C$16)),1,0)</f>
        <v>0</v>
      </c>
      <c r="S745" s="25" t="str">
        <f t="shared" si="3"/>
        <v/>
      </c>
    </row>
    <row r="746" ht="15.75" customHeight="1">
      <c r="A746" s="27"/>
      <c r="B746" s="27"/>
      <c r="C746" s="27"/>
      <c r="D746" s="27"/>
      <c r="E746" s="28"/>
      <c r="F746" s="28" t="str">
        <f t="shared" si="4"/>
        <v/>
      </c>
      <c r="G746" s="29"/>
      <c r="H746" s="27"/>
      <c r="I746" s="29" t="str">
        <f t="shared" si="5"/>
        <v/>
      </c>
      <c r="J746" s="27"/>
      <c r="K746" s="27"/>
      <c r="L746" s="25" t="str">
        <f>IF(A746="","",IF(OR(G746="",AND(G746&gt;=Dashboard!$C$18,G746&lt;=Dashboard!$C$19)),1,0))</f>
        <v/>
      </c>
      <c r="M746" s="24">
        <f>IF(AND(L746=1,OR(Dashboard!$C$13="All",A746=Dashboard!$C$13),OR(Dashboard!$C$14="All",B746=Dashboard!$C$14),OR(Dashboard!$C$15="All",C746=Dashboard!$C$15),OR(Dashboard!$C$16="All",K746=Dashboard!$C$16),OR(Dashboard!$C$17="All",J746=Dashboard!$C$17)),1,0)</f>
        <v>0</v>
      </c>
      <c r="N746" s="24">
        <f>IF(AND(L746=1,OR(Dashboard!$C$13="All",A746=Dashboard!$C$13),OR(Dashboard!$C$14="All",B746=Dashboard!$C$14),OR(Dashboard!$C$16="All",K746=Dashboard!$C$16),OR(Dashboard!$C$17="All",J746=Dashboard!$C$17)),1,0)</f>
        <v>0</v>
      </c>
      <c r="O746" s="24">
        <f>IF(AND(L746=1,OR(Dashboard!$C$13="All",A746=Dashboard!$C$13),OR(Dashboard!$C$15="All",C746=Dashboard!$C$15),OR(Dashboard!$C$16="All",K746=Dashboard!$C$16),OR(Dashboard!$C$17="All",J746=Dashboard!$C$17)),1,0)</f>
        <v>0</v>
      </c>
      <c r="P746" s="24">
        <f>IF(AND(L746=1,OR(Dashboard!$C$13="All",A746=Dashboard!$C$13),OR(Dashboard!$C$14="All",B746=Dashboard!$C$14),OR(Dashboard!$C$15="All",C746=Dashboard!$C$15),OR(Dashboard!$C$17="All",J746=Dashboard!$C$17)),1,0)</f>
        <v>0</v>
      </c>
      <c r="Q746" s="24">
        <f>IF(AND(L746=1,OR(Dashboard!$C$14="All",B746=Dashboard!$C$14),OR(Dashboard!$C$15="All",C746=Dashboard!$C$15),OR(Dashboard!$C$16="All",K746=Dashboard!$C$16),OR(Dashboard!$C$17="All",J746=Dashboard!$C$17)),1,0)</f>
        <v>0</v>
      </c>
      <c r="R746" s="24">
        <f>IF(AND(L746=1,OR(Dashboard!$C$13="All",A746=Dashboard!$C$13),OR(Dashboard!$C$14="All",B746=Dashboard!$C$14),OR(Dashboard!$C$15="All",C746=Dashboard!$C$15),OR(Dashboard!$C$16="All",K746=Dashboard!$C$16)),1,0)</f>
        <v>0</v>
      </c>
      <c r="S746" s="25" t="str">
        <f t="shared" si="3"/>
        <v/>
      </c>
    </row>
    <row r="747" ht="15.75" customHeight="1">
      <c r="A747" s="27"/>
      <c r="B747" s="27"/>
      <c r="C747" s="27"/>
      <c r="D747" s="27"/>
      <c r="E747" s="28"/>
      <c r="F747" s="28" t="str">
        <f t="shared" si="4"/>
        <v/>
      </c>
      <c r="G747" s="29"/>
      <c r="H747" s="27"/>
      <c r="I747" s="29" t="str">
        <f t="shared" si="5"/>
        <v/>
      </c>
      <c r="J747" s="27"/>
      <c r="K747" s="27"/>
      <c r="L747" s="25" t="str">
        <f>IF(A747="","",IF(OR(G747="",AND(G747&gt;=Dashboard!$C$18,G747&lt;=Dashboard!$C$19)),1,0))</f>
        <v/>
      </c>
      <c r="M747" s="24">
        <f>IF(AND(L747=1,OR(Dashboard!$C$13="All",A747=Dashboard!$C$13),OR(Dashboard!$C$14="All",B747=Dashboard!$C$14),OR(Dashboard!$C$15="All",C747=Dashboard!$C$15),OR(Dashboard!$C$16="All",K747=Dashboard!$C$16),OR(Dashboard!$C$17="All",J747=Dashboard!$C$17)),1,0)</f>
        <v>0</v>
      </c>
      <c r="N747" s="24">
        <f>IF(AND(L747=1,OR(Dashboard!$C$13="All",A747=Dashboard!$C$13),OR(Dashboard!$C$14="All",B747=Dashboard!$C$14),OR(Dashboard!$C$16="All",K747=Dashboard!$C$16),OR(Dashboard!$C$17="All",J747=Dashboard!$C$17)),1,0)</f>
        <v>0</v>
      </c>
      <c r="O747" s="24">
        <f>IF(AND(L747=1,OR(Dashboard!$C$13="All",A747=Dashboard!$C$13),OR(Dashboard!$C$15="All",C747=Dashboard!$C$15),OR(Dashboard!$C$16="All",K747=Dashboard!$C$16),OR(Dashboard!$C$17="All",J747=Dashboard!$C$17)),1,0)</f>
        <v>0</v>
      </c>
      <c r="P747" s="24">
        <f>IF(AND(L747=1,OR(Dashboard!$C$13="All",A747=Dashboard!$C$13),OR(Dashboard!$C$14="All",B747=Dashboard!$C$14),OR(Dashboard!$C$15="All",C747=Dashboard!$C$15),OR(Dashboard!$C$17="All",J747=Dashboard!$C$17)),1,0)</f>
        <v>0</v>
      </c>
      <c r="Q747" s="24">
        <f>IF(AND(L747=1,OR(Dashboard!$C$14="All",B747=Dashboard!$C$14),OR(Dashboard!$C$15="All",C747=Dashboard!$C$15),OR(Dashboard!$C$16="All",K747=Dashboard!$C$16),OR(Dashboard!$C$17="All",J747=Dashboard!$C$17)),1,0)</f>
        <v>0</v>
      </c>
      <c r="R747" s="24">
        <f>IF(AND(L747=1,OR(Dashboard!$C$13="All",A747=Dashboard!$C$13),OR(Dashboard!$C$14="All",B747=Dashboard!$C$14),OR(Dashboard!$C$15="All",C747=Dashboard!$C$15),OR(Dashboard!$C$16="All",K747=Dashboard!$C$16)),1,0)</f>
        <v>0</v>
      </c>
      <c r="S747" s="25" t="str">
        <f t="shared" si="3"/>
        <v/>
      </c>
    </row>
    <row r="748" ht="15.75" customHeight="1">
      <c r="A748" s="27"/>
      <c r="B748" s="27"/>
      <c r="C748" s="27"/>
      <c r="D748" s="27"/>
      <c r="E748" s="28"/>
      <c r="F748" s="28" t="str">
        <f t="shared" si="4"/>
        <v/>
      </c>
      <c r="G748" s="29"/>
      <c r="H748" s="27"/>
      <c r="I748" s="29" t="str">
        <f t="shared" si="5"/>
        <v/>
      </c>
      <c r="J748" s="27"/>
      <c r="K748" s="27"/>
      <c r="L748" s="25" t="str">
        <f>IF(A748="","",IF(OR(G748="",AND(G748&gt;=Dashboard!$C$18,G748&lt;=Dashboard!$C$19)),1,0))</f>
        <v/>
      </c>
      <c r="M748" s="24">
        <f>IF(AND(L748=1,OR(Dashboard!$C$13="All",A748=Dashboard!$C$13),OR(Dashboard!$C$14="All",B748=Dashboard!$C$14),OR(Dashboard!$C$15="All",C748=Dashboard!$C$15),OR(Dashboard!$C$16="All",K748=Dashboard!$C$16),OR(Dashboard!$C$17="All",J748=Dashboard!$C$17)),1,0)</f>
        <v>0</v>
      </c>
      <c r="N748" s="24">
        <f>IF(AND(L748=1,OR(Dashboard!$C$13="All",A748=Dashboard!$C$13),OR(Dashboard!$C$14="All",B748=Dashboard!$C$14),OR(Dashboard!$C$16="All",K748=Dashboard!$C$16),OR(Dashboard!$C$17="All",J748=Dashboard!$C$17)),1,0)</f>
        <v>0</v>
      </c>
      <c r="O748" s="24">
        <f>IF(AND(L748=1,OR(Dashboard!$C$13="All",A748=Dashboard!$C$13),OR(Dashboard!$C$15="All",C748=Dashboard!$C$15),OR(Dashboard!$C$16="All",K748=Dashboard!$C$16),OR(Dashboard!$C$17="All",J748=Dashboard!$C$17)),1,0)</f>
        <v>0</v>
      </c>
      <c r="P748" s="24">
        <f>IF(AND(L748=1,OR(Dashboard!$C$13="All",A748=Dashboard!$C$13),OR(Dashboard!$C$14="All",B748=Dashboard!$C$14),OR(Dashboard!$C$15="All",C748=Dashboard!$C$15),OR(Dashboard!$C$17="All",J748=Dashboard!$C$17)),1,0)</f>
        <v>0</v>
      </c>
      <c r="Q748" s="24">
        <f>IF(AND(L748=1,OR(Dashboard!$C$14="All",B748=Dashboard!$C$14),OR(Dashboard!$C$15="All",C748=Dashboard!$C$15),OR(Dashboard!$C$16="All",K748=Dashboard!$C$16),OR(Dashboard!$C$17="All",J748=Dashboard!$C$17)),1,0)</f>
        <v>0</v>
      </c>
      <c r="R748" s="24">
        <f>IF(AND(L748=1,OR(Dashboard!$C$13="All",A748=Dashboard!$C$13),OR(Dashboard!$C$14="All",B748=Dashboard!$C$14),OR(Dashboard!$C$15="All",C748=Dashboard!$C$15),OR(Dashboard!$C$16="All",K748=Dashboard!$C$16)),1,0)</f>
        <v>0</v>
      </c>
      <c r="S748" s="25" t="str">
        <f t="shared" si="3"/>
        <v/>
      </c>
    </row>
    <row r="749" ht="15.75" customHeight="1">
      <c r="A749" s="27"/>
      <c r="B749" s="27"/>
      <c r="C749" s="27"/>
      <c r="D749" s="27"/>
      <c r="E749" s="28"/>
      <c r="F749" s="28" t="str">
        <f t="shared" si="4"/>
        <v/>
      </c>
      <c r="G749" s="29"/>
      <c r="H749" s="27"/>
      <c r="I749" s="29" t="str">
        <f t="shared" si="5"/>
        <v/>
      </c>
      <c r="J749" s="27"/>
      <c r="K749" s="27"/>
      <c r="L749" s="25" t="str">
        <f>IF(A749="","",IF(OR(G749="",AND(G749&gt;=Dashboard!$C$18,G749&lt;=Dashboard!$C$19)),1,0))</f>
        <v/>
      </c>
      <c r="M749" s="24">
        <f>IF(AND(L749=1,OR(Dashboard!$C$13="All",A749=Dashboard!$C$13),OR(Dashboard!$C$14="All",B749=Dashboard!$C$14),OR(Dashboard!$C$15="All",C749=Dashboard!$C$15),OR(Dashboard!$C$16="All",K749=Dashboard!$C$16),OR(Dashboard!$C$17="All",J749=Dashboard!$C$17)),1,0)</f>
        <v>0</v>
      </c>
      <c r="N749" s="24">
        <f>IF(AND(L749=1,OR(Dashboard!$C$13="All",A749=Dashboard!$C$13),OR(Dashboard!$C$14="All",B749=Dashboard!$C$14),OR(Dashboard!$C$16="All",K749=Dashboard!$C$16),OR(Dashboard!$C$17="All",J749=Dashboard!$C$17)),1,0)</f>
        <v>0</v>
      </c>
      <c r="O749" s="24">
        <f>IF(AND(L749=1,OR(Dashboard!$C$13="All",A749=Dashboard!$C$13),OR(Dashboard!$C$15="All",C749=Dashboard!$C$15),OR(Dashboard!$C$16="All",K749=Dashboard!$C$16),OR(Dashboard!$C$17="All",J749=Dashboard!$C$17)),1,0)</f>
        <v>0</v>
      </c>
      <c r="P749" s="24">
        <f>IF(AND(L749=1,OR(Dashboard!$C$13="All",A749=Dashboard!$C$13),OR(Dashboard!$C$14="All",B749=Dashboard!$C$14),OR(Dashboard!$C$15="All",C749=Dashboard!$C$15),OR(Dashboard!$C$17="All",J749=Dashboard!$C$17)),1,0)</f>
        <v>0</v>
      </c>
      <c r="Q749" s="24">
        <f>IF(AND(L749=1,OR(Dashboard!$C$14="All",B749=Dashboard!$C$14),OR(Dashboard!$C$15="All",C749=Dashboard!$C$15),OR(Dashboard!$C$16="All",K749=Dashboard!$C$16),OR(Dashboard!$C$17="All",J749=Dashboard!$C$17)),1,0)</f>
        <v>0</v>
      </c>
      <c r="R749" s="24">
        <f>IF(AND(L749=1,OR(Dashboard!$C$13="All",A749=Dashboard!$C$13),OR(Dashboard!$C$14="All",B749=Dashboard!$C$14),OR(Dashboard!$C$15="All",C749=Dashboard!$C$15),OR(Dashboard!$C$16="All",K749=Dashboard!$C$16)),1,0)</f>
        <v>0</v>
      </c>
      <c r="S749" s="25" t="str">
        <f t="shared" si="3"/>
        <v/>
      </c>
    </row>
    <row r="750" ht="15.75" customHeight="1">
      <c r="A750" s="27"/>
      <c r="B750" s="27"/>
      <c r="C750" s="27"/>
      <c r="D750" s="27"/>
      <c r="E750" s="28"/>
      <c r="F750" s="28" t="str">
        <f t="shared" si="4"/>
        <v/>
      </c>
      <c r="G750" s="29"/>
      <c r="H750" s="27"/>
      <c r="I750" s="29" t="str">
        <f t="shared" si="5"/>
        <v/>
      </c>
      <c r="J750" s="27"/>
      <c r="K750" s="27"/>
      <c r="L750" s="25" t="str">
        <f>IF(A750="","",IF(OR(G750="",AND(G750&gt;=Dashboard!$C$18,G750&lt;=Dashboard!$C$19)),1,0))</f>
        <v/>
      </c>
      <c r="M750" s="24">
        <f>IF(AND(L750=1,OR(Dashboard!$C$13="All",A750=Dashboard!$C$13),OR(Dashboard!$C$14="All",B750=Dashboard!$C$14),OR(Dashboard!$C$15="All",C750=Dashboard!$C$15),OR(Dashboard!$C$16="All",K750=Dashboard!$C$16),OR(Dashboard!$C$17="All",J750=Dashboard!$C$17)),1,0)</f>
        <v>0</v>
      </c>
      <c r="N750" s="24">
        <f>IF(AND(L750=1,OR(Dashboard!$C$13="All",A750=Dashboard!$C$13),OR(Dashboard!$C$14="All",B750=Dashboard!$C$14),OR(Dashboard!$C$16="All",K750=Dashboard!$C$16),OR(Dashboard!$C$17="All",J750=Dashboard!$C$17)),1,0)</f>
        <v>0</v>
      </c>
      <c r="O750" s="24">
        <f>IF(AND(L750=1,OR(Dashboard!$C$13="All",A750=Dashboard!$C$13),OR(Dashboard!$C$15="All",C750=Dashboard!$C$15),OR(Dashboard!$C$16="All",K750=Dashboard!$C$16),OR(Dashboard!$C$17="All",J750=Dashboard!$C$17)),1,0)</f>
        <v>0</v>
      </c>
      <c r="P750" s="24">
        <f>IF(AND(L750=1,OR(Dashboard!$C$13="All",A750=Dashboard!$C$13),OR(Dashboard!$C$14="All",B750=Dashboard!$C$14),OR(Dashboard!$C$15="All",C750=Dashboard!$C$15),OR(Dashboard!$C$17="All",J750=Dashboard!$C$17)),1,0)</f>
        <v>0</v>
      </c>
      <c r="Q750" s="24">
        <f>IF(AND(L750=1,OR(Dashboard!$C$14="All",B750=Dashboard!$C$14),OR(Dashboard!$C$15="All",C750=Dashboard!$C$15),OR(Dashboard!$C$16="All",K750=Dashboard!$C$16),OR(Dashboard!$C$17="All",J750=Dashboard!$C$17)),1,0)</f>
        <v>0</v>
      </c>
      <c r="R750" s="24">
        <f>IF(AND(L750=1,OR(Dashboard!$C$13="All",A750=Dashboard!$C$13),OR(Dashboard!$C$14="All",B750=Dashboard!$C$14),OR(Dashboard!$C$15="All",C750=Dashboard!$C$15),OR(Dashboard!$C$16="All",K750=Dashboard!$C$16)),1,0)</f>
        <v>0</v>
      </c>
      <c r="S750" s="25" t="str">
        <f t="shared" si="3"/>
        <v/>
      </c>
    </row>
    <row r="751" ht="15.75" customHeight="1"/>
    <row r="752" ht="15.75" customHeight="1">
      <c r="A752" s="30" t="s">
        <v>670</v>
      </c>
      <c r="B752" s="31"/>
      <c r="C752" s="30" t="s">
        <v>671</v>
      </c>
      <c r="D752" s="30">
        <f>SUM(D2:D750)</f>
        <v>1299300</v>
      </c>
      <c r="E752" s="30" t="s">
        <v>672</v>
      </c>
      <c r="F752" s="32" t="str">
        <f>SUM(F2:F750)</f>
        <v>#VALUE!</v>
      </c>
    </row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750">
      <formula1>$U$3:$U$39</formula1>
    </dataValidation>
    <dataValidation type="list" allowBlank="1" sqref="K2:K750">
      <formula1>"Pending,In Progress,Completed,Delayed"</formula1>
    </dataValidation>
    <dataValidation type="list" allowBlank="1" sqref="J2:J750">
      <formula1>"Not Paid,Advance Payment,Fully Paid"</formula1>
    </dataValidation>
    <dataValidation type="list" allowBlank="1" sqref="A2:A750">
      <formula1>$T$3:$T$199</formula1>
    </dataValidation>
    <dataValidation type="list" allowBlank="1" sqref="C2:C750">
      <formula1>$V$3:$V$402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11" width="14.0"/>
    <col customWidth="1" min="12" max="12" width="3.0"/>
    <col customWidth="1" min="13" max="13" width="22.0"/>
    <col customWidth="1" min="14" max="14" width="10.0"/>
    <col customWidth="1" min="15" max="26" width="8.71"/>
  </cols>
  <sheetData>
    <row r="1" ht="39.75" customHeight="1">
      <c r="B1" s="33" t="s">
        <v>673</v>
      </c>
      <c r="C1" s="34"/>
      <c r="D1" s="34"/>
      <c r="E1" s="34"/>
      <c r="F1" s="34"/>
      <c r="G1" s="34"/>
      <c r="H1" s="34"/>
      <c r="I1" s="34"/>
      <c r="J1" s="34"/>
      <c r="K1" s="34"/>
    </row>
    <row r="2" ht="19.5" customHeight="1">
      <c r="B2" s="35" t="s">
        <v>674</v>
      </c>
    </row>
    <row r="4" ht="25.5" customHeight="1">
      <c r="B4" s="36" t="s">
        <v>675</v>
      </c>
      <c r="C4" s="37"/>
      <c r="D4" s="36" t="s">
        <v>676</v>
      </c>
      <c r="E4" s="37"/>
      <c r="F4" s="36" t="s">
        <v>677</v>
      </c>
      <c r="G4" s="37"/>
      <c r="H4" s="36" t="s">
        <v>678</v>
      </c>
      <c r="I4" s="37"/>
      <c r="J4" s="36" t="s">
        <v>679</v>
      </c>
      <c r="K4" s="37"/>
    </row>
    <row r="5" ht="19.5" customHeight="1">
      <c r="B5" s="38">
        <f>SUMIFS(Data!D2:D750,Data!M2:M750,1)</f>
        <v>1299300</v>
      </c>
      <c r="C5" s="39"/>
      <c r="D5" s="38">
        <f>COUNTIFS(Data!M2:M750,1)</f>
        <v>566</v>
      </c>
      <c r="E5" s="39"/>
      <c r="F5" s="40" t="str">
        <f>$C$14</f>
        <v>All</v>
      </c>
      <c r="G5" s="39"/>
      <c r="H5" s="40" t="str">
        <f>$C$13</f>
        <v>All</v>
      </c>
      <c r="I5" s="39"/>
      <c r="J5" s="40" t="str">
        <f>TEXT($C$18,"mmm dd")&amp;" - "&amp;TEXT($C$19,"mmm dd, yyyy")</f>
        <v>يناير 01 - ديسمبر 31, 2030</v>
      </c>
      <c r="K5" s="39"/>
    </row>
    <row r="6" ht="19.5" customHeight="1">
      <c r="B6" s="41"/>
      <c r="C6" s="42"/>
      <c r="D6" s="41"/>
      <c r="E6" s="42"/>
      <c r="F6" s="41"/>
      <c r="G6" s="42"/>
      <c r="H6" s="41"/>
      <c r="I6" s="42"/>
      <c r="J6" s="41"/>
      <c r="K6" s="42"/>
    </row>
    <row r="8" ht="21.75" customHeight="1">
      <c r="B8" s="43" t="s">
        <v>680</v>
      </c>
    </row>
    <row r="13" ht="18.0" customHeight="1">
      <c r="B13" s="44" t="s">
        <v>0</v>
      </c>
      <c r="C13" s="45" t="s">
        <v>27</v>
      </c>
      <c r="M13" s="46" t="s">
        <v>681</v>
      </c>
    </row>
    <row r="14" ht="18.0" customHeight="1">
      <c r="B14" s="44" t="s">
        <v>1</v>
      </c>
      <c r="C14" s="45" t="s">
        <v>27</v>
      </c>
      <c r="M14" s="47" t="s">
        <v>682</v>
      </c>
      <c r="N14" s="47" t="s">
        <v>3</v>
      </c>
    </row>
    <row r="15" ht="18.0" customHeight="1">
      <c r="B15" s="44" t="s">
        <v>2</v>
      </c>
      <c r="C15" s="45" t="s">
        <v>27</v>
      </c>
      <c r="M15" s="48" t="s">
        <v>24</v>
      </c>
      <c r="N15" s="48">
        <f>SUMIFS(Data!D2:D750,Data!C2:C750,M15,Data!N2:N750,1)</f>
        <v>2</v>
      </c>
    </row>
    <row r="16" ht="18.0" customHeight="1">
      <c r="B16" s="44" t="s">
        <v>683</v>
      </c>
      <c r="C16" s="45" t="s">
        <v>27</v>
      </c>
      <c r="M16" s="48" t="s">
        <v>624</v>
      </c>
      <c r="N16" s="48">
        <f>SUMIFS(Data!D2:D750,Data!C2:C750,M16,Data!N2:N750,1)</f>
        <v>0</v>
      </c>
    </row>
    <row r="17" ht="18.0" customHeight="1">
      <c r="B17" s="44" t="s">
        <v>9</v>
      </c>
      <c r="C17" s="45" t="s">
        <v>27</v>
      </c>
      <c r="M17" s="48" t="s">
        <v>35</v>
      </c>
      <c r="N17" s="48">
        <f>SUMIFS(Data!D2:D750,Data!C2:C750,M17,Data!N2:N750,1)</f>
        <v>1000</v>
      </c>
    </row>
    <row r="18" ht="18.0" customHeight="1">
      <c r="B18" s="44" t="s">
        <v>684</v>
      </c>
      <c r="C18" s="49">
        <v>43831.0</v>
      </c>
      <c r="M18" s="48" t="s">
        <v>42</v>
      </c>
      <c r="N18" s="48">
        <f>SUMIFS(Data!D2:D750,Data!C2:C750,M18,Data!N2:N750,1)</f>
        <v>93500</v>
      </c>
    </row>
    <row r="19" ht="18.0" customHeight="1">
      <c r="B19" s="44" t="s">
        <v>685</v>
      </c>
      <c r="C19" s="49">
        <v>47848.0</v>
      </c>
      <c r="M19" s="48" t="s">
        <v>47</v>
      </c>
      <c r="N19" s="48">
        <f>SUMIFS(Data!D2:D750,Data!C2:C750,M19,Data!N2:N750,1)</f>
        <v>18</v>
      </c>
    </row>
    <row r="20">
      <c r="M20" s="48" t="s">
        <v>52</v>
      </c>
      <c r="N20" s="48">
        <f>SUMIFS(Data!D2:D750,Data!C2:C750,M20,Data!N2:N750,1)</f>
        <v>37</v>
      </c>
    </row>
    <row r="21" ht="15.75" customHeight="1">
      <c r="M21" s="48" t="s">
        <v>57</v>
      </c>
      <c r="N21" s="48">
        <f>SUMIFS(Data!D2:D750,Data!C2:C750,M21,Data!N2:N750,1)</f>
        <v>30</v>
      </c>
    </row>
    <row r="22" ht="15.75" customHeight="1">
      <c r="B22" s="50" t="s">
        <v>686</v>
      </c>
      <c r="F22" s="50" t="s">
        <v>687</v>
      </c>
      <c r="M22" s="48" t="s">
        <v>60</v>
      </c>
      <c r="N22" s="48">
        <f>SUMIFS(Data!D2:D750,Data!C2:C750,M22,Data!N2:N750,1)</f>
        <v>39</v>
      </c>
    </row>
    <row r="23" ht="15.75" customHeight="1">
      <c r="M23" s="48" t="s">
        <v>65</v>
      </c>
      <c r="N23" s="48">
        <f>SUMIFS(Data!D2:D750,Data!C2:C750,M23,Data!N2:N750,1)</f>
        <v>52500</v>
      </c>
    </row>
    <row r="24" ht="15.75" customHeight="1">
      <c r="M24" s="48" t="s">
        <v>69</v>
      </c>
      <c r="N24" s="48">
        <f>SUMIFS(Data!D2:D750,Data!C2:C750,M24,Data!N2:N750,1)</f>
        <v>5</v>
      </c>
    </row>
    <row r="25" ht="15.75" customHeight="1">
      <c r="M25" s="48" t="s">
        <v>73</v>
      </c>
      <c r="N25" s="48">
        <f>SUMIFS(Data!D2:D750,Data!C2:C750,M25,Data!N2:N750,1)</f>
        <v>40</v>
      </c>
    </row>
    <row r="26" ht="15.75" customHeight="1">
      <c r="M26" s="48" t="s">
        <v>76</v>
      </c>
      <c r="N26" s="48">
        <f>SUMIFS(Data!D2:D750,Data!C2:C750,M26,Data!N2:N750,1)</f>
        <v>39</v>
      </c>
    </row>
    <row r="27" ht="15.75" customHeight="1">
      <c r="M27" s="48" t="s">
        <v>79</v>
      </c>
      <c r="N27" s="48">
        <f>SUMIFS(Data!D2:D750,Data!C2:C750,M27,Data!N2:N750,1)</f>
        <v>166</v>
      </c>
    </row>
    <row r="28" ht="15.75" customHeight="1">
      <c r="M28" s="48" t="s">
        <v>82</v>
      </c>
      <c r="N28" s="48">
        <f>SUMIFS(Data!D2:D750,Data!C2:C750,M28,Data!N2:N750,1)</f>
        <v>17</v>
      </c>
    </row>
    <row r="29" ht="15.75" customHeight="1">
      <c r="M29" s="48" t="s">
        <v>86</v>
      </c>
      <c r="N29" s="48">
        <f>SUMIFS(Data!D2:D750,Data!C2:C750,M29,Data!N2:N750,1)</f>
        <v>2</v>
      </c>
    </row>
    <row r="30" ht="15.75" customHeight="1">
      <c r="M30" s="48" t="s">
        <v>91</v>
      </c>
      <c r="N30" s="48">
        <f>SUMIFS(Data!D2:D750,Data!C2:C750,M30,Data!N2:N750,1)</f>
        <v>9</v>
      </c>
    </row>
    <row r="31" ht="15.75" customHeight="1">
      <c r="M31" s="48" t="s">
        <v>97</v>
      </c>
      <c r="N31" s="48">
        <f>SUMIFS(Data!D2:D750,Data!C2:C750,M31,Data!N2:N750,1)</f>
        <v>45698</v>
      </c>
    </row>
    <row r="32" ht="15.75" customHeight="1">
      <c r="M32" s="48" t="s">
        <v>100</v>
      </c>
      <c r="N32" s="48">
        <f>SUMIFS(Data!D2:D750,Data!C2:C750,M32,Data!N2:N750,1)</f>
        <v>1069</v>
      </c>
    </row>
    <row r="33" ht="15.75" customHeight="1">
      <c r="M33" s="48" t="s">
        <v>104</v>
      </c>
      <c r="N33" s="48">
        <f>SUMIFS(Data!D2:D750,Data!C2:C750,M33,Data!N2:N750,1)</f>
        <v>447</v>
      </c>
    </row>
    <row r="34" ht="15.75" customHeight="1">
      <c r="M34" s="48" t="s">
        <v>108</v>
      </c>
      <c r="N34" s="48">
        <f>SUMIFS(Data!D2:D750,Data!C2:C750,M34,Data!N2:N750,1)</f>
        <v>37282</v>
      </c>
    </row>
    <row r="35" ht="15.75" customHeight="1">
      <c r="M35" s="48" t="s">
        <v>119</v>
      </c>
      <c r="N35" s="48">
        <f>SUMIFS(Data!D2:D750,Data!C2:C750,M35,Data!N2:N750,1)</f>
        <v>1</v>
      </c>
    </row>
    <row r="36" ht="15.75" customHeight="1">
      <c r="M36" s="48" t="s">
        <v>123</v>
      </c>
      <c r="N36" s="48">
        <f>SUMIFS(Data!D2:D750,Data!C2:C750,M36,Data!N2:N750,1)</f>
        <v>2</v>
      </c>
    </row>
    <row r="37" ht="15.75" customHeight="1">
      <c r="M37" s="48" t="s">
        <v>127</v>
      </c>
      <c r="N37" s="48">
        <f>SUMIFS(Data!D2:D750,Data!C2:C750,M37,Data!N2:N750,1)</f>
        <v>50</v>
      </c>
    </row>
    <row r="38" ht="15.75" customHeight="1">
      <c r="M38" s="48" t="s">
        <v>142</v>
      </c>
      <c r="N38" s="48">
        <f>SUMIFS(Data!D2:D750,Data!C2:C750,M38,Data!N2:N750,1)</f>
        <v>2</v>
      </c>
    </row>
    <row r="39" ht="15.75" customHeight="1">
      <c r="M39" s="48" t="s">
        <v>149</v>
      </c>
      <c r="N39" s="48">
        <f>SUMIFS(Data!D2:D750,Data!C2:C750,M39,Data!N2:N750,1)</f>
        <v>2500</v>
      </c>
    </row>
    <row r="40" ht="15.75" customHeight="1">
      <c r="M40" s="48" t="s">
        <v>153</v>
      </c>
      <c r="N40" s="48">
        <f>SUMIFS(Data!D2:D750,Data!C2:C750,M40,Data!N2:N750,1)</f>
        <v>186</v>
      </c>
    </row>
    <row r="41" ht="15.75" customHeight="1">
      <c r="M41" s="48" t="s">
        <v>157</v>
      </c>
      <c r="N41" s="48">
        <f>SUMIFS(Data!D2:D750,Data!C2:C750,M41,Data!N2:N750,1)</f>
        <v>2</v>
      </c>
    </row>
    <row r="42" ht="15.75" customHeight="1">
      <c r="M42" s="48" t="s">
        <v>161</v>
      </c>
      <c r="N42" s="48">
        <f>SUMIFS(Data!D2:D750,Data!C2:C750,M42,Data!N2:N750,1)</f>
        <v>2</v>
      </c>
    </row>
    <row r="43" ht="15.75" customHeight="1">
      <c r="M43" s="48" t="s">
        <v>164</v>
      </c>
      <c r="N43" s="48">
        <f>SUMIFS(Data!D2:D750,Data!C2:C750,M43,Data!N2:N750,1)</f>
        <v>4</v>
      </c>
    </row>
    <row r="44" ht="15.75" customHeight="1">
      <c r="M44" s="48" t="s">
        <v>167</v>
      </c>
      <c r="N44" s="48">
        <f>SUMIFS(Data!D2:D750,Data!C2:C750,M44,Data!N2:N750,1)</f>
        <v>2</v>
      </c>
    </row>
    <row r="45" ht="15.75" customHeight="1">
      <c r="M45" s="48" t="s">
        <v>170</v>
      </c>
      <c r="N45" s="48">
        <f>SUMIFS(Data!D2:D750,Data!C2:C750,M45,Data!N2:N750,1)</f>
        <v>2</v>
      </c>
    </row>
    <row r="46" ht="15.75" customHeight="1">
      <c r="M46" s="48" t="s">
        <v>173</v>
      </c>
      <c r="N46" s="48">
        <f>SUMIFS(Data!D2:D750,Data!C2:C750,M46,Data!N2:N750,1)</f>
        <v>1</v>
      </c>
    </row>
    <row r="47" ht="15.75" customHeight="1">
      <c r="M47" s="48" t="s">
        <v>176</v>
      </c>
      <c r="N47" s="48">
        <f>SUMIFS(Data!D2:D750,Data!C2:C750,M47,Data!N2:N750,1)</f>
        <v>1</v>
      </c>
    </row>
    <row r="48" ht="15.75" customHeight="1">
      <c r="M48" s="48" t="s">
        <v>179</v>
      </c>
      <c r="N48" s="48">
        <f>SUMIFS(Data!D2:D750,Data!C2:C750,M48,Data!N2:N750,1)</f>
        <v>1</v>
      </c>
    </row>
    <row r="49" ht="15.75" customHeight="1">
      <c r="M49" s="48" t="s">
        <v>182</v>
      </c>
      <c r="N49" s="48">
        <f>SUMIFS(Data!D2:D750,Data!C2:C750,M49,Data!N2:N750,1)</f>
        <v>3000</v>
      </c>
    </row>
    <row r="50" ht="15.75" customHeight="1">
      <c r="M50" s="48" t="s">
        <v>187</v>
      </c>
      <c r="N50" s="48">
        <f>SUMIFS(Data!D2:D750,Data!C2:C750,M50,Data!N2:N750,1)</f>
        <v>1</v>
      </c>
    </row>
    <row r="51" ht="15.75" customHeight="1">
      <c r="M51" s="48" t="s">
        <v>190</v>
      </c>
      <c r="N51" s="48">
        <f>SUMIFS(Data!D2:D750,Data!C2:C750,M51,Data!N2:N750,1)</f>
        <v>1</v>
      </c>
    </row>
    <row r="52" ht="15.75" customHeight="1">
      <c r="M52" s="48" t="s">
        <v>193</v>
      </c>
      <c r="N52" s="48">
        <f>SUMIFS(Data!D2:D750,Data!C2:C750,M52,Data!N2:N750,1)</f>
        <v>1</v>
      </c>
    </row>
    <row r="53" ht="15.75" customHeight="1">
      <c r="M53" s="48" t="s">
        <v>196</v>
      </c>
      <c r="N53" s="48">
        <f>SUMIFS(Data!D2:D750,Data!C2:C750,M53,Data!N2:N750,1)</f>
        <v>32</v>
      </c>
    </row>
    <row r="54" ht="15.75" customHeight="1">
      <c r="M54" s="48" t="s">
        <v>198</v>
      </c>
      <c r="N54" s="48">
        <f>SUMIFS(Data!D2:D750,Data!C2:C750,M54,Data!N2:N750,1)</f>
        <v>555</v>
      </c>
    </row>
    <row r="55" ht="15.75" customHeight="1">
      <c r="M55" s="48" t="s">
        <v>201</v>
      </c>
      <c r="N55" s="48">
        <f>SUMIFS(Data!D2:D750,Data!C2:C750,M55,Data!N2:N750,1)</f>
        <v>4</v>
      </c>
    </row>
    <row r="56" ht="15.75" customHeight="1">
      <c r="M56" s="48" t="s">
        <v>204</v>
      </c>
      <c r="N56" s="48">
        <f>SUMIFS(Data!D2:D750,Data!C2:C750,M56,Data!N2:N750,1)</f>
        <v>2</v>
      </c>
    </row>
    <row r="57" ht="15.75" customHeight="1">
      <c r="M57" s="48" t="s">
        <v>206</v>
      </c>
      <c r="N57" s="48">
        <f>SUMIFS(Data!D2:D750,Data!C2:C750,M57,Data!N2:N750,1)</f>
        <v>2</v>
      </c>
    </row>
    <row r="58" ht="15.75" customHeight="1">
      <c r="M58" s="48" t="s">
        <v>208</v>
      </c>
      <c r="N58" s="48">
        <f>SUMIFS(Data!D2:D750,Data!C2:C750,M58,Data!N2:N750,1)</f>
        <v>1</v>
      </c>
    </row>
    <row r="59" ht="15.75" customHeight="1">
      <c r="M59" s="48" t="s">
        <v>210</v>
      </c>
      <c r="N59" s="48">
        <f>SUMIFS(Data!D2:D750,Data!C2:C750,M59,Data!N2:N750,1)</f>
        <v>2</v>
      </c>
    </row>
    <row r="60" ht="15.75" customHeight="1">
      <c r="M60" s="48" t="s">
        <v>212</v>
      </c>
      <c r="N60" s="48">
        <f>SUMIFS(Data!D2:D750,Data!C2:C750,M60,Data!N2:N750,1)</f>
        <v>1</v>
      </c>
    </row>
    <row r="61" ht="15.75" customHeight="1">
      <c r="C61" s="50" t="s">
        <v>688</v>
      </c>
      <c r="H61" s="50" t="s">
        <v>689</v>
      </c>
      <c r="M61" s="48" t="s">
        <v>215</v>
      </c>
      <c r="N61" s="48">
        <f>SUMIFS(Data!D2:D750,Data!C2:C750,M61,Data!N2:N750,1)</f>
        <v>2</v>
      </c>
    </row>
    <row r="62" ht="15.75" customHeight="1">
      <c r="M62" s="48" t="s">
        <v>218</v>
      </c>
      <c r="N62" s="48">
        <f>SUMIFS(Data!D2:D750,Data!C2:C750,M62,Data!N2:N750,1)</f>
        <v>2</v>
      </c>
    </row>
    <row r="63" ht="15.75" customHeight="1">
      <c r="M63" s="48" t="s">
        <v>221</v>
      </c>
      <c r="N63" s="48">
        <f>SUMIFS(Data!D2:D750,Data!C2:C750,M63,Data!N2:N750,1)</f>
        <v>1</v>
      </c>
    </row>
    <row r="64" ht="15.75" customHeight="1">
      <c r="M64" s="48" t="s">
        <v>189</v>
      </c>
      <c r="N64" s="48">
        <f>SUMIFS(Data!D2:D750,Data!C2:C750,M64,Data!N2:N750,1)</f>
        <v>2</v>
      </c>
    </row>
    <row r="65" ht="15.75" customHeight="1">
      <c r="M65" s="51" t="s">
        <v>228</v>
      </c>
      <c r="N65" s="48">
        <f>SUMIFS(Data!D2:D750,Data!C2:C750,M65,Data!N2:N750,1)</f>
        <v>14</v>
      </c>
    </row>
    <row r="66" ht="15.75" customHeight="1">
      <c r="M66" s="48" t="s">
        <v>232</v>
      </c>
      <c r="N66" s="48">
        <f>SUMIFS(Data!D2:D750,Data!C2:C750,M66,Data!N2:N750,1)</f>
        <v>18</v>
      </c>
    </row>
    <row r="67" ht="15.75" customHeight="1">
      <c r="M67" s="48" t="s">
        <v>242</v>
      </c>
      <c r="N67" s="48">
        <f>SUMIFS(Data!D2:D750,Data!C2:C750,M67,Data!N2:N750,1)</f>
        <v>36</v>
      </c>
    </row>
    <row r="68" ht="15.75" customHeight="1">
      <c r="M68" s="48" t="s">
        <v>203</v>
      </c>
      <c r="N68" s="48">
        <f>SUMIFS(Data!D2:D750,Data!C2:C750,M68,Data!N2:N750,1)</f>
        <v>29</v>
      </c>
    </row>
    <row r="69" ht="15.75" customHeight="1">
      <c r="M69" s="48" t="s">
        <v>246</v>
      </c>
      <c r="N69" s="48">
        <f>SUMIFS(Data!D2:D750,Data!C2:C750,M69,Data!N2:N750,1)</f>
        <v>16</v>
      </c>
    </row>
    <row r="70" ht="15.75" customHeight="1">
      <c r="M70" s="48" t="s">
        <v>249</v>
      </c>
      <c r="N70" s="48">
        <f>SUMIFS(Data!D2:D750,Data!C2:C750,M70,Data!N2:N750,1)</f>
        <v>100000</v>
      </c>
    </row>
    <row r="71" ht="15.75" customHeight="1">
      <c r="M71" s="48" t="s">
        <v>252</v>
      </c>
      <c r="N71" s="48">
        <f>SUMIFS(Data!D2:D750,Data!C2:C750,M71,Data!N2:N750,1)</f>
        <v>40000</v>
      </c>
    </row>
    <row r="72" ht="15.75" customHeight="1">
      <c r="M72" s="48" t="s">
        <v>255</v>
      </c>
      <c r="N72" s="48">
        <f>SUMIFS(Data!D2:D750,Data!C2:C750,M72,Data!N2:N750,1)</f>
        <v>2000</v>
      </c>
    </row>
    <row r="73" ht="15.75" customHeight="1">
      <c r="M73" s="48" t="s">
        <v>258</v>
      </c>
      <c r="N73" s="48">
        <f>SUMIFS(Data!D2:D750,Data!C2:C750,M73,Data!N2:N750,1)</f>
        <v>1</v>
      </c>
    </row>
    <row r="74" ht="15.75" customHeight="1">
      <c r="M74" s="48" t="s">
        <v>260</v>
      </c>
      <c r="N74" s="48">
        <f>SUMIFS(Data!D2:D750,Data!C2:C750,M74,Data!N2:N750,1)</f>
        <v>6</v>
      </c>
    </row>
    <row r="75" ht="15.75" customHeight="1">
      <c r="M75" s="48" t="s">
        <v>263</v>
      </c>
      <c r="N75" s="48">
        <f>SUMIFS(Data!D2:D750,Data!C2:C750,M75,Data!N2:N750,1)</f>
        <v>2</v>
      </c>
    </row>
    <row r="76" ht="15.75" customHeight="1">
      <c r="M76" s="48" t="s">
        <v>269</v>
      </c>
      <c r="N76" s="48">
        <f>SUMIFS(Data!D2:D750,Data!C2:C750,M76,Data!N2:N750,1)</f>
        <v>0</v>
      </c>
    </row>
    <row r="77" ht="15.75" customHeight="1">
      <c r="M77" s="48" t="s">
        <v>273</v>
      </c>
      <c r="N77" s="48">
        <f>SUMIFS(Data!D2:D750,Data!C2:C750,M77,Data!N2:N750,1)</f>
        <v>9405</v>
      </c>
    </row>
    <row r="78" ht="15.75" customHeight="1">
      <c r="M78" s="48" t="s">
        <v>275</v>
      </c>
      <c r="N78" s="48">
        <f>SUMIFS(Data!D2:D750,Data!C2:C750,M78,Data!N2:N750,1)</f>
        <v>24820</v>
      </c>
    </row>
    <row r="79" ht="15.75" customHeight="1">
      <c r="M79" s="48" t="s">
        <v>277</v>
      </c>
      <c r="N79" s="48">
        <f>SUMIFS(Data!D2:D750,Data!C2:C750,M79,Data!N2:N750,1)</f>
        <v>110</v>
      </c>
    </row>
    <row r="80" ht="15.75" customHeight="1">
      <c r="M80" s="48" t="s">
        <v>280</v>
      </c>
      <c r="N80" s="48">
        <f>SUMIFS(Data!D2:D750,Data!C2:C750,M80,Data!N2:N750,1)</f>
        <v>2</v>
      </c>
    </row>
    <row r="81" ht="15.75" customHeight="1">
      <c r="M81" s="48" t="s">
        <v>283</v>
      </c>
      <c r="N81" s="48">
        <f>SUMIFS(Data!D2:D750,Data!C2:C750,M81,Data!N2:N750,1)</f>
        <v>1</v>
      </c>
    </row>
    <row r="82" ht="15.75" customHeight="1">
      <c r="M82" s="48" t="s">
        <v>288</v>
      </c>
      <c r="N82" s="48">
        <f>SUMIFS(Data!D2:D750,Data!C2:C750,M82,Data!N2:N750,1)</f>
        <v>1</v>
      </c>
    </row>
    <row r="83" ht="15.75" customHeight="1">
      <c r="M83" s="48" t="s">
        <v>294</v>
      </c>
      <c r="N83" s="48">
        <f>SUMIFS(Data!D2:D750,Data!C2:C750,M83,Data!N2:N750,1)</f>
        <v>2</v>
      </c>
    </row>
    <row r="84" ht="15.75" customHeight="1">
      <c r="B84" s="50" t="s">
        <v>690</v>
      </c>
      <c r="M84" s="48" t="s">
        <v>296</v>
      </c>
      <c r="N84" s="48">
        <f>SUMIFS(Data!D2:D750,Data!C2:C750,M84,Data!N2:N750,1)</f>
        <v>2</v>
      </c>
    </row>
    <row r="85" ht="15.75" customHeight="1">
      <c r="M85" s="48" t="s">
        <v>299</v>
      </c>
      <c r="N85" s="48">
        <f>SUMIFS(Data!D2:D750,Data!C2:C750,M85,Data!N2:N750,1)</f>
        <v>10</v>
      </c>
    </row>
    <row r="86" ht="15.75" customHeight="1">
      <c r="M86" s="48" t="s">
        <v>302</v>
      </c>
      <c r="N86" s="48">
        <f>SUMIFS(Data!D2:D750,Data!C2:C750,M86,Data!N2:N750,1)</f>
        <v>29</v>
      </c>
    </row>
    <row r="87" ht="15.75" customHeight="1">
      <c r="M87" s="48" t="s">
        <v>308</v>
      </c>
      <c r="N87" s="48">
        <f>SUMIFS(Data!D2:D750,Data!C2:C750,M87,Data!N2:N750,1)</f>
        <v>2</v>
      </c>
    </row>
    <row r="88" ht="15.75" customHeight="1">
      <c r="M88" s="48" t="s">
        <v>313</v>
      </c>
      <c r="N88" s="48">
        <f>SUMIFS(Data!D2:D750,Data!C2:C750,M88,Data!N2:N750,1)</f>
        <v>1</v>
      </c>
    </row>
    <row r="89" ht="15.75" customHeight="1">
      <c r="M89" s="48" t="s">
        <v>316</v>
      </c>
      <c r="N89" s="48">
        <f>SUMIFS(Data!D2:D750,Data!C2:C750,M89,Data!N2:N750,1)</f>
        <v>1</v>
      </c>
    </row>
    <row r="90" ht="15.75" customHeight="1">
      <c r="M90" s="48" t="s">
        <v>265</v>
      </c>
      <c r="N90" s="48">
        <f>SUMIFS(Data!D2:D750,Data!C2:C750,M90,Data!N2:N750,1)</f>
        <v>1</v>
      </c>
    </row>
    <row r="91" ht="15.75" customHeight="1">
      <c r="M91" s="48" t="s">
        <v>323</v>
      </c>
      <c r="N91" s="48">
        <f>SUMIFS(Data!D2:D750,Data!C2:C750,M91,Data!N2:N750,1)</f>
        <v>1</v>
      </c>
    </row>
    <row r="92" ht="15.75" customHeight="1">
      <c r="M92" s="48" t="s">
        <v>326</v>
      </c>
      <c r="N92" s="48">
        <f>SUMIFS(Data!D2:D750,Data!C2:C750,M92,Data!N2:N750,1)</f>
        <v>7</v>
      </c>
    </row>
    <row r="93" ht="15.75" customHeight="1">
      <c r="M93" s="48" t="s">
        <v>328</v>
      </c>
      <c r="N93" s="48">
        <f>SUMIFS(Data!D2:D750,Data!C2:C750,M93,Data!N2:N750,1)</f>
        <v>2</v>
      </c>
    </row>
    <row r="94" ht="15.75" customHeight="1">
      <c r="M94" s="48" t="s">
        <v>331</v>
      </c>
      <c r="N94" s="48">
        <f>SUMIFS(Data!D2:D750,Data!C2:C750,M94,Data!N2:N750,1)</f>
        <v>13000</v>
      </c>
    </row>
    <row r="95" ht="15.75" customHeight="1">
      <c r="M95" s="48" t="s">
        <v>334</v>
      </c>
      <c r="N95" s="48">
        <f>SUMIFS(Data!D2:D750,Data!C2:C750,M95,Data!N2:N750,1)</f>
        <v>1500</v>
      </c>
    </row>
    <row r="96" ht="15.75" customHeight="1">
      <c r="M96" s="48" t="s">
        <v>338</v>
      </c>
      <c r="N96" s="48">
        <f>SUMIFS(Data!D2:D750,Data!C2:C750,M96,Data!N2:N750,1)</f>
        <v>1300</v>
      </c>
    </row>
    <row r="97" ht="15.75" customHeight="1">
      <c r="M97" s="48" t="s">
        <v>341</v>
      </c>
      <c r="N97" s="48">
        <f>SUMIFS(Data!D2:D750,Data!C2:C750,M97,Data!N2:N750,1)</f>
        <v>2</v>
      </c>
    </row>
    <row r="98" ht="15.75" customHeight="1">
      <c r="M98" s="48" t="s">
        <v>305</v>
      </c>
      <c r="N98" s="48">
        <f>SUMIFS(Data!D2:D750,Data!C2:C750,M98,Data!N2:N750,1)</f>
        <v>1100</v>
      </c>
    </row>
    <row r="99" ht="15.75" customHeight="1">
      <c r="M99" s="48" t="s">
        <v>272</v>
      </c>
      <c r="N99" s="48">
        <f>SUMIFS(Data!D2:D750,Data!C2:C750,M99,Data!N2:N750,1)</f>
        <v>1</v>
      </c>
    </row>
    <row r="100" ht="15.75" customHeight="1">
      <c r="M100" s="48" t="s">
        <v>357</v>
      </c>
      <c r="N100" s="48">
        <f>SUMIFS(Data!D2:D750,Data!C2:C750,M100,Data!N2:N750,1)</f>
        <v>2000</v>
      </c>
    </row>
    <row r="101" ht="15.75" customHeight="1">
      <c r="M101" s="48" t="s">
        <v>361</v>
      </c>
      <c r="N101" s="48">
        <f>SUMIFS(Data!D2:D750,Data!C2:C750,M101,Data!N2:N750,1)</f>
        <v>300</v>
      </c>
    </row>
    <row r="102" ht="15.75" customHeight="1">
      <c r="M102" s="48" t="s">
        <v>368</v>
      </c>
      <c r="N102" s="48">
        <f>SUMIFS(Data!D2:D750,Data!C2:C750,M102,Data!N2:N750,1)</f>
        <v>2</v>
      </c>
    </row>
    <row r="103" ht="15.75" customHeight="1">
      <c r="M103" s="48" t="s">
        <v>371</v>
      </c>
      <c r="N103" s="48">
        <f>SUMIFS(Data!D2:D750,Data!C2:C750,M103,Data!N2:N750,1)</f>
        <v>24820</v>
      </c>
    </row>
    <row r="104" ht="15.75" customHeight="1">
      <c r="M104" s="48" t="s">
        <v>384</v>
      </c>
      <c r="N104" s="48">
        <f>SUMIFS(Data!D2:D750,Data!C2:C750,M104,Data!N2:N750,1)</f>
        <v>1</v>
      </c>
    </row>
    <row r="105" ht="15.75" customHeight="1">
      <c r="B105" s="43" t="s">
        <v>691</v>
      </c>
      <c r="M105" s="48" t="s">
        <v>389</v>
      </c>
      <c r="N105" s="48">
        <f>SUMIFS(Data!D2:D750,Data!C2:C750,M105,Data!N2:N750,1)</f>
        <v>700</v>
      </c>
    </row>
    <row r="106" ht="15.75" customHeight="1">
      <c r="B106" s="52" t="s">
        <v>0</v>
      </c>
      <c r="C106" s="52" t="s">
        <v>1</v>
      </c>
      <c r="D106" s="52" t="s">
        <v>2</v>
      </c>
      <c r="E106" s="52" t="s">
        <v>3</v>
      </c>
      <c r="F106" s="52" t="s">
        <v>4</v>
      </c>
      <c r="G106" s="52" t="s">
        <v>5</v>
      </c>
      <c r="H106" s="52" t="s">
        <v>6</v>
      </c>
      <c r="I106" s="52" t="s">
        <v>7</v>
      </c>
      <c r="J106" s="52" t="s">
        <v>8</v>
      </c>
      <c r="K106" s="52" t="s">
        <v>9</v>
      </c>
      <c r="L106" s="52" t="s">
        <v>10</v>
      </c>
      <c r="M106" s="48" t="s">
        <v>392</v>
      </c>
      <c r="N106" s="48">
        <f>SUMIFS(Data!D2:D750,Data!C2:C750,M106,Data!N2:N750,1)</f>
        <v>1</v>
      </c>
    </row>
    <row r="107" ht="15.75" customHeight="1">
      <c r="B107" s="53" t="str">
        <f t="array" ref="B107">IFERROR(INDEX(Data!$A$2:$A$750,SMALL(Data!$S$2:$S$750,1)),"")</f>
        <v>FRA</v>
      </c>
      <c r="C107" s="53" t="str">
        <f t="array" ref="C107">IFERROR(IF(INDEX(Data!$B$2:$B$750,SMALL(Data!$S$2:$S$750,1))=0,"",INDEX(Data!$B$2:$B$750,SMALL(Data!$S$2:$S$750,1))),"")</f>
        <v>Wireless dynamics</v>
      </c>
      <c r="D107" s="53" t="str">
        <f t="array" ref="D107">IFERROR(INDEX(Data!$C$2:$C$750,SMALL(Data!$S$2:$S$750,1)),"")</f>
        <v>TC 56 handheld</v>
      </c>
      <c r="E107" s="53">
        <f t="array" ref="E107">IFERROR(IF(INDEX(Data!$D$2:$D$750,SMALL(Data!$S$2:$S$750,1))=0,"",INDEX(Data!$D$2:$D$750,SMALL(Data!$S$2:$S$750,1))),"")</f>
        <v>2</v>
      </c>
      <c r="F107" s="54">
        <f t="array" ref="F107">IFERROR(IF(INDEX(Data!$E$2:$E$750,SMALL(Data!$S$2:$S$750,1))=0,"",INDEX(Data!$E$2:$E$750,SMALL(Data!$S$2:$S$750,1))),"")</f>
        <v>2</v>
      </c>
      <c r="G107" s="54">
        <f t="array" ref="G107">IFERROR(INDEX(Data!$F$2:$F$750,SMALL(Data!$S$2:$S$750,1)),"")</f>
        <v>4</v>
      </c>
      <c r="H107" s="55">
        <f t="array" ref="H107">IFERROR(IF(INDEX(Data!$G$2:$G$750,SMALL(Data!$S$2:$S$750,1))=0,"",INDEX(Data!$G$2:$G$750,SMALL(Data!$S$2:$S$750,1))),"")</f>
        <v>46144</v>
      </c>
      <c r="I107" s="53">
        <f t="array" ref="I107">IFERROR(IF(INDEX(Data!$H$2:$H$750,SMALL(Data!$S$2:$S$750,1))=0,"",INDEX(Data!$H$2:$H$750,SMALL(Data!$S$2:$S$750,1))),"")</f>
        <v>1</v>
      </c>
      <c r="J107" s="55">
        <f t="array" ref="J107">IFERROR(INDEX(Data!$I$2:$I$750,SMALL(Data!$S$2:$S$750,1)),"")</f>
        <v>46151</v>
      </c>
      <c r="K107" s="53" t="str">
        <f t="array" ref="K107">IFERROR(INDEX(Data!$J$2:$J$750,SMALL(Data!$S$2:$S$750,1)),"")</f>
        <v>Not Paid</v>
      </c>
      <c r="L107" s="53" t="str">
        <f t="array" ref="L107">IFERROR(INDEX(Data!$K$2:$K$750,SMALL(Data!$S$2:$S$750,1)),"")</f>
        <v>Completed</v>
      </c>
      <c r="M107" s="48" t="s">
        <v>395</v>
      </c>
      <c r="N107" s="48">
        <f>SUMIFS(Data!D2:D750,Data!C2:C750,M107,Data!N2:N750,1)</f>
        <v>50000</v>
      </c>
    </row>
    <row r="108" ht="15.75" customHeight="1">
      <c r="B108" s="56" t="str">
        <f t="array" ref="B108">IFERROR(INDEX(Data!$A$2:$A$750,SMALL(Data!$S$2:$S$750,2)),"")</f>
        <v>FRA</v>
      </c>
      <c r="C108" s="56" t="str">
        <f t="array" ref="C108">IFERROR(IF(INDEX(Data!$B$2:$B$750,SMALL(Data!$S$2:$S$750,2))=0,"",INDEX(Data!$B$2:$B$750,SMALL(Data!$S$2:$S$750,2))),"")</f>
        <v>Fusion</v>
      </c>
      <c r="D108" s="56" t="str">
        <f t="array" ref="D108">IFERROR(INDEX(Data!$C$2:$C$750,SMALL(Data!$S$2:$S$750,2)),"")</f>
        <v>[5118.001.01] ID MAX.U500i-EU Compact UHF Access Control Re</v>
      </c>
      <c r="E108" s="56">
        <f t="array" ref="E108">IFERROR(IF(INDEX(Data!$D$2:$D$750,SMALL(Data!$S$2:$S$750,2))=0,"",INDEX(Data!$D$2:$D$750,SMALL(Data!$S$2:$S$750,2))),"")</f>
        <v>2</v>
      </c>
      <c r="F108" s="57">
        <f t="array" ref="F108">IFERROR(IF(INDEX(Data!$E$2:$E$750,SMALL(Data!$S$2:$S$750,2))=0,"",INDEX(Data!$E$2:$E$750,SMALL(Data!$S$2:$S$750,2))),"")</f>
        <v>5</v>
      </c>
      <c r="G108" s="57">
        <f t="array" ref="G108">IFERROR(INDEX(Data!$F$2:$F$750,SMALL(Data!$S$2:$S$750,2)),"")</f>
        <v>10</v>
      </c>
      <c r="H108" s="58">
        <f t="array" ref="H108">IFERROR(IF(INDEX(Data!$G$2:$G$750,SMALL(Data!$S$2:$S$750,2))=0,"",INDEX(Data!$G$2:$G$750,SMALL(Data!$S$2:$S$750,2))),"")</f>
        <v>46145</v>
      </c>
      <c r="I108" s="56">
        <f t="array" ref="I108">IFERROR(IF(INDEX(Data!$H$2:$H$750,SMALL(Data!$S$2:$S$750,2))=0,"",INDEX(Data!$H$2:$H$750,SMALL(Data!$S$2:$S$750,2))),"")</f>
        <v>2</v>
      </c>
      <c r="J108" s="58">
        <f t="array" ref="J108">IFERROR(INDEX(Data!$I$2:$I$750,SMALL(Data!$S$2:$S$750,2)),"")</f>
        <v>46159</v>
      </c>
      <c r="K108" s="56" t="str">
        <f t="array" ref="K108">IFERROR(INDEX(Data!$J$2:$J$750,SMALL(Data!$S$2:$S$750,2)),"")</f>
        <v>Advance Payment</v>
      </c>
      <c r="L108" s="56" t="str">
        <f t="array" ref="L108">IFERROR(INDEX(Data!$K$2:$K$750,SMALL(Data!$S$2:$S$750,2)),"")</f>
        <v>Pending</v>
      </c>
      <c r="M108" s="48" t="s">
        <v>398</v>
      </c>
      <c r="N108" s="48">
        <f>SUMIFS(Data!D2:D750,Data!C2:C750,M108,Data!N2:N750,1)</f>
        <v>100</v>
      </c>
    </row>
    <row r="109" ht="15.75" customHeight="1">
      <c r="B109" s="53" t="str">
        <f t="array" ref="B109">IFERROR(INDEX(Data!$A$2:$A$750,SMALL(Data!$S$2:$S$750,3)),"")</f>
        <v>FRA</v>
      </c>
      <c r="C109" s="53" t="str">
        <f t="array" ref="C109">IFERROR(IF(INDEX(Data!$B$2:$B$750,SMALL(Data!$S$2:$S$750,3))=0,"",INDEX(Data!$B$2:$B$750,SMALL(Data!$S$2:$S$750,3))),"")</f>
        <v>Metalcraft</v>
      </c>
      <c r="D109" s="53" t="str">
        <f t="array" ref="D109">IFERROR(INDEX(Data!$C$2:$C$750,SMALL(Data!$S$2:$S$750,3)),"")</f>
        <v>EU Universal tags</v>
      </c>
      <c r="E109" s="53">
        <f t="array" ref="E109">IFERROR(IF(INDEX(Data!$D$2:$D$750,SMALL(Data!$S$2:$S$750,3))=0,"",INDEX(Data!$D$2:$D$750,SMALL(Data!$S$2:$S$750,3))),"")</f>
        <v>1000</v>
      </c>
      <c r="F109" s="54">
        <f t="array" ref="F109">IFERROR(IF(INDEX(Data!$E$2:$E$750,SMALL(Data!$S$2:$S$750,3))=0,"",INDEX(Data!$E$2:$E$750,SMALL(Data!$S$2:$S$750,3))),"")</f>
        <v>6</v>
      </c>
      <c r="G109" s="54">
        <f t="array" ref="G109">IFERROR(INDEX(Data!$F$2:$F$750,SMALL(Data!$S$2:$S$750,3)),"")</f>
        <v>6000</v>
      </c>
      <c r="H109" s="55">
        <f t="array" ref="H109">IFERROR(IF(INDEX(Data!$G$2:$G$750,SMALL(Data!$S$2:$S$750,3))=0,"",INDEX(Data!$G$2:$G$750,SMALL(Data!$S$2:$S$750,3))),"")</f>
        <v>46146</v>
      </c>
      <c r="I109" s="53">
        <f t="array" ref="I109">IFERROR(IF(INDEX(Data!$H$2:$H$750,SMALL(Data!$S$2:$S$750,3))=0,"",INDEX(Data!$H$2:$H$750,SMALL(Data!$S$2:$S$750,3))),"")</f>
        <v>4</v>
      </c>
      <c r="J109" s="55">
        <f t="array" ref="J109">IFERROR(INDEX(Data!$I$2:$I$750,SMALL(Data!$S$2:$S$750,3)),"")</f>
        <v>46174</v>
      </c>
      <c r="K109" s="53" t="str">
        <f t="array" ref="K109">IFERROR(INDEX(Data!$J$2:$J$750,SMALL(Data!$S$2:$S$750,3)),"")</f>
        <v>Fully Paid</v>
      </c>
      <c r="L109" s="53" t="str">
        <f t="array" ref="L109">IFERROR(INDEX(Data!$K$2:$K$750,SMALL(Data!$S$2:$S$750,3)),"")</f>
        <v>In Progress</v>
      </c>
      <c r="M109" s="48" t="s">
        <v>402</v>
      </c>
      <c r="N109" s="48">
        <f>SUMIFS(Data!D2:D750,Data!C2:C750,M109,Data!N2:N750,1)</f>
        <v>46</v>
      </c>
    </row>
    <row r="110" ht="15.75" customHeight="1">
      <c r="B110" s="56" t="str">
        <f t="array" ref="B110">IFERROR(INDEX(Data!$A$2:$A$750,SMALL(Data!$S$2:$S$750,4)),"")</f>
        <v>FRA</v>
      </c>
      <c r="C110" s="56" t="str">
        <f t="array" ref="C110">IFERROR(IF(INDEX(Data!$B$2:$B$750,SMALL(Data!$S$2:$S$750,4))=0,"",INDEX(Data!$B$2:$B$750,SMALL(Data!$S$2:$S$750,4))),"")</f>
        <v>Dipole</v>
      </c>
      <c r="D110" s="56" t="str">
        <f t="array" ref="D110">IFERROR(INDEX(Data!$C$2:$C$750,SMALL(Data!$S$2:$S$750,4)),"")</f>
        <v>Dogbone</v>
      </c>
      <c r="E110" s="56">
        <f t="array" ref="E110">IFERROR(IF(INDEX(Data!$D$2:$D$750,SMALL(Data!$S$2:$S$750,4))=0,"",INDEX(Data!$D$2:$D$750,SMALL(Data!$S$2:$S$750,4))),"")</f>
        <v>3500</v>
      </c>
      <c r="F110" s="57">
        <f t="array" ref="F110">IFERROR(IF(INDEX(Data!$E$2:$E$750,SMALL(Data!$S$2:$S$750,4))=0,"",INDEX(Data!$E$2:$E$750,SMALL(Data!$S$2:$S$750,4))),"")</f>
        <v>7</v>
      </c>
      <c r="G110" s="57">
        <f t="array" ref="G110">IFERROR(INDEX(Data!$F$2:$F$750,SMALL(Data!$S$2:$S$750,4)),"")</f>
        <v>24500</v>
      </c>
      <c r="H110" s="58">
        <f t="array" ref="H110">IFERROR(IF(INDEX(Data!$G$2:$G$750,SMALL(Data!$S$2:$S$750,4))=0,"",INDEX(Data!$G$2:$G$750,SMALL(Data!$S$2:$S$750,4))),"")</f>
        <v>46147</v>
      </c>
      <c r="I110" s="56">
        <f t="array" ref="I110">IFERROR(IF(INDEX(Data!$H$2:$H$750,SMALL(Data!$S$2:$S$750,4))=0,"",INDEX(Data!$H$2:$H$750,SMALL(Data!$S$2:$S$750,4))),"")</f>
        <v>6</v>
      </c>
      <c r="J110" s="58">
        <f t="array" ref="J110">IFERROR(INDEX(Data!$I$2:$I$750,SMALL(Data!$S$2:$S$750,4)),"")</f>
        <v>46189</v>
      </c>
      <c r="K110" s="56" t="str">
        <f t="array" ref="K110">IFERROR(INDEX(Data!$J$2:$J$750,SMALL(Data!$S$2:$S$750,4)),"")</f>
        <v>Advance Payment</v>
      </c>
      <c r="L110" s="56" t="str">
        <f t="array" ref="L110">IFERROR(INDEX(Data!$K$2:$K$750,SMALL(Data!$S$2:$S$750,4)),"")</f>
        <v>Completed</v>
      </c>
      <c r="M110" s="48" t="s">
        <v>404</v>
      </c>
      <c r="N110" s="48">
        <f>SUMIFS(Data!D2:D750,Data!C2:C750,M110,Data!N2:N750,1)</f>
        <v>6</v>
      </c>
    </row>
    <row r="111" ht="15.75" customHeight="1">
      <c r="B111" s="53" t="str">
        <f t="array" ref="B111">IFERROR(INDEX(Data!$A$2:$A$750,SMALL(Data!$S$2:$S$750,5)),"")</f>
        <v>FRA</v>
      </c>
      <c r="C111" s="53" t="str">
        <f t="array" ref="C111">IFERROR(IF(INDEX(Data!$B$2:$B$750,SMALL(Data!$S$2:$S$750,5))=0,"",INDEX(Data!$B$2:$B$750,SMALL(Data!$S$2:$S$750,5))),"")</f>
        <v>Jarltech</v>
      </c>
      <c r="D111" s="53" t="str">
        <f t="array" ref="D111">IFERROR(INDEX(Data!$C$2:$C$750,SMALL(Data!$S$2:$S$750,5)),"")</f>
        <v>FX9600 Reader</v>
      </c>
      <c r="E111" s="53">
        <f t="array" ref="E111">IFERROR(IF(INDEX(Data!$D$2:$D$750,SMALL(Data!$S$2:$S$750,5))=0,"",INDEX(Data!$D$2:$D$750,SMALL(Data!$S$2:$S$750,5))),"")</f>
        <v>18</v>
      </c>
      <c r="F111" s="54">
        <f t="array" ref="F111">IFERROR(IF(INDEX(Data!$E$2:$E$750,SMALL(Data!$S$2:$S$750,5))=0,"",INDEX(Data!$E$2:$E$750,SMALL(Data!$S$2:$S$750,5))),"")</f>
        <v>8</v>
      </c>
      <c r="G111" s="54">
        <f t="array" ref="G111">IFERROR(INDEX(Data!$F$2:$F$750,SMALL(Data!$S$2:$S$750,5)),"")</f>
        <v>144</v>
      </c>
      <c r="H111" s="55">
        <f t="array" ref="H111">IFERROR(IF(INDEX(Data!$G$2:$G$750,SMALL(Data!$S$2:$S$750,5))=0,"",INDEX(Data!$G$2:$G$750,SMALL(Data!$S$2:$S$750,5))),"")</f>
        <v>46148</v>
      </c>
      <c r="I111" s="53">
        <f t="array" ref="I111">IFERROR(IF(INDEX(Data!$H$2:$H$750,SMALL(Data!$S$2:$S$750,5))=0,"",INDEX(Data!$H$2:$H$750,SMALL(Data!$S$2:$S$750,5))),"")</f>
        <v>8</v>
      </c>
      <c r="J111" s="55">
        <f t="array" ref="J111">IFERROR(INDEX(Data!$I$2:$I$750,SMALL(Data!$S$2:$S$750,5)),"")</f>
        <v>46204</v>
      </c>
      <c r="K111" s="53" t="str">
        <f t="array" ref="K111">IFERROR(INDEX(Data!$J$2:$J$750,SMALL(Data!$S$2:$S$750,5)),"")</f>
        <v>Fully Paid</v>
      </c>
      <c r="L111" s="53" t="str">
        <f t="array" ref="L111">IFERROR(INDEX(Data!$K$2:$K$750,SMALL(Data!$S$2:$S$750,5)),"")</f>
        <v>Delayed</v>
      </c>
      <c r="M111" s="48" t="s">
        <v>406</v>
      </c>
      <c r="N111" s="48">
        <f>SUMIFS(Data!D2:D750,Data!C2:C750,M111,Data!N2:N750,1)</f>
        <v>1</v>
      </c>
    </row>
    <row r="112" ht="15.75" customHeight="1">
      <c r="B112" s="56" t="str">
        <f t="array" ref="B112">IFERROR(INDEX(Data!$A$2:$A$750,SMALL(Data!$S$2:$S$750,6)),"")</f>
        <v>FRA</v>
      </c>
      <c r="C112" s="56" t="str">
        <f t="array" ref="C112">IFERROR(IF(INDEX(Data!$B$2:$B$750,SMALL(Data!$S$2:$S$750,6))=0,"",INDEX(Data!$B$2:$B$750,SMALL(Data!$S$2:$S$750,6))),"")</f>
        <v>Jarltech</v>
      </c>
      <c r="D112" s="56" t="str">
        <f t="array" ref="D112">IFERROR(INDEX(Data!$C$2:$C$750,SMALL(Data!$S$2:$S$750,6)),"")</f>
        <v>AN480 Antenna</v>
      </c>
      <c r="E112" s="56">
        <f t="array" ref="E112">IFERROR(IF(INDEX(Data!$D$2:$D$750,SMALL(Data!$S$2:$S$750,6))=0,"",INDEX(Data!$D$2:$D$750,SMALL(Data!$S$2:$S$750,6))),"")</f>
        <v>37</v>
      </c>
      <c r="F112" s="57">
        <f t="array" ref="F112">IFERROR(IF(INDEX(Data!$E$2:$E$750,SMALL(Data!$S$2:$S$750,6))=0,"",INDEX(Data!$E$2:$E$750,SMALL(Data!$S$2:$S$750,6))),"")</f>
        <v>2</v>
      </c>
      <c r="G112" s="57">
        <f t="array" ref="G112">IFERROR(INDEX(Data!$F$2:$F$750,SMALL(Data!$S$2:$S$750,6)),"")</f>
        <v>74</v>
      </c>
      <c r="H112" s="58">
        <f t="array" ref="H112">IFERROR(IF(INDEX(Data!$G$2:$G$750,SMALL(Data!$S$2:$S$750,6))=0,"",INDEX(Data!$G$2:$G$750,SMALL(Data!$S$2:$S$750,6))),"")</f>
        <v>46149</v>
      </c>
      <c r="I112" s="56">
        <f t="array" ref="I112">IFERROR(IF(INDEX(Data!$H$2:$H$750,SMALL(Data!$S$2:$S$750,6))=0,"",INDEX(Data!$H$2:$H$750,SMALL(Data!$S$2:$S$750,6))),"")</f>
        <v>9</v>
      </c>
      <c r="J112" s="58">
        <f t="array" ref="J112">IFERROR(INDEX(Data!$I$2:$I$750,SMALL(Data!$S$2:$S$750,6)),"")</f>
        <v>46212</v>
      </c>
      <c r="K112" s="56" t="str">
        <f t="array" ref="K112">IFERROR(INDEX(Data!$J$2:$J$750,SMALL(Data!$S$2:$S$750,6)),"")</f>
        <v>Not Paid</v>
      </c>
      <c r="L112" s="56" t="str">
        <f t="array" ref="L112">IFERROR(INDEX(Data!$K$2:$K$750,SMALL(Data!$S$2:$S$750,6)),"")</f>
        <v>Pending</v>
      </c>
      <c r="M112" s="48" t="s">
        <v>310</v>
      </c>
      <c r="N112" s="48">
        <f>SUMIFS(Data!D2:D750,Data!C2:C750,M112,Data!N2:N750,1)</f>
        <v>100</v>
      </c>
    </row>
    <row r="113" ht="15.75" customHeight="1">
      <c r="B113" s="53" t="str">
        <f t="array" ref="B113">IFERROR(INDEX(Data!$A$2:$A$750,SMALL(Data!$S$2:$S$750,7)),"")</f>
        <v>FRA</v>
      </c>
      <c r="C113" s="53" t="str">
        <f t="array" ref="C113">IFERROR(IF(INDEX(Data!$B$2:$B$750,SMALL(Data!$S$2:$S$750,7))=0,"",INDEX(Data!$B$2:$B$750,SMALL(Data!$S$2:$S$750,7))),"")</f>
        <v>Local</v>
      </c>
      <c r="D113" s="53" t="str">
        <f t="array" ref="D113">IFERROR(INDEX(Data!$C$2:$C$750,SMALL(Data!$S$2:$S$750,7)),"")</f>
        <v>Protection cap</v>
      </c>
      <c r="E113" s="53">
        <f t="array" ref="E113">IFERROR(IF(INDEX(Data!$D$2:$D$750,SMALL(Data!$S$2:$S$750,7))=0,"",INDEX(Data!$D$2:$D$750,SMALL(Data!$S$2:$S$750,7))),"")</f>
        <v>18</v>
      </c>
      <c r="F113" s="54">
        <f t="array" ref="F113">IFERROR(IF(INDEX(Data!$E$2:$E$750,SMALL(Data!$S$2:$S$750,7))=0,"",INDEX(Data!$E$2:$E$750,SMALL(Data!$S$2:$S$750,7))),"")</f>
        <v>15</v>
      </c>
      <c r="G113" s="54">
        <f t="array" ref="G113">IFERROR(INDEX(Data!$F$2:$F$750,SMALL(Data!$S$2:$S$750,7)),"")</f>
        <v>270</v>
      </c>
      <c r="H113" s="55">
        <f t="array" ref="H113">IFERROR(IF(INDEX(Data!$G$2:$G$750,SMALL(Data!$S$2:$S$750,7))=0,"",INDEX(Data!$G$2:$G$750,SMALL(Data!$S$2:$S$750,7))),"")</f>
        <v>46150</v>
      </c>
      <c r="I113" s="53">
        <f t="array" ref="I113">IFERROR(IF(INDEX(Data!$H$2:$H$750,SMALL(Data!$S$2:$S$750,7))=0,"",INDEX(Data!$H$2:$H$750,SMALL(Data!$S$2:$S$750,7))),"")</f>
        <v>4</v>
      </c>
      <c r="J113" s="55">
        <f t="array" ref="J113">IFERROR(INDEX(Data!$I$2:$I$750,SMALL(Data!$S$2:$S$750,7)),"")</f>
        <v>46178</v>
      </c>
      <c r="K113" s="53" t="str">
        <f t="array" ref="K113">IFERROR(INDEX(Data!$J$2:$J$750,SMALL(Data!$S$2:$S$750,7)),"")</f>
        <v>Advance Payment</v>
      </c>
      <c r="L113" s="53" t="str">
        <f t="array" ref="L113">IFERROR(INDEX(Data!$K$2:$K$750,SMALL(Data!$S$2:$S$750,7)),"")</f>
        <v>Completed</v>
      </c>
      <c r="M113" s="48" t="s">
        <v>411</v>
      </c>
      <c r="N113" s="48">
        <f>SUMIFS(Data!D2:D750,Data!C2:C750,M113,Data!N2:N750,1)</f>
        <v>100</v>
      </c>
    </row>
    <row r="114" ht="15.75" customHeight="1">
      <c r="B114" s="56" t="str">
        <f t="array" ref="B114">IFERROR(INDEX(Data!$A$2:$A$750,SMALL(Data!$S$2:$S$750,8)),"")</f>
        <v>FRA</v>
      </c>
      <c r="C114" s="56" t="str">
        <f t="array" ref="C114">IFERROR(IF(INDEX(Data!$B$2:$B$750,SMALL(Data!$S$2:$S$750,8))=0,"",INDEX(Data!$B$2:$B$750,SMALL(Data!$S$2:$S$750,8))),"")</f>
        <v>Local</v>
      </c>
      <c r="D114" s="56" t="str">
        <f t="array" ref="D114">IFERROR(INDEX(Data!$C$2:$C$750,SMALL(Data!$S$2:$S$750,8)),"")</f>
        <v>Antenna Stand</v>
      </c>
      <c r="E114" s="56">
        <f t="array" ref="E114">IFERROR(IF(INDEX(Data!$D$2:$D$750,SMALL(Data!$S$2:$S$750,8))=0,"",INDEX(Data!$D$2:$D$750,SMALL(Data!$S$2:$S$750,8))),"")</f>
        <v>37</v>
      </c>
      <c r="F114" s="57">
        <f t="array" ref="F114">IFERROR(IF(INDEX(Data!$E$2:$E$750,SMALL(Data!$S$2:$S$750,8))=0,"",INDEX(Data!$E$2:$E$750,SMALL(Data!$S$2:$S$750,8))),"")</f>
        <v>45</v>
      </c>
      <c r="G114" s="57">
        <f t="array" ref="G114">IFERROR(INDEX(Data!$F$2:$F$750,SMALL(Data!$S$2:$S$750,8)),"")</f>
        <v>1665</v>
      </c>
      <c r="H114" s="58">
        <f t="array" ref="H114">IFERROR(IF(INDEX(Data!$G$2:$G$750,SMALL(Data!$S$2:$S$750,8))=0,"",INDEX(Data!$G$2:$G$750,SMALL(Data!$S$2:$S$750,8))),"")</f>
        <v>46151</v>
      </c>
      <c r="I114" s="56">
        <f t="array" ref="I114">IFERROR(IF(INDEX(Data!$H$2:$H$750,SMALL(Data!$S$2:$S$750,8))=0,"",INDEX(Data!$H$2:$H$750,SMALL(Data!$S$2:$S$750,8))),"")</f>
        <v>3</v>
      </c>
      <c r="J114" s="58">
        <f t="array" ref="J114">IFERROR(INDEX(Data!$I$2:$I$750,SMALL(Data!$S$2:$S$750,8)),"")</f>
        <v>46172</v>
      </c>
      <c r="K114" s="56" t="str">
        <f t="array" ref="K114">IFERROR(INDEX(Data!$J$2:$J$750,SMALL(Data!$S$2:$S$750,8)),"")</f>
        <v>Fully Paid</v>
      </c>
      <c r="L114" s="56" t="str">
        <f t="array" ref="L114">IFERROR(INDEX(Data!$K$2:$K$750,SMALL(Data!$S$2:$S$750,8)),"")</f>
        <v>Pending</v>
      </c>
      <c r="M114" s="48" t="s">
        <v>414</v>
      </c>
      <c r="N114" s="48">
        <f>SUMIFS(Data!D2:D750,Data!C2:C750,M114,Data!N2:N750,1)</f>
        <v>1</v>
      </c>
    </row>
    <row r="115" ht="15.75" customHeight="1">
      <c r="B115" s="53" t="str">
        <f t="array" ref="B115">IFERROR(INDEX(Data!$A$2:$A$750,SMALL(Data!$S$2:$S$750,9)),"")</f>
        <v>El Kasr</v>
      </c>
      <c r="C115" s="53" t="str">
        <f t="array" ref="C115">IFERROR(IF(INDEX(Data!$B$2:$B$750,SMALL(Data!$S$2:$S$750,9))=0,"",INDEX(Data!$B$2:$B$750,SMALL(Data!$S$2:$S$750,9))),"")</f>
        <v>Feig</v>
      </c>
      <c r="D115" s="53" t="str">
        <f t="array" ref="D115">IFERROR(INDEX(Data!$C$2:$C$750,SMALL(Data!$S$2:$S$750,9)),"")</f>
        <v>Jewelry tags</v>
      </c>
      <c r="E115" s="53">
        <f t="array" ref="E115">IFERROR(IF(INDEX(Data!$D$2:$D$750,SMALL(Data!$S$2:$S$750,9))=0,"",INDEX(Data!$D$2:$D$750,SMALL(Data!$S$2:$S$750,9))),"")</f>
        <v>40000</v>
      </c>
      <c r="F115" s="54">
        <f t="array" ref="F115">IFERROR(IF(INDEX(Data!$E$2:$E$750,SMALL(Data!$S$2:$S$750,9))=0,"",INDEX(Data!$E$2:$E$750,SMALL(Data!$S$2:$S$750,9))),"")</f>
        <v>24</v>
      </c>
      <c r="G115" s="54">
        <f t="array" ref="G115">IFERROR(INDEX(Data!$F$2:$F$750,SMALL(Data!$S$2:$S$750,9)),"")</f>
        <v>960000</v>
      </c>
      <c r="H115" s="55">
        <f t="array" ref="H115">IFERROR(IF(INDEX(Data!$G$2:$G$750,SMALL(Data!$S$2:$S$750,9))=0,"",INDEX(Data!$G$2:$G$750,SMALL(Data!$S$2:$S$750,9))),"")</f>
        <v>46152</v>
      </c>
      <c r="I115" s="53">
        <f t="array" ref="I115">IFERROR(IF(INDEX(Data!$H$2:$H$750,SMALL(Data!$S$2:$S$750,9))=0,"",INDEX(Data!$H$2:$H$750,SMALL(Data!$S$2:$S$750,9))),"")</f>
        <v>1</v>
      </c>
      <c r="J115" s="55">
        <f t="array" ref="J115">IFERROR(INDEX(Data!$I$2:$I$750,SMALL(Data!$S$2:$S$750,9)),"")</f>
        <v>46159</v>
      </c>
      <c r="K115" s="53" t="str">
        <f t="array" ref="K115">IFERROR(INDEX(Data!$J$2:$J$750,SMALL(Data!$S$2:$S$750,9)),"")</f>
        <v>Advance Payment</v>
      </c>
      <c r="L115" s="53" t="str">
        <f t="array" ref="L115">IFERROR(INDEX(Data!$K$2:$K$750,SMALL(Data!$S$2:$S$750,9)),"")</f>
        <v>In Progress</v>
      </c>
      <c r="M115" s="48" t="s">
        <v>417</v>
      </c>
      <c r="N115" s="48">
        <f>SUMIFS(Data!D2:D750,Data!C2:C750,M115,Data!N2:N750,1)</f>
        <v>5</v>
      </c>
    </row>
    <row r="116" ht="15.75" customHeight="1">
      <c r="B116" s="56" t="str">
        <f t="array" ref="B116">IFERROR(INDEX(Data!$A$2:$A$750,SMALL(Data!$S$2:$S$750,10)),"")</f>
        <v>El Kasr</v>
      </c>
      <c r="C116" s="56" t="str">
        <f t="array" ref="C116">IFERROR(IF(INDEX(Data!$B$2:$B$750,SMALL(Data!$S$2:$S$750,10))=0,"",INDEX(Data!$B$2:$B$750,SMALL(Data!$S$2:$S$750,10))),"")</f>
        <v>Dipole</v>
      </c>
      <c r="D116" s="56" t="str">
        <f t="array" ref="D116">IFERROR(INDEX(Data!$C$2:$C$750,SMALL(Data!$S$2:$S$750,10)),"")</f>
        <v>Printer CT4LX</v>
      </c>
      <c r="E116" s="56">
        <f t="array" ref="E116">IFERROR(IF(INDEX(Data!$D$2:$D$750,SMALL(Data!$S$2:$S$750,10))=0,"",INDEX(Data!$D$2:$D$750,SMALL(Data!$S$2:$S$750,10))),"")</f>
        <v>5</v>
      </c>
      <c r="F116" s="57">
        <f t="array" ref="F116">IFERROR(IF(INDEX(Data!$E$2:$E$750,SMALL(Data!$S$2:$S$750,10))=0,"",INDEX(Data!$E$2:$E$750,SMALL(Data!$S$2:$S$750,10))),"")</f>
        <v>25</v>
      </c>
      <c r="G116" s="57">
        <f t="array" ref="G116">IFERROR(INDEX(Data!$F$2:$F$750,SMALL(Data!$S$2:$S$750,10)),"")</f>
        <v>125</v>
      </c>
      <c r="H116" s="58">
        <f t="array" ref="H116">IFERROR(IF(INDEX(Data!$G$2:$G$750,SMALL(Data!$S$2:$S$750,10))=0,"",INDEX(Data!$G$2:$G$750,SMALL(Data!$S$2:$S$750,10))),"")</f>
        <v>46153</v>
      </c>
      <c r="I116" s="56">
        <f t="array" ref="I116">IFERROR(IF(INDEX(Data!$H$2:$H$750,SMALL(Data!$S$2:$S$750,10))=0,"",INDEX(Data!$H$2:$H$750,SMALL(Data!$S$2:$S$750,10))),"")</f>
        <v>2</v>
      </c>
      <c r="J116" s="58">
        <f t="array" ref="J116">IFERROR(INDEX(Data!$I$2:$I$750,SMALL(Data!$S$2:$S$750,10)),"")</f>
        <v>46167</v>
      </c>
      <c r="K116" s="56" t="str">
        <f t="array" ref="K116">IFERROR(INDEX(Data!$J$2:$J$750,SMALL(Data!$S$2:$S$750,10)),"")</f>
        <v>Fully Paid</v>
      </c>
      <c r="L116" s="56" t="str">
        <f t="array" ref="L116">IFERROR(INDEX(Data!$K$2:$K$750,SMALL(Data!$S$2:$S$750,10)),"")</f>
        <v>Completed</v>
      </c>
      <c r="M116" s="48" t="s">
        <v>420</v>
      </c>
      <c r="N116" s="48">
        <f>SUMIFS(Data!D2:D750,Data!C2:C750,M116,Data!N2:N750,1)</f>
        <v>2</v>
      </c>
    </row>
    <row r="117" ht="15.75" customHeight="1">
      <c r="B117" s="53" t="str">
        <f t="array" ref="B117">IFERROR(INDEX(Data!$A$2:$A$750,SMALL(Data!$S$2:$S$750,11)),"")</f>
        <v>El Kasr</v>
      </c>
      <c r="C117" s="53" t="str">
        <f t="array" ref="C117">IFERROR(IF(INDEX(Data!$B$2:$B$750,SMALL(Data!$S$2:$S$750,11))=0,"",INDEX(Data!$B$2:$B$750,SMALL(Data!$S$2:$S$750,11))),"")</f>
        <v>El Nekheely</v>
      </c>
      <c r="D117" s="53" t="str">
        <f t="array" ref="D117">IFERROR(INDEX(Data!$C$2:$C$750,SMALL(Data!$S$2:$S$750,11)),"")</f>
        <v>Ribbons</v>
      </c>
      <c r="E117" s="53">
        <f t="array" ref="E117">IFERROR(IF(INDEX(Data!$D$2:$D$750,SMALL(Data!$S$2:$S$750,11))=0,"",INDEX(Data!$D$2:$D$750,SMALL(Data!$S$2:$S$750,11))),"")</f>
        <v>20</v>
      </c>
      <c r="F117" s="54">
        <f t="array" ref="F117">IFERROR(IF(INDEX(Data!$E$2:$E$750,SMALL(Data!$S$2:$S$750,11))=0,"",INDEX(Data!$E$2:$E$750,SMALL(Data!$S$2:$S$750,11))),"")</f>
        <v>36</v>
      </c>
      <c r="G117" s="54">
        <f t="array" ref="G117">IFERROR(INDEX(Data!$F$2:$F$750,SMALL(Data!$S$2:$S$750,11)),"")</f>
        <v>720</v>
      </c>
      <c r="H117" s="55">
        <f t="array" ref="H117">IFERROR(IF(INDEX(Data!$G$2:$G$750,SMALL(Data!$S$2:$S$750,11))=0,"",INDEX(Data!$G$2:$G$750,SMALL(Data!$S$2:$S$750,11))),"")</f>
        <v>46154</v>
      </c>
      <c r="I117" s="53">
        <f t="array" ref="I117">IFERROR(IF(INDEX(Data!$H$2:$H$750,SMALL(Data!$S$2:$S$750,11))=0,"",INDEX(Data!$H$2:$H$750,SMALL(Data!$S$2:$S$750,11))),"")</f>
        <v>7</v>
      </c>
      <c r="J117" s="55">
        <f t="array" ref="J117">IFERROR(INDEX(Data!$I$2:$I$750,SMALL(Data!$S$2:$S$750,11)),"")</f>
        <v>46203</v>
      </c>
      <c r="K117" s="53" t="str">
        <f t="array" ref="K117">IFERROR(INDEX(Data!$J$2:$J$750,SMALL(Data!$S$2:$S$750,11)),"")</f>
        <v>Not Paid</v>
      </c>
      <c r="L117" s="53" t="str">
        <f t="array" ref="L117">IFERROR(INDEX(Data!$K$2:$K$750,SMALL(Data!$S$2:$S$750,11)),"")</f>
        <v>Delayed</v>
      </c>
      <c r="M117" s="48" t="s">
        <v>423</v>
      </c>
      <c r="N117" s="48">
        <f>SUMIFS(Data!D2:D750,Data!C2:C750,M117,Data!N2:N750,1)</f>
        <v>1</v>
      </c>
    </row>
    <row r="118" ht="15.75" customHeight="1">
      <c r="B118" s="56" t="str">
        <f t="array" ref="B118">IFERROR(INDEX(Data!$A$2:$A$750,SMALL(Data!$S$2:$S$750,12)),"")</f>
        <v>El Kasr</v>
      </c>
      <c r="C118" s="56" t="str">
        <f t="array" ref="C118">IFERROR(IF(INDEX(Data!$B$2:$B$750,SMALL(Data!$S$2:$S$750,12))=0,"",INDEX(Data!$B$2:$B$750,SMALL(Data!$S$2:$S$750,12))),"")</f>
        <v>FAAC</v>
      </c>
      <c r="D118" s="56" t="str">
        <f t="array" ref="D118">IFERROR(INDEX(Data!$C$2:$C$750,SMALL(Data!$S$2:$S$750,12)),"")</f>
        <v>LRU1002</v>
      </c>
      <c r="E118" s="56">
        <f t="array" ref="E118">IFERROR(IF(INDEX(Data!$D$2:$D$750,SMALL(Data!$S$2:$S$750,12))=0,"",INDEX(Data!$D$2:$D$750,SMALL(Data!$S$2:$S$750,12))),"")</f>
        <v>5</v>
      </c>
      <c r="F118" s="57">
        <f t="array" ref="F118">IFERROR(IF(INDEX(Data!$E$2:$E$750,SMALL(Data!$S$2:$S$750,12))=0,"",INDEX(Data!$E$2:$E$750,SMALL(Data!$S$2:$S$750,12))),"")</f>
        <v>95</v>
      </c>
      <c r="G118" s="57">
        <f t="array" ref="G118">IFERROR(INDEX(Data!$F$2:$F$750,SMALL(Data!$S$2:$S$750,12)),"")</f>
        <v>475</v>
      </c>
      <c r="H118" s="58">
        <f t="array" ref="H118">IFERROR(IF(INDEX(Data!$G$2:$G$750,SMALL(Data!$S$2:$S$750,12))=0,"",INDEX(Data!$G$2:$G$750,SMALL(Data!$S$2:$S$750,12))),"")</f>
        <v>46155</v>
      </c>
      <c r="I118" s="56">
        <f t="array" ref="I118">IFERROR(IF(INDEX(Data!$H$2:$H$750,SMALL(Data!$S$2:$S$750,12))=0,"",INDEX(Data!$H$2:$H$750,SMALL(Data!$S$2:$S$750,12))),"")</f>
        <v>2</v>
      </c>
      <c r="J118" s="58">
        <f t="array" ref="J118">IFERROR(INDEX(Data!$I$2:$I$750,SMALL(Data!$S$2:$S$750,12)),"")</f>
        <v>46169</v>
      </c>
      <c r="K118" s="56" t="str">
        <f t="array" ref="K118">IFERROR(INDEX(Data!$J$2:$J$750,SMALL(Data!$S$2:$S$750,12)),"")</f>
        <v>Advance Payment</v>
      </c>
      <c r="L118" s="56" t="str">
        <f t="array" ref="L118">IFERROR(INDEX(Data!$K$2:$K$750,SMALL(Data!$S$2:$S$750,12)),"")</f>
        <v>Pending</v>
      </c>
      <c r="M118" s="48" t="s">
        <v>425</v>
      </c>
      <c r="N118" s="48">
        <f>SUMIFS(Data!D2:D750,Data!C2:C750,M118,Data!N2:N750,1)</f>
        <v>1</v>
      </c>
    </row>
    <row r="119" ht="15.75" customHeight="1">
      <c r="B119" s="53" t="str">
        <f t="array" ref="B119">IFERROR(INDEX(Data!$A$2:$A$750,SMALL(Data!$S$2:$S$750,13)),"")</f>
        <v>El Kasr</v>
      </c>
      <c r="C119" s="53" t="str">
        <f t="array" ref="C119">IFERROR(IF(INDEX(Data!$B$2:$B$750,SMALL(Data!$S$2:$S$750,13))=0,"",INDEX(Data!$B$2:$B$750,SMALL(Data!$S$2:$S$750,13))),"")</f>
        <v>Cube</v>
      </c>
      <c r="D119" s="53" t="str">
        <f t="array" ref="D119">IFERROR(INDEX(Data!$C$2:$C$750,SMALL(Data!$S$2:$S$750,13)),"")</f>
        <v>Antenna</v>
      </c>
      <c r="E119" s="53">
        <f t="array" ref="E119">IFERROR(IF(INDEX(Data!$D$2:$D$750,SMALL(Data!$S$2:$S$750,13))=0,"",INDEX(Data!$D$2:$D$750,SMALL(Data!$S$2:$S$750,13))),"")</f>
        <v>10</v>
      </c>
      <c r="F119" s="54">
        <f t="array" ref="F119">IFERROR(IF(INDEX(Data!$E$2:$E$750,SMALL(Data!$S$2:$S$750,13))=0,"",INDEX(Data!$E$2:$E$750,SMALL(Data!$S$2:$S$750,13))),"")</f>
        <v>574</v>
      </c>
      <c r="G119" s="54">
        <f t="array" ref="G119">IFERROR(INDEX(Data!$F$2:$F$750,SMALL(Data!$S$2:$S$750,13)),"")</f>
        <v>5740</v>
      </c>
      <c r="H119" s="55">
        <f t="array" ref="H119">IFERROR(IF(INDEX(Data!$G$2:$G$750,SMALL(Data!$S$2:$S$750,13))=0,"",INDEX(Data!$G$2:$G$750,SMALL(Data!$S$2:$S$750,13))),"")</f>
        <v>46156</v>
      </c>
      <c r="I119" s="53">
        <f t="array" ref="I119">IFERROR(IF(INDEX(Data!$H$2:$H$750,SMALL(Data!$S$2:$S$750,13))=0,"",INDEX(Data!$H$2:$H$750,SMALL(Data!$S$2:$S$750,13))),"")</f>
        <v>6</v>
      </c>
      <c r="J119" s="55">
        <f t="array" ref="J119">IFERROR(INDEX(Data!$I$2:$I$750,SMALL(Data!$S$2:$S$750,13)),"")</f>
        <v>46198</v>
      </c>
      <c r="K119" s="53" t="str">
        <f t="array" ref="K119">IFERROR(INDEX(Data!$J$2:$J$750,SMALL(Data!$S$2:$S$750,13)),"")</f>
        <v>Fully Paid</v>
      </c>
      <c r="L119" s="53" t="str">
        <f t="array" ref="L119">IFERROR(INDEX(Data!$K$2:$K$750,SMALL(Data!$S$2:$S$750,13)),"")</f>
        <v>Pending</v>
      </c>
      <c r="M119" s="48" t="s">
        <v>427</v>
      </c>
      <c r="N119" s="48">
        <f>SUMIFS(Data!D2:D750,Data!C2:C750,M119,Data!N2:N750,1)</f>
        <v>4000</v>
      </c>
    </row>
    <row r="120" ht="15.75" customHeight="1">
      <c r="B120" s="56" t="str">
        <f t="array" ref="B120">IFERROR(INDEX(Data!$A$2:$A$750,SMALL(Data!$S$2:$S$750,14)),"")</f>
        <v>El Kasr</v>
      </c>
      <c r="C120" s="56" t="str">
        <f t="array" ref="C120">IFERROR(IF(INDEX(Data!$B$2:$B$750,SMALL(Data!$S$2:$S$750,14))=0,"",INDEX(Data!$B$2:$B$750,SMALL(Data!$S$2:$S$750,14))),"")</f>
        <v>Confidex</v>
      </c>
      <c r="D120" s="56" t="str">
        <f t="array" ref="D120">IFERROR(INDEX(Data!$C$2:$C$750,SMALL(Data!$S$2:$S$750,14)),"")</f>
        <v>AT907</v>
      </c>
      <c r="E120" s="56" t="str">
        <f t="array" ref="E120">IFERROR(IF(INDEX(Data!$D$2:$D$750,SMALL(Data!$S$2:$S$750,14))=0,"",INDEX(Data!$D$2:$D$750,SMALL(Data!$S$2:$S$750,14))),"")</f>
        <v/>
      </c>
      <c r="F120" s="57">
        <f t="array" ref="F120">IFERROR(IF(INDEX(Data!$E$2:$E$750,SMALL(Data!$S$2:$S$750,14))=0,"",INDEX(Data!$E$2:$E$750,SMALL(Data!$S$2:$S$750,14))),"")</f>
        <v>558</v>
      </c>
      <c r="G120" s="57">
        <f t="array" ref="G120">IFERROR(INDEX(Data!$F$2:$F$750,SMALL(Data!$S$2:$S$750,14)),"")</f>
        <v>0</v>
      </c>
      <c r="H120" s="58">
        <f t="array" ref="H120">IFERROR(IF(INDEX(Data!$G$2:$G$750,SMALL(Data!$S$2:$S$750,14))=0,"",INDEX(Data!$G$2:$G$750,SMALL(Data!$S$2:$S$750,14))),"")</f>
        <v>46157</v>
      </c>
      <c r="I120" s="56">
        <f t="array" ref="I120">IFERROR(IF(INDEX(Data!$H$2:$H$750,SMALL(Data!$S$2:$S$750,14))=0,"",INDEX(Data!$H$2:$H$750,SMALL(Data!$S$2:$S$750,14))),"")</f>
        <v>4</v>
      </c>
      <c r="J120" s="58">
        <f t="array" ref="J120">IFERROR(INDEX(Data!$I$2:$I$750,SMALL(Data!$S$2:$S$750,14)),"")</f>
        <v>46185</v>
      </c>
      <c r="K120" s="56" t="str">
        <f t="array" ref="K120">IFERROR(INDEX(Data!$J$2:$J$750,SMALL(Data!$S$2:$S$750,14)),"")</f>
        <v>Advance Payment</v>
      </c>
      <c r="L120" s="56" t="str">
        <f t="array" ref="L120">IFERROR(INDEX(Data!$K$2:$K$750,SMALL(Data!$S$2:$S$750,14)),"")</f>
        <v>Pending</v>
      </c>
      <c r="M120" s="48" t="s">
        <v>430</v>
      </c>
      <c r="N120" s="48">
        <f>SUMIFS(Data!D2:D750,Data!C2:C750,M120,Data!N2:N750,1)</f>
        <v>2</v>
      </c>
    </row>
    <row r="121" ht="15.75" customHeight="1">
      <c r="B121" s="53" t="str">
        <f t="array" ref="B121">IFERROR(INDEX(Data!$A$2:$A$750,SMALL(Data!$S$2:$S$750,15)),"")</f>
        <v>Harvest</v>
      </c>
      <c r="C121" s="53" t="str">
        <f t="array" ref="C121">IFERROR(IF(INDEX(Data!$B$2:$B$750,SMALL(Data!$S$2:$S$750,15))=0,"",INDEX(Data!$B$2:$B$750,SMALL(Data!$S$2:$S$750,15))),"")</f>
        <v>koodle</v>
      </c>
      <c r="D121" s="53" t="str">
        <f t="array" ref="D121">IFERROR(INDEX(Data!$C$2:$C$750,SMALL(Data!$S$2:$S$750,15)),"")</f>
        <v>RFID Desktop Printer with Feeder- (CT4LX)</v>
      </c>
      <c r="E121" s="53">
        <f t="array" ref="E121">IFERROR(IF(INDEX(Data!$D$2:$D$750,SMALL(Data!$S$2:$S$750,15))=0,"",INDEX(Data!$D$2:$D$750,SMALL(Data!$S$2:$S$750,15))),"")</f>
        <v>2</v>
      </c>
      <c r="F121" s="54">
        <f t="array" ref="F121">IFERROR(IF(INDEX(Data!$E$2:$E$750,SMALL(Data!$S$2:$S$750,15))=0,"",INDEX(Data!$E$2:$E$750,SMALL(Data!$S$2:$S$750,15))),"")</f>
        <v>2265</v>
      </c>
      <c r="G121" s="54">
        <f t="array" ref="G121">IFERROR(INDEX(Data!$F$2:$F$750,SMALL(Data!$S$2:$S$750,15)),"")</f>
        <v>4530</v>
      </c>
      <c r="H121" s="55">
        <f t="array" ref="H121">IFERROR(IF(INDEX(Data!$G$2:$G$750,SMALL(Data!$S$2:$S$750,15))=0,"",INDEX(Data!$G$2:$G$750,SMALL(Data!$S$2:$S$750,15))),"")</f>
        <v>46158</v>
      </c>
      <c r="I121" s="53">
        <f t="array" ref="I121">IFERROR(IF(INDEX(Data!$H$2:$H$750,SMALL(Data!$S$2:$S$750,15))=0,"",INDEX(Data!$H$2:$H$750,SMALL(Data!$S$2:$S$750,15))),"")</f>
        <v>1</v>
      </c>
      <c r="J121" s="55">
        <f t="array" ref="J121">IFERROR(INDEX(Data!$I$2:$I$750,SMALL(Data!$S$2:$S$750,15)),"")</f>
        <v>46165</v>
      </c>
      <c r="K121" s="53" t="str">
        <f t="array" ref="K121">IFERROR(INDEX(Data!$J$2:$J$750,SMALL(Data!$S$2:$S$750,15)),"")</f>
        <v>Fully Paid</v>
      </c>
      <c r="L121" s="53" t="str">
        <f t="array" ref="L121">IFERROR(INDEX(Data!$K$2:$K$750,SMALL(Data!$S$2:$S$750,15)),"")</f>
        <v>Pending</v>
      </c>
      <c r="M121" s="48" t="s">
        <v>345</v>
      </c>
      <c r="N121" s="48">
        <f>SUMIFS(Data!D2:D750,Data!C2:C750,M121,Data!N2:N750,1)</f>
        <v>2000</v>
      </c>
    </row>
    <row r="122" ht="15.75" customHeight="1">
      <c r="B122" s="56" t="str">
        <f t="array" ref="B122">IFERROR(INDEX(Data!$A$2:$A$750,SMALL(Data!$S$2:$S$750,16)),"")</f>
        <v>Harvest</v>
      </c>
      <c r="C122" s="56" t="str">
        <f t="array" ref="C122">IFERROR(IF(INDEX(Data!$B$2:$B$750,SMALL(Data!$S$2:$S$750,16))=0,"",INDEX(Data!$B$2:$B$750,SMALL(Data!$S$2:$S$750,16))),"")</f>
        <v>The tag factory</v>
      </c>
      <c r="D122" s="56" t="str">
        <f t="array" ref="D122">IFERROR(INDEX(Data!$C$2:$C$750,SMALL(Data!$S$2:$S$750,16)),"")</f>
        <v>Ribbons for the printer</v>
      </c>
      <c r="E122" s="56">
        <f t="array" ref="E122">IFERROR(IF(INDEX(Data!$D$2:$D$750,SMALL(Data!$S$2:$S$750,16))=0,"",INDEX(Data!$D$2:$D$750,SMALL(Data!$S$2:$S$750,16))),"")</f>
        <v>9</v>
      </c>
      <c r="F122" s="57">
        <f t="array" ref="F122">IFERROR(IF(INDEX(Data!$E$2:$E$750,SMALL(Data!$S$2:$S$750,16))=0,"",INDEX(Data!$E$2:$E$750,SMALL(Data!$S$2:$S$750,16))),"")</f>
        <v>45</v>
      </c>
      <c r="G122" s="57">
        <f t="array" ref="G122">IFERROR(INDEX(Data!$F$2:$F$750,SMALL(Data!$S$2:$S$750,16)),"")</f>
        <v>405</v>
      </c>
      <c r="H122" s="58">
        <f t="array" ref="H122">IFERROR(IF(INDEX(Data!$G$2:$G$750,SMALL(Data!$S$2:$S$750,16))=0,"",INDEX(Data!$G$2:$G$750,SMALL(Data!$S$2:$S$750,16))),"")</f>
        <v>46159</v>
      </c>
      <c r="I122" s="56">
        <f t="array" ref="I122">IFERROR(IF(INDEX(Data!$H$2:$H$750,SMALL(Data!$S$2:$S$750,16))=0,"",INDEX(Data!$H$2:$H$750,SMALL(Data!$S$2:$S$750,16))),"")</f>
        <v>2</v>
      </c>
      <c r="J122" s="58">
        <f t="array" ref="J122">IFERROR(INDEX(Data!$I$2:$I$750,SMALL(Data!$S$2:$S$750,16)),"")</f>
        <v>46173</v>
      </c>
      <c r="K122" s="56" t="str">
        <f t="array" ref="K122">IFERROR(INDEX(Data!$J$2:$J$750,SMALL(Data!$S$2:$S$750,16)),"")</f>
        <v>Not Paid</v>
      </c>
      <c r="L122" s="56" t="str">
        <f t="array" ref="L122">IFERROR(INDEX(Data!$K$2:$K$750,SMALL(Data!$S$2:$S$750,16)),"")</f>
        <v>Pending</v>
      </c>
      <c r="M122" s="48" t="s">
        <v>434</v>
      </c>
      <c r="N122" s="48">
        <f>SUMIFS(Data!D2:D750,Data!C2:C750,M122,Data!N2:N750,1)</f>
        <v>1</v>
      </c>
    </row>
    <row r="123" ht="15.75" customHeight="1">
      <c r="B123" s="53" t="str">
        <f t="array" ref="B123">IFERROR(INDEX(Data!$A$2:$A$750,SMALL(Data!$S$2:$S$750,17)),"")</f>
        <v>Harvest</v>
      </c>
      <c r="C123" s="53" t="str">
        <f t="array" ref="C123">IFERROR(IF(INDEX(Data!$B$2:$B$750,SMALL(Data!$S$2:$S$750,17))=0,"",INDEX(Data!$B$2:$B$750,SMALL(Data!$S$2:$S$750,17))),"")</f>
        <v>Confidex</v>
      </c>
      <c r="D123" s="53" t="str">
        <f t="array" ref="D123">IFERROR(INDEX(Data!$C$2:$C$750,SMALL(Data!$S$2:$S$750,17)),"")</f>
        <v>AT907</v>
      </c>
      <c r="E123" s="53">
        <f t="array" ref="E123">IFERROR(IF(INDEX(Data!$D$2:$D$750,SMALL(Data!$S$2:$S$750,17))=0,"",INDEX(Data!$D$2:$D$750,SMALL(Data!$S$2:$S$750,17))),"")</f>
        <v>2</v>
      </c>
      <c r="F123" s="54">
        <f t="array" ref="F123">IFERROR(IF(INDEX(Data!$E$2:$E$750,SMALL(Data!$S$2:$S$750,17))=0,"",INDEX(Data!$E$2:$E$750,SMALL(Data!$S$2:$S$750,17))),"")</f>
        <v>5554</v>
      </c>
      <c r="G123" s="54">
        <f t="array" ref="G123">IFERROR(INDEX(Data!$F$2:$F$750,SMALL(Data!$S$2:$S$750,17)),"")</f>
        <v>11108</v>
      </c>
      <c r="H123" s="55">
        <f t="array" ref="H123">IFERROR(IF(INDEX(Data!$G$2:$G$750,SMALL(Data!$S$2:$S$750,17))=0,"",INDEX(Data!$G$2:$G$750,SMALL(Data!$S$2:$S$750,17))),"")</f>
        <v>46160</v>
      </c>
      <c r="I123" s="53">
        <f t="array" ref="I123">IFERROR(IF(INDEX(Data!$H$2:$H$750,SMALL(Data!$S$2:$S$750,17))=0,"",INDEX(Data!$H$2:$H$750,SMALL(Data!$S$2:$S$750,17))),"")</f>
        <v>4</v>
      </c>
      <c r="J123" s="55">
        <f t="array" ref="J123">IFERROR(INDEX(Data!$I$2:$I$750,SMALL(Data!$S$2:$S$750,17)),"")</f>
        <v>46188</v>
      </c>
      <c r="K123" s="53" t="str">
        <f t="array" ref="K123">IFERROR(INDEX(Data!$J$2:$J$750,SMALL(Data!$S$2:$S$750,17)),"")</f>
        <v>Not Paid</v>
      </c>
      <c r="L123" s="53" t="str">
        <f t="array" ref="L123">IFERROR(INDEX(Data!$K$2:$K$750,SMALL(Data!$S$2:$S$750,17)),"")</f>
        <v>Completed</v>
      </c>
      <c r="M123" s="48" t="s">
        <v>436</v>
      </c>
      <c r="N123" s="48">
        <f>SUMIFS(Data!D2:D750,Data!C2:C750,M123,Data!N2:N750,1)</f>
        <v>70</v>
      </c>
    </row>
    <row r="124" ht="15.75" customHeight="1">
      <c r="B124" s="56" t="str">
        <f t="array" ref="B124">IFERROR(INDEX(Data!$A$2:$A$750,SMALL(Data!$S$2:$S$750,18)),"")</f>
        <v>Harvest</v>
      </c>
      <c r="C124" s="56" t="str">
        <f t="array" ref="C124">IFERROR(IF(INDEX(Data!$B$2:$B$750,SMALL(Data!$S$2:$S$750,18))=0,"",INDEX(Data!$B$2:$B$750,SMALL(Data!$S$2:$S$750,18))),"")</f>
        <v>Wireless dynamics</v>
      </c>
      <c r="D124" s="56" t="str">
        <f t="array" ref="D124">IFERROR(INDEX(Data!$C$2:$C$750,SMALL(Data!$S$2:$S$750,18)),"")</f>
        <v>Dogbone tags</v>
      </c>
      <c r="E124" s="56">
        <f t="array" ref="E124">IFERROR(IF(INDEX(Data!$D$2:$D$750,SMALL(Data!$S$2:$S$750,18))=0,"",INDEX(Data!$D$2:$D$750,SMALL(Data!$S$2:$S$750,18))),"")</f>
        <v>20198</v>
      </c>
      <c r="F124" s="57">
        <f t="array" ref="F124">IFERROR(IF(INDEX(Data!$E$2:$E$750,SMALL(Data!$S$2:$S$750,18))=0,"",INDEX(Data!$E$2:$E$750,SMALL(Data!$S$2:$S$750,18))),"")</f>
        <v>41</v>
      </c>
      <c r="G124" s="57">
        <f t="array" ref="G124">IFERROR(INDEX(Data!$F$2:$F$750,SMALL(Data!$S$2:$S$750,18)),"")</f>
        <v>828118</v>
      </c>
      <c r="H124" s="58">
        <f t="array" ref="H124">IFERROR(IF(INDEX(Data!$G$2:$G$750,SMALL(Data!$S$2:$S$750,18))=0,"",INDEX(Data!$G$2:$G$750,SMALL(Data!$S$2:$S$750,18))),"")</f>
        <v>46161</v>
      </c>
      <c r="I124" s="56">
        <f t="array" ref="I124">IFERROR(IF(INDEX(Data!$H$2:$H$750,SMALL(Data!$S$2:$S$750,18))=0,"",INDEX(Data!$H$2:$H$750,SMALL(Data!$S$2:$S$750,18))),"")</f>
        <v>6</v>
      </c>
      <c r="J124" s="58">
        <f t="array" ref="J124">IFERROR(INDEX(Data!$I$2:$I$750,SMALL(Data!$S$2:$S$750,18)),"")</f>
        <v>46203</v>
      </c>
      <c r="K124" s="56" t="str">
        <f t="array" ref="K124">IFERROR(INDEX(Data!$J$2:$J$750,SMALL(Data!$S$2:$S$750,18)),"")</f>
        <v>Advance Payment</v>
      </c>
      <c r="L124" s="56" t="str">
        <f t="array" ref="L124">IFERROR(INDEX(Data!$K$2:$K$750,SMALL(Data!$S$2:$S$750,18)),"")</f>
        <v>Pending</v>
      </c>
      <c r="M124" s="48" t="s">
        <v>441</v>
      </c>
      <c r="N124" s="48">
        <f>SUMIFS(Data!D2:D750,Data!C2:C750,M124,Data!N2:N750,1)</f>
        <v>6000</v>
      </c>
    </row>
    <row r="125" ht="15.75" customHeight="1">
      <c r="B125" s="53" t="str">
        <f t="array" ref="B125">IFERROR(INDEX(Data!$A$2:$A$750,SMALL(Data!$S$2:$S$750,19)),"")</f>
        <v>Harvest</v>
      </c>
      <c r="C125" s="53" t="str">
        <f t="array" ref="C125">IFERROR(IF(INDEX(Data!$B$2:$B$750,SMALL(Data!$S$2:$S$750,19))=0,"",INDEX(Data!$B$2:$B$750,SMALL(Data!$S$2:$S$750,19))),"")</f>
        <v>Metalcraft</v>
      </c>
      <c r="D125" s="53" t="str">
        <f t="array" ref="D125">IFERROR(INDEX(Data!$C$2:$C$750,SMALL(Data!$S$2:$S$750,19)),"")</f>
        <v>EU Universal tags- Blank</v>
      </c>
      <c r="E125" s="53">
        <f t="array" ref="E125">IFERROR(IF(INDEX(Data!$D$2:$D$750,SMALL(Data!$S$2:$S$750,19))=0,"",INDEX(Data!$D$2:$D$750,SMALL(Data!$S$2:$S$750,19))),"")</f>
        <v>1069</v>
      </c>
      <c r="F125" s="54">
        <f t="array" ref="F125">IFERROR(IF(INDEX(Data!$E$2:$E$750,SMALL(Data!$S$2:$S$750,19))=0,"",INDEX(Data!$E$2:$E$750,SMALL(Data!$S$2:$S$750,19))),"")</f>
        <v>231</v>
      </c>
      <c r="G125" s="54">
        <f t="array" ref="G125">IFERROR(INDEX(Data!$F$2:$F$750,SMALL(Data!$S$2:$S$750,19)),"")</f>
        <v>246939</v>
      </c>
      <c r="H125" s="55">
        <f t="array" ref="H125">IFERROR(IF(INDEX(Data!$G$2:$G$750,SMALL(Data!$S$2:$S$750,19))=0,"",INDEX(Data!$G$2:$G$750,SMALL(Data!$S$2:$S$750,19))),"")</f>
        <v>46162</v>
      </c>
      <c r="I125" s="53">
        <f t="array" ref="I125">IFERROR(IF(INDEX(Data!$H$2:$H$750,SMALL(Data!$S$2:$S$750,19))=0,"",INDEX(Data!$H$2:$H$750,SMALL(Data!$S$2:$S$750,19))),"")</f>
        <v>8</v>
      </c>
      <c r="J125" s="55">
        <f t="array" ref="J125">IFERROR(INDEX(Data!$I$2:$I$750,SMALL(Data!$S$2:$S$750,19)),"")</f>
        <v>46218</v>
      </c>
      <c r="K125" s="53" t="str">
        <f t="array" ref="K125">IFERROR(INDEX(Data!$J$2:$J$750,SMALL(Data!$S$2:$S$750,19)),"")</f>
        <v>Fully Paid</v>
      </c>
      <c r="L125" s="53" t="str">
        <f t="array" ref="L125">IFERROR(INDEX(Data!$K$2:$K$750,SMALL(Data!$S$2:$S$750,19)),"")</f>
        <v>In Progress</v>
      </c>
      <c r="M125" s="48" t="s">
        <v>349</v>
      </c>
      <c r="N125" s="48">
        <f>SUMIFS(Data!D2:D750,Data!C2:C750,M125,Data!N2:N750,1)</f>
        <v>20000</v>
      </c>
    </row>
    <row r="126" ht="15.75" customHeight="1">
      <c r="B126" s="56" t="str">
        <f t="array" ref="B126">IFERROR(INDEX(Data!$A$2:$A$750,SMALL(Data!$S$2:$S$750,20)),"")</f>
        <v>Harvest</v>
      </c>
      <c r="C126" s="56" t="str">
        <f t="array" ref="C126">IFERROR(IF(INDEX(Data!$B$2:$B$750,SMALL(Data!$S$2:$S$750,20))=0,"",INDEX(Data!$B$2:$B$750,SMALL(Data!$S$2:$S$750,20))),"")</f>
        <v>zebra</v>
      </c>
      <c r="D126" s="56" t="str">
        <f t="array" ref="D126">IFERROR(INDEX(Data!$C$2:$C$750,SMALL(Data!$S$2:$S$750,20)),"")</f>
        <v>Hang tags</v>
      </c>
      <c r="E126" s="56">
        <f t="array" ref="E126">IFERROR(IF(INDEX(Data!$D$2:$D$750,SMALL(Data!$S$2:$S$750,20))=0,"",INDEX(Data!$D$2:$D$750,SMALL(Data!$S$2:$S$750,20))),"")</f>
        <v>447</v>
      </c>
      <c r="F126" s="57">
        <f t="array" ref="F126">IFERROR(IF(INDEX(Data!$E$2:$E$750,SMALL(Data!$S$2:$S$750,20))=0,"",INDEX(Data!$E$2:$E$750,SMALL(Data!$S$2:$S$750,20))),"")</f>
        <v>25</v>
      </c>
      <c r="G126" s="57">
        <f t="array" ref="G126">IFERROR(INDEX(Data!$F$2:$F$750,SMALL(Data!$S$2:$S$750,20)),"")</f>
        <v>11175</v>
      </c>
      <c r="H126" s="58">
        <f t="array" ref="H126">IFERROR(IF(INDEX(Data!$G$2:$G$750,SMALL(Data!$S$2:$S$750,20))=0,"",INDEX(Data!$G$2:$G$750,SMALL(Data!$S$2:$S$750,20))),"")</f>
        <v>46163</v>
      </c>
      <c r="I126" s="56">
        <f t="array" ref="I126">IFERROR(IF(INDEX(Data!$H$2:$H$750,SMALL(Data!$S$2:$S$750,20))=0,"",INDEX(Data!$H$2:$H$750,SMALL(Data!$S$2:$S$750,20))),"")</f>
        <v>9</v>
      </c>
      <c r="J126" s="58">
        <f t="array" ref="J126">IFERROR(INDEX(Data!$I$2:$I$750,SMALL(Data!$S$2:$S$750,20)),"")</f>
        <v>46226</v>
      </c>
      <c r="K126" s="56" t="str">
        <f t="array" ref="K126">IFERROR(INDEX(Data!$J$2:$J$750,SMALL(Data!$S$2:$S$750,20)),"")</f>
        <v>Advance Payment</v>
      </c>
      <c r="L126" s="56" t="str">
        <f t="array" ref="L126">IFERROR(INDEX(Data!$K$2:$K$750,SMALL(Data!$S$2:$S$750,20)),"")</f>
        <v>Completed</v>
      </c>
      <c r="M126" s="48" t="s">
        <v>446</v>
      </c>
      <c r="N126" s="48">
        <f>SUMIFS(Data!D2:D750,Data!C2:C750,M126,Data!N2:N750,1)</f>
        <v>7000</v>
      </c>
    </row>
    <row r="127" ht="15.75" customHeight="1">
      <c r="B127" s="53" t="str">
        <f t="array" ref="B127">IFERROR(INDEX(Data!$A$2:$A$750,SMALL(Data!$S$2:$S$750,21)),"")</f>
        <v>Harvest</v>
      </c>
      <c r="C127" s="53" t="str">
        <f t="array" ref="C127">IFERROR(IF(INDEX(Data!$B$2:$B$750,SMALL(Data!$S$2:$S$750,21))=0,"",INDEX(Data!$B$2:$B$750,SMALL(Data!$S$2:$S$750,21))),"")</f>
        <v>The tag factory</v>
      </c>
      <c r="D127" s="53" t="str">
        <f t="array" ref="D127">IFERROR(INDEX(Data!$C$2:$C$750,SMALL(Data!$S$2:$S$750,21)),"")</f>
        <v>Dest windshield tags</v>
      </c>
      <c r="E127" s="53">
        <f t="array" ref="E127">IFERROR(IF(INDEX(Data!$D$2:$D$750,SMALL(Data!$S$2:$S$750,21))=0,"",INDEX(Data!$D$2:$D$750,SMALL(Data!$S$2:$S$750,21))),"")</f>
        <v>482</v>
      </c>
      <c r="F127" s="54">
        <f t="array" ref="F127">IFERROR(IF(INDEX(Data!$E$2:$E$750,SMALL(Data!$S$2:$S$750,21))=0,"",INDEX(Data!$E$2:$E$750,SMALL(Data!$S$2:$S$750,21))),"")</f>
        <v>245</v>
      </c>
      <c r="G127" s="54">
        <f t="array" ref="G127">IFERROR(INDEX(Data!$F$2:$F$750,SMALL(Data!$S$2:$S$750,21)),"")</f>
        <v>118090</v>
      </c>
      <c r="H127" s="55">
        <f t="array" ref="H127">IFERROR(IF(INDEX(Data!$G$2:$G$750,SMALL(Data!$S$2:$S$750,21))=0,"",INDEX(Data!$G$2:$G$750,SMALL(Data!$S$2:$S$750,21))),"")</f>
        <v>46164</v>
      </c>
      <c r="I127" s="53">
        <f t="array" ref="I127">IFERROR(IF(INDEX(Data!$H$2:$H$750,SMALL(Data!$S$2:$S$750,21))=0,"",INDEX(Data!$H$2:$H$750,SMALL(Data!$S$2:$S$750,21))),"")</f>
        <v>4</v>
      </c>
      <c r="J127" s="55">
        <f t="array" ref="J127">IFERROR(INDEX(Data!$I$2:$I$750,SMALL(Data!$S$2:$S$750,21)),"")</f>
        <v>46192</v>
      </c>
      <c r="K127" s="53" t="str">
        <f t="array" ref="K127">IFERROR(INDEX(Data!$J$2:$J$750,SMALL(Data!$S$2:$S$750,21)),"")</f>
        <v>Fully Paid</v>
      </c>
      <c r="L127" s="53" t="str">
        <f t="array" ref="L127">IFERROR(INDEX(Data!$K$2:$K$750,SMALL(Data!$S$2:$S$750,21)),"")</f>
        <v>Delayed</v>
      </c>
      <c r="M127" s="48" t="s">
        <v>307</v>
      </c>
      <c r="N127" s="48">
        <f>SUMIFS(Data!D2:D750,Data!C2:C750,M127,Data!N2:N750,1)</f>
        <v>1500</v>
      </c>
    </row>
    <row r="128" ht="15.75" customHeight="1">
      <c r="B128" s="56" t="str">
        <f t="array" ref="B128">IFERROR(INDEX(Data!$A$2:$A$750,SMALL(Data!$S$2:$S$750,22)),"")</f>
        <v>Lavista Patios</v>
      </c>
      <c r="C128" s="56" t="str">
        <f t="array" ref="C128">IFERROR(IF(INDEX(Data!$B$2:$B$750,SMALL(Data!$S$2:$S$750,22))=0,"",INDEX(Data!$B$2:$B$750,SMALL(Data!$S$2:$S$750,22))),"")</f>
        <v>Rich</v>
      </c>
      <c r="D128" s="56" t="str">
        <f t="array" ref="D128">IFERROR(INDEX(Data!$C$2:$C$750,SMALL(Data!$S$2:$S$750,22)),"")</f>
        <v>Dest windshield tags</v>
      </c>
      <c r="E128" s="56">
        <f t="array" ref="E128">IFERROR(IF(INDEX(Data!$D$2:$D$750,SMALL(Data!$S$2:$S$750,22))=0,"",INDEX(Data!$D$2:$D$750,SMALL(Data!$S$2:$S$750,22))),"")</f>
        <v>500</v>
      </c>
      <c r="F128" s="57">
        <f t="array" ref="F128">IFERROR(IF(INDEX(Data!$E$2:$E$750,SMALL(Data!$S$2:$S$750,22))=0,"",INDEX(Data!$E$2:$E$750,SMALL(Data!$S$2:$S$750,22))),"")</f>
        <v>2555</v>
      </c>
      <c r="G128" s="57">
        <f t="array" ref="G128">IFERROR(INDEX(Data!$F$2:$F$750,SMALL(Data!$S$2:$S$750,22)),"")</f>
        <v>1277500</v>
      </c>
      <c r="H128" s="58">
        <f t="array" ref="H128">IFERROR(IF(INDEX(Data!$G$2:$G$750,SMALL(Data!$S$2:$S$750,22))=0,"",INDEX(Data!$G$2:$G$750,SMALL(Data!$S$2:$S$750,22))),"")</f>
        <v>46165</v>
      </c>
      <c r="I128" s="56">
        <f t="array" ref="I128">IFERROR(IF(INDEX(Data!$H$2:$H$750,SMALL(Data!$S$2:$S$750,22))=0,"",INDEX(Data!$H$2:$H$750,SMALL(Data!$S$2:$S$750,22))),"")</f>
        <v>3</v>
      </c>
      <c r="J128" s="58">
        <f t="array" ref="J128">IFERROR(INDEX(Data!$I$2:$I$750,SMALL(Data!$S$2:$S$750,22)),"")</f>
        <v>46186</v>
      </c>
      <c r="K128" s="56" t="str">
        <f t="array" ref="K128">IFERROR(INDEX(Data!$J$2:$J$750,SMALL(Data!$S$2:$S$750,22)),"")</f>
        <v>Not Paid</v>
      </c>
      <c r="L128" s="56" t="str">
        <f t="array" ref="L128">IFERROR(INDEX(Data!$K$2:$K$750,SMALL(Data!$S$2:$S$750,22)),"")</f>
        <v>Pending</v>
      </c>
      <c r="M128" s="48" t="s">
        <v>248</v>
      </c>
      <c r="N128" s="48">
        <f>SUMIFS(Data!D2:D750,Data!C2:C750,M128,Data!N2:N750,1)</f>
        <v>6</v>
      </c>
    </row>
    <row r="129" ht="15.75" customHeight="1">
      <c r="B129" s="53" t="str">
        <f t="array" ref="B129">IFERROR(INDEX(Data!$A$2:$A$750,SMALL(Data!$S$2:$S$750,23)),"")</f>
        <v>Layan</v>
      </c>
      <c r="C129" s="53" t="str">
        <f t="array" ref="C129">IFERROR(IF(INDEX(Data!$B$2:$B$750,SMALL(Data!$S$2:$S$750,23))=0,"",INDEX(Data!$B$2:$B$750,SMALL(Data!$S$2:$S$750,23))),"")</f>
        <v>Metalcraft</v>
      </c>
      <c r="D129" s="53" t="str">
        <f t="array" ref="D129">IFERROR(INDEX(Data!$C$2:$C$750,SMALL(Data!$S$2:$S$750,23)),"")</f>
        <v>Dest windshield tags</v>
      </c>
      <c r="E129" s="53">
        <f t="array" ref="E129">IFERROR(IF(INDEX(Data!$D$2:$D$750,SMALL(Data!$S$2:$S$750,23))=0,"",INDEX(Data!$D$2:$D$750,SMALL(Data!$S$2:$S$750,23))),"")</f>
        <v>5000</v>
      </c>
      <c r="F129" s="54">
        <f t="array" ref="F129">IFERROR(IF(INDEX(Data!$E$2:$E$750,SMALL(Data!$S$2:$S$750,23))=0,"",INDEX(Data!$E$2:$E$750,SMALL(Data!$S$2:$S$750,23))),"")</f>
        <v>255</v>
      </c>
      <c r="G129" s="54">
        <f t="array" ref="G129">IFERROR(INDEX(Data!$F$2:$F$750,SMALL(Data!$S$2:$S$750,23)),"")</f>
        <v>1275000</v>
      </c>
      <c r="H129" s="55">
        <f t="array" ref="H129">IFERROR(IF(INDEX(Data!$G$2:$G$750,SMALL(Data!$S$2:$S$750,23))=0,"",INDEX(Data!$G$2:$G$750,SMALL(Data!$S$2:$S$750,23))),"")</f>
        <v>46166</v>
      </c>
      <c r="I129" s="53">
        <f t="array" ref="I129">IFERROR(IF(INDEX(Data!$H$2:$H$750,SMALL(Data!$S$2:$S$750,23))=0,"",INDEX(Data!$H$2:$H$750,SMALL(Data!$S$2:$S$750,23))),"")</f>
        <v>1</v>
      </c>
      <c r="J129" s="55">
        <f t="array" ref="J129">IFERROR(INDEX(Data!$I$2:$I$750,SMALL(Data!$S$2:$S$750,23)),"")</f>
        <v>46173</v>
      </c>
      <c r="K129" s="53" t="str">
        <f t="array" ref="K129">IFERROR(INDEX(Data!$J$2:$J$750,SMALL(Data!$S$2:$S$750,23)),"")</f>
        <v>Not Paid</v>
      </c>
      <c r="L129" s="53" t="str">
        <f t="array" ref="L129">IFERROR(INDEX(Data!$K$2:$K$750,SMALL(Data!$S$2:$S$750,23)),"")</f>
        <v>Pending</v>
      </c>
      <c r="M129" s="48" t="s">
        <v>186</v>
      </c>
      <c r="N129" s="48">
        <f>SUMIFS(Data!D2:D750,Data!C2:C750,M129,Data!N2:N750,1)</f>
        <v>3</v>
      </c>
    </row>
    <row r="130" ht="15.75" customHeight="1">
      <c r="B130" s="56" t="str">
        <f t="array" ref="B130">IFERROR(INDEX(Data!$A$2:$A$750,SMALL(Data!$S$2:$S$750,24)),"")</f>
        <v>Majid El futtaim</v>
      </c>
      <c r="C130" s="56" t="str">
        <f t="array" ref="C130">IFERROR(IF(INDEX(Data!$B$2:$B$750,SMALL(Data!$S$2:$S$750,24))=0,"",INDEX(Data!$B$2:$B$750,SMALL(Data!$S$2:$S$750,24))),"")</f>
        <v>OGTech Dubai</v>
      </c>
      <c r="D130" s="56" t="str">
        <f t="array" ref="D130">IFERROR(INDEX(Data!$C$2:$C$750,SMALL(Data!$S$2:$S$750,24)),"")</f>
        <v>MaxU1002</v>
      </c>
      <c r="E130" s="56">
        <f t="array" ref="E130">IFERROR(IF(INDEX(Data!$D$2:$D$750,SMALL(Data!$S$2:$S$750,24))=0,"",INDEX(Data!$D$2:$D$750,SMALL(Data!$S$2:$S$750,24))),"")</f>
        <v>1</v>
      </c>
      <c r="F130" s="57">
        <f t="array" ref="F130">IFERROR(IF(INDEX(Data!$E$2:$E$750,SMALL(Data!$S$2:$S$750,24))=0,"",INDEX(Data!$E$2:$E$750,SMALL(Data!$S$2:$S$750,24))),"")</f>
        <v>45</v>
      </c>
      <c r="G130" s="57">
        <f t="array" ref="G130">IFERROR(INDEX(Data!$F$2:$F$750,SMALL(Data!$S$2:$S$750,24)),"")</f>
        <v>45</v>
      </c>
      <c r="H130" s="58">
        <f t="array" ref="H130">IFERROR(IF(INDEX(Data!$G$2:$G$750,SMALL(Data!$S$2:$S$750,24))=0,"",INDEX(Data!$G$2:$G$750,SMALL(Data!$S$2:$S$750,24))),"")</f>
        <v>46167</v>
      </c>
      <c r="I130" s="56">
        <f t="array" ref="I130">IFERROR(IF(INDEX(Data!$H$2:$H$750,SMALL(Data!$S$2:$S$750,24))=0,"",INDEX(Data!$H$2:$H$750,SMALL(Data!$S$2:$S$750,24))),"")</f>
        <v>2</v>
      </c>
      <c r="J130" s="58">
        <f t="array" ref="J130">IFERROR(INDEX(Data!$I$2:$I$750,SMALL(Data!$S$2:$S$750,24)),"")</f>
        <v>46181</v>
      </c>
      <c r="K130" s="56" t="str">
        <f t="array" ref="K130">IFERROR(INDEX(Data!$J$2:$J$750,SMALL(Data!$S$2:$S$750,24)),"")</f>
        <v>Advance Payment</v>
      </c>
      <c r="L130" s="56" t="str">
        <f t="array" ref="L130">IFERROR(INDEX(Data!$K$2:$K$750,SMALL(Data!$S$2:$S$750,24)),"")</f>
        <v>Pending</v>
      </c>
      <c r="M130" s="48" t="s">
        <v>466</v>
      </c>
      <c r="N130" s="48">
        <f>SUMIFS(Data!D2:D750,Data!C2:C750,M130,Data!N2:N750,1)</f>
        <v>2</v>
      </c>
    </row>
    <row r="131" ht="15.75" customHeight="1">
      <c r="B131" s="53" t="str">
        <f t="array" ref="B131">IFERROR(INDEX(Data!$A$2:$A$750,SMALL(Data!$S$2:$S$750,25)),"")</f>
        <v>Majid El futtaim</v>
      </c>
      <c r="C131" s="53" t="str">
        <f t="array" ref="C131">IFERROR(IF(INDEX(Data!$B$2:$B$750,SMALL(Data!$S$2:$S$750,25))=0,"",INDEX(Data!$B$2:$B$750,SMALL(Data!$S$2:$S$750,25))),"")</f>
        <v>FEIG</v>
      </c>
      <c r="D131" s="53" t="str">
        <f t="array" ref="D131">IFERROR(INDEX(Data!$C$2:$C$750,SMALL(Data!$S$2:$S$750,25)),"")</f>
        <v>Antenna 270/270 U</v>
      </c>
      <c r="E131" s="53">
        <f t="array" ref="E131">IFERROR(IF(INDEX(Data!$D$2:$D$750,SMALL(Data!$S$2:$S$750,25))=0,"",INDEX(Data!$D$2:$D$750,SMALL(Data!$S$2:$S$750,25))),"")</f>
        <v>2</v>
      </c>
      <c r="F131" s="54">
        <f t="array" ref="F131">IFERROR(IF(INDEX(Data!$E$2:$E$750,SMALL(Data!$S$2:$S$750,25))=0,"",INDEX(Data!$E$2:$E$750,SMALL(Data!$S$2:$S$750,25))),"")</f>
        <v>36</v>
      </c>
      <c r="G131" s="54">
        <f t="array" ref="G131">IFERROR(INDEX(Data!$F$2:$F$750,SMALL(Data!$S$2:$S$750,25)),"")</f>
        <v>72</v>
      </c>
      <c r="H131" s="55">
        <f t="array" ref="H131">IFERROR(IF(INDEX(Data!$G$2:$G$750,SMALL(Data!$S$2:$S$750,25))=0,"",INDEX(Data!$G$2:$G$750,SMALL(Data!$S$2:$S$750,25))),"")</f>
        <v>46168</v>
      </c>
      <c r="I131" s="53">
        <f t="array" ref="I131">IFERROR(IF(INDEX(Data!$H$2:$H$750,SMALL(Data!$S$2:$S$750,25))=0,"",INDEX(Data!$H$2:$H$750,SMALL(Data!$S$2:$S$750,25))),"")</f>
        <v>7</v>
      </c>
      <c r="J131" s="55">
        <f t="array" ref="J131">IFERROR(INDEX(Data!$I$2:$I$750,SMALL(Data!$S$2:$S$750,25)),"")</f>
        <v>46217</v>
      </c>
      <c r="K131" s="53" t="str">
        <f t="array" ref="K131">IFERROR(INDEX(Data!$J$2:$J$750,SMALL(Data!$S$2:$S$750,25)),"")</f>
        <v>Fully Paid</v>
      </c>
      <c r="L131" s="53" t="str">
        <f t="array" ref="L131">IFERROR(INDEX(Data!$K$2:$K$750,SMALL(Data!$S$2:$S$750,25)),"")</f>
        <v>Completed</v>
      </c>
      <c r="M131" s="48" t="s">
        <v>468</v>
      </c>
      <c r="N131" s="48">
        <f>SUMIFS(Data!D2:D750,Data!C2:C750,M131,Data!N2:N750,1)</f>
        <v>12</v>
      </c>
    </row>
    <row r="132" ht="15.75" customHeight="1">
      <c r="B132" s="56" t="str">
        <f t="array" ref="B132">IFERROR(INDEX(Data!$A$2:$A$750,SMALL(Data!$S$2:$S$750,26)),"")</f>
        <v>Majid El futtaim</v>
      </c>
      <c r="C132" s="56" t="str">
        <f t="array" ref="C132">IFERROR(IF(INDEX(Data!$B$2:$B$750,SMALL(Data!$S$2:$S$750,26))=0,"",INDEX(Data!$B$2:$B$750,SMALL(Data!$S$2:$S$750,26))),"")</f>
        <v>Metalcraft</v>
      </c>
      <c r="D132" s="56" t="str">
        <f t="array" ref="D132">IFERROR(INDEX(Data!$C$2:$C$750,SMALL(Data!$S$2:$S$750,26)),"")</f>
        <v>RFID Destructive WINDSHIELD Tags Printed</v>
      </c>
      <c r="E132" s="56">
        <f t="array" ref="E132">IFERROR(IF(INDEX(Data!$D$2:$D$750,SMALL(Data!$S$2:$S$750,26))=0,"",INDEX(Data!$D$2:$D$750,SMALL(Data!$S$2:$S$750,26))),"")</f>
        <v>50</v>
      </c>
      <c r="F132" s="57">
        <f t="array" ref="F132">IFERROR(IF(INDEX(Data!$E$2:$E$750,SMALL(Data!$S$2:$S$750,26))=0,"",INDEX(Data!$E$2:$E$750,SMALL(Data!$S$2:$S$750,26))),"")</f>
        <v>96</v>
      </c>
      <c r="G132" s="57">
        <f t="array" ref="G132">IFERROR(INDEX(Data!$F$2:$F$750,SMALL(Data!$S$2:$S$750,26)),"")</f>
        <v>4800</v>
      </c>
      <c r="H132" s="58">
        <f t="array" ref="H132">IFERROR(IF(INDEX(Data!$G$2:$G$750,SMALL(Data!$S$2:$S$750,26))=0,"",INDEX(Data!$G$2:$G$750,SMALL(Data!$S$2:$S$750,26))),"")</f>
        <v>46169</v>
      </c>
      <c r="I132" s="56">
        <f t="array" ref="I132">IFERROR(IF(INDEX(Data!$H$2:$H$750,SMALL(Data!$S$2:$S$750,26))=0,"",INDEX(Data!$H$2:$H$750,SMALL(Data!$S$2:$S$750,26))),"")</f>
        <v>2</v>
      </c>
      <c r="J132" s="58">
        <f t="array" ref="J132">IFERROR(INDEX(Data!$I$2:$I$750,SMALL(Data!$S$2:$S$750,26)),"")</f>
        <v>46183</v>
      </c>
      <c r="K132" s="56" t="str">
        <f t="array" ref="K132">IFERROR(INDEX(Data!$J$2:$J$750,SMALL(Data!$S$2:$S$750,26)),"")</f>
        <v>Advance Payment</v>
      </c>
      <c r="L132" s="56" t="str">
        <f t="array" ref="L132">IFERROR(INDEX(Data!$K$2:$K$750,SMALL(Data!$S$2:$S$750,26)),"")</f>
        <v>Pending</v>
      </c>
      <c r="M132" s="48" t="s">
        <v>471</v>
      </c>
      <c r="N132" s="48">
        <f>SUMIFS(Data!D2:D750,Data!C2:C750,M132,Data!N2:N750,1)</f>
        <v>2</v>
      </c>
    </row>
    <row r="133" ht="15.75" customHeight="1">
      <c r="B133" s="53" t="str">
        <f t="array" ref="B133">IFERROR(INDEX(Data!$A$2:$A$750,SMALL(Data!$S$2:$S$750,27)),"")</f>
        <v>مخازن وزارة الصحة</v>
      </c>
      <c r="C133" s="53" t="str">
        <f t="array" ref="C133">IFERROR(IF(INDEX(Data!$B$2:$B$750,SMALL(Data!$S$2:$S$750,27))=0,"",INDEX(Data!$B$2:$B$750,SMALL(Data!$S$2:$S$750,27))),"")</f>
        <v>FEIG</v>
      </c>
      <c r="D133" s="53" t="str">
        <f t="array" ref="D133">IFERROR(INDEX(Data!$C$2:$C$750,SMALL(Data!$S$2:$S$750,27)),"")</f>
        <v>LRU1002</v>
      </c>
      <c r="E133" s="53">
        <f t="array" ref="E133">IFERROR(IF(INDEX(Data!$D$2:$D$750,SMALL(Data!$S$2:$S$750,27))=0,"",INDEX(Data!$D$2:$D$750,SMALL(Data!$S$2:$S$750,27))),"")</f>
        <v>16</v>
      </c>
      <c r="F133" s="54">
        <f t="array" ref="F133">IFERROR(IF(INDEX(Data!$E$2:$E$750,SMALL(Data!$S$2:$S$750,27))=0,"",INDEX(Data!$E$2:$E$750,SMALL(Data!$S$2:$S$750,27))),"")</f>
        <v>8</v>
      </c>
      <c r="G133" s="54">
        <f t="array" ref="G133">IFERROR(INDEX(Data!$F$2:$F$750,SMALL(Data!$S$2:$S$750,27)),"")</f>
        <v>128</v>
      </c>
      <c r="H133" s="55">
        <f t="array" ref="H133">IFERROR(IF(INDEX(Data!$G$2:$G$750,SMALL(Data!$S$2:$S$750,27))=0,"",INDEX(Data!$G$2:$G$750,SMALL(Data!$S$2:$S$750,27))),"")</f>
        <v>46170</v>
      </c>
      <c r="I133" s="53">
        <f t="array" ref="I133">IFERROR(IF(INDEX(Data!$H$2:$H$750,SMALL(Data!$S$2:$S$750,27))=0,"",INDEX(Data!$H$2:$H$750,SMALL(Data!$S$2:$S$750,27))),"")</f>
        <v>6</v>
      </c>
      <c r="J133" s="55">
        <f t="array" ref="J133">IFERROR(INDEX(Data!$I$2:$I$750,SMALL(Data!$S$2:$S$750,27)),"")</f>
        <v>46212</v>
      </c>
      <c r="K133" s="53" t="str">
        <f t="array" ref="K133">IFERROR(INDEX(Data!$J$2:$J$750,SMALL(Data!$S$2:$S$750,27)),"")</f>
        <v>Fully Paid</v>
      </c>
      <c r="L133" s="53" t="str">
        <f t="array" ref="L133">IFERROR(INDEX(Data!$K$2:$K$750,SMALL(Data!$S$2:$S$750,27)),"")</f>
        <v>In Progress</v>
      </c>
      <c r="M133" s="48" t="s">
        <v>474</v>
      </c>
      <c r="N133" s="48">
        <f>SUMIFS(Data!D2:D750,Data!C2:C750,M133,Data!N2:N750,1)</f>
        <v>6</v>
      </c>
    </row>
    <row r="134" ht="15.75" customHeight="1">
      <c r="B134" s="56" t="str">
        <f t="array" ref="B134">IFERROR(INDEX(Data!$A$2:$A$750,SMALL(Data!$S$2:$S$750,28)),"")</f>
        <v>مخازن وزارة الصحة</v>
      </c>
      <c r="C134" s="56" t="str">
        <f t="array" ref="C134">IFERROR(IF(INDEX(Data!$B$2:$B$750,SMALL(Data!$S$2:$S$750,28))=0,"",INDEX(Data!$B$2:$B$750,SMALL(Data!$S$2:$S$750,28))),"")</f>
        <v>FEIG</v>
      </c>
      <c r="D134" s="56" t="str">
        <f t="array" ref="D134">IFERROR(INDEX(Data!$C$2:$C$750,SMALL(Data!$S$2:$S$750,28)),"")</f>
        <v>Antenna</v>
      </c>
      <c r="E134" s="56">
        <f t="array" ref="E134">IFERROR(IF(INDEX(Data!$D$2:$D$750,SMALL(Data!$S$2:$S$750,28))=0,"",INDEX(Data!$D$2:$D$750,SMALL(Data!$S$2:$S$750,28))),"")</f>
        <v>15</v>
      </c>
      <c r="F134" s="57">
        <f t="array" ref="F134">IFERROR(IF(INDEX(Data!$E$2:$E$750,SMALL(Data!$S$2:$S$750,28))=0,"",INDEX(Data!$E$2:$E$750,SMALL(Data!$S$2:$S$750,28))),"")</f>
        <v>5</v>
      </c>
      <c r="G134" s="57">
        <f t="array" ref="G134">IFERROR(INDEX(Data!$F$2:$F$750,SMALL(Data!$S$2:$S$750,28)),"")</f>
        <v>75</v>
      </c>
      <c r="H134" s="58">
        <f t="array" ref="H134">IFERROR(IF(INDEX(Data!$G$2:$G$750,SMALL(Data!$S$2:$S$750,28))=0,"",INDEX(Data!$G$2:$G$750,SMALL(Data!$S$2:$S$750,28))),"")</f>
        <v>46171</v>
      </c>
      <c r="I134" s="56">
        <f t="array" ref="I134">IFERROR(IF(INDEX(Data!$H$2:$H$750,SMALL(Data!$S$2:$S$750,28))=0,"",INDEX(Data!$H$2:$H$750,SMALL(Data!$S$2:$S$750,28))),"")</f>
        <v>4</v>
      </c>
      <c r="J134" s="58">
        <f t="array" ref="J134">IFERROR(INDEX(Data!$I$2:$I$750,SMALL(Data!$S$2:$S$750,28)),"")</f>
        <v>46199</v>
      </c>
      <c r="K134" s="56" t="str">
        <f t="array" ref="K134">IFERROR(INDEX(Data!$J$2:$J$750,SMALL(Data!$S$2:$S$750,28)),"")</f>
        <v>Not Paid</v>
      </c>
      <c r="L134" s="56" t="str">
        <f t="array" ref="L134">IFERROR(INDEX(Data!$K$2:$K$750,SMALL(Data!$S$2:$S$750,28)),"")</f>
        <v>Completed</v>
      </c>
      <c r="M134" s="48" t="s">
        <v>477</v>
      </c>
      <c r="N134" s="48">
        <f>SUMIFS(Data!D2:D750,Data!C2:C750,M134,Data!N2:N750,1)</f>
        <v>7</v>
      </c>
    </row>
    <row r="135" ht="15.75" customHeight="1">
      <c r="B135" s="53" t="str">
        <f t="array" ref="B135">IFERROR(INDEX(Data!$A$2:$A$750,SMALL(Data!$S$2:$S$750,29)),"")</f>
        <v>مخازن وزارة الصحة</v>
      </c>
      <c r="C135" s="53" t="str">
        <f t="array" ref="C135">IFERROR(IF(INDEX(Data!$B$2:$B$750,SMALL(Data!$S$2:$S$750,29))=0,"",INDEX(Data!$B$2:$B$750,SMALL(Data!$S$2:$S$750,29))),"")</f>
        <v>ATID</v>
      </c>
      <c r="D135" s="53" t="str">
        <f t="array" ref="D135">IFERROR(INDEX(Data!$C$2:$C$750,SMALL(Data!$S$2:$S$750,29)),"")</f>
        <v>AT907</v>
      </c>
      <c r="E135" s="53">
        <f t="array" ref="E135">IFERROR(IF(INDEX(Data!$D$2:$D$750,SMALL(Data!$S$2:$S$750,29))=0,"",INDEX(Data!$D$2:$D$750,SMALL(Data!$S$2:$S$750,29))),"")</f>
        <v>5</v>
      </c>
      <c r="F135" s="54">
        <f t="array" ref="F135">IFERROR(IF(INDEX(Data!$E$2:$E$750,SMALL(Data!$S$2:$S$750,29))=0,"",INDEX(Data!$E$2:$E$750,SMALL(Data!$S$2:$S$750,29))),"")</f>
        <v>4</v>
      </c>
      <c r="G135" s="54">
        <f t="array" ref="G135">IFERROR(INDEX(Data!$F$2:$F$750,SMALL(Data!$S$2:$S$750,29)),"")</f>
        <v>20</v>
      </c>
      <c r="H135" s="55">
        <f t="array" ref="H135">IFERROR(IF(INDEX(Data!$G$2:$G$750,SMALL(Data!$S$2:$S$750,29))=0,"",INDEX(Data!$G$2:$G$750,SMALL(Data!$S$2:$S$750,29))),"")</f>
        <v>46172</v>
      </c>
      <c r="I135" s="53">
        <f t="array" ref="I135">IFERROR(IF(INDEX(Data!$H$2:$H$750,SMALL(Data!$S$2:$S$750,29))=0,"",INDEX(Data!$H$2:$H$750,SMALL(Data!$S$2:$S$750,29))),"")</f>
        <v>17</v>
      </c>
      <c r="J135" s="55">
        <f t="array" ref="J135">IFERROR(INDEX(Data!$I$2:$I$750,SMALL(Data!$S$2:$S$750,29)),"")</f>
        <v>46291</v>
      </c>
      <c r="K135" s="53" t="str">
        <f t="array" ref="K135">IFERROR(INDEX(Data!$J$2:$J$750,SMALL(Data!$S$2:$S$750,29)),"")</f>
        <v>Not Paid</v>
      </c>
      <c r="L135" s="53" t="str">
        <f t="array" ref="L135">IFERROR(INDEX(Data!$K$2:$K$750,SMALL(Data!$S$2:$S$750,29)),"")</f>
        <v>Delayed</v>
      </c>
      <c r="M135" s="48" t="s">
        <v>377</v>
      </c>
      <c r="N135" s="48">
        <f>SUMIFS(Data!D2:D750,Data!C2:C750,M135,Data!N2:N750,1)</f>
        <v>5</v>
      </c>
    </row>
    <row r="136" ht="15.75" customHeight="1">
      <c r="B136" s="56" t="str">
        <f t="array" ref="B136">IFERROR(INDEX(Data!$A$2:$A$750,SMALL(Data!$S$2:$S$750,30)),"")</f>
        <v>مخازن وزارة الصحة</v>
      </c>
      <c r="C136" s="56" t="str">
        <f t="array" ref="C136">IFERROR(IF(INDEX(Data!$B$2:$B$750,SMALL(Data!$S$2:$S$750,30))=0,"",INDEX(Data!$B$2:$B$750,SMALL(Data!$S$2:$S$750,30))),"")</f>
        <v>Dipole</v>
      </c>
      <c r="D136" s="56" t="str">
        <f t="array" ref="D136">IFERROR(INDEX(Data!$C$2:$C$750,SMALL(Data!$S$2:$S$750,30)),"")</f>
        <v>Dogbone tags</v>
      </c>
      <c r="E136" s="56">
        <f t="array" ref="E136">IFERROR(IF(INDEX(Data!$D$2:$D$750,SMALL(Data!$S$2:$S$750,30))=0,"",INDEX(Data!$D$2:$D$750,SMALL(Data!$S$2:$S$750,30))),"")</f>
        <v>25000</v>
      </c>
      <c r="F136" s="57">
        <f t="array" ref="F136">IFERROR(IF(INDEX(Data!$E$2:$E$750,SMALL(Data!$S$2:$S$750,30))=0,"",INDEX(Data!$E$2:$E$750,SMALL(Data!$S$2:$S$750,30))),"")</f>
        <v>2</v>
      </c>
      <c r="G136" s="57">
        <f t="array" ref="G136">IFERROR(INDEX(Data!$F$2:$F$750,SMALL(Data!$S$2:$S$750,30)),"")</f>
        <v>50000</v>
      </c>
      <c r="H136" s="58">
        <f t="array" ref="H136">IFERROR(IF(INDEX(Data!$G$2:$G$750,SMALL(Data!$S$2:$S$750,30))=0,"",INDEX(Data!$G$2:$G$750,SMALL(Data!$S$2:$S$750,30))),"")</f>
        <v>46173</v>
      </c>
      <c r="I136" s="56">
        <f t="array" ref="I136">IFERROR(IF(INDEX(Data!$H$2:$H$750,SMALL(Data!$S$2:$S$750,30))=0,"",INDEX(Data!$H$2:$H$750,SMALL(Data!$S$2:$S$750,30))),"")</f>
        <v>14</v>
      </c>
      <c r="J136" s="58">
        <f t="array" ref="J136">IFERROR(INDEX(Data!$I$2:$I$750,SMALL(Data!$S$2:$S$750,30)),"")</f>
        <v>46271</v>
      </c>
      <c r="K136" s="56" t="str">
        <f t="array" ref="K136">IFERROR(INDEX(Data!$J$2:$J$750,SMALL(Data!$S$2:$S$750,30)),"")</f>
        <v>Not Paid</v>
      </c>
      <c r="L136" s="56" t="str">
        <f t="array" ref="L136">IFERROR(INDEX(Data!$K$2:$K$750,SMALL(Data!$S$2:$S$750,30)),"")</f>
        <v>Completed</v>
      </c>
      <c r="M136" s="48" t="s">
        <v>298</v>
      </c>
      <c r="N136" s="48">
        <f>SUMIFS(Data!D2:D750,Data!C2:C750,M136,Data!N2:N750,1)</f>
        <v>13</v>
      </c>
    </row>
    <row r="137" ht="15.75" customHeight="1">
      <c r="B137" s="53" t="str">
        <f t="array" ref="B137">IFERROR(INDEX(Data!$A$2:$A$750,SMALL(Data!$S$2:$S$750,31)),"")</f>
        <v>مخازن وزارة الصحة</v>
      </c>
      <c r="C137" s="53" t="str">
        <f t="array" ref="C137">IFERROR(IF(INDEX(Data!$B$2:$B$750,SMALL(Data!$S$2:$S$750,31))=0,"",INDEX(Data!$B$2:$B$750,SMALL(Data!$S$2:$S$750,31))),"")</f>
        <v>SATO</v>
      </c>
      <c r="D137" s="53" t="str">
        <f t="array" ref="D137">IFERROR(INDEX(Data!$C$2:$C$750,SMALL(Data!$S$2:$S$750,31)),"")</f>
        <v>Sato Printer</v>
      </c>
      <c r="E137" s="53">
        <f t="array" ref="E137">IFERROR(IF(INDEX(Data!$D$2:$D$750,SMALL(Data!$S$2:$S$750,31))=0,"",INDEX(Data!$D$2:$D$750,SMALL(Data!$S$2:$S$750,31))),"")</f>
        <v>2</v>
      </c>
      <c r="F137" s="54">
        <f t="array" ref="F137">IFERROR(IF(INDEX(Data!$E$2:$E$750,SMALL(Data!$S$2:$S$750,31))=0,"",INDEX(Data!$E$2:$E$750,SMALL(Data!$S$2:$S$750,31))),"")</f>
        <v>36</v>
      </c>
      <c r="G137" s="54">
        <f t="array" ref="G137">IFERROR(INDEX(Data!$F$2:$F$750,SMALL(Data!$S$2:$S$750,31)),"")</f>
        <v>72</v>
      </c>
      <c r="H137" s="55">
        <f t="array" ref="H137">IFERROR(IF(INDEX(Data!$G$2:$G$750,SMALL(Data!$S$2:$S$750,31))=0,"",INDEX(Data!$G$2:$G$750,SMALL(Data!$S$2:$S$750,31))),"")</f>
        <v>46174</v>
      </c>
      <c r="I137" s="53">
        <f t="array" ref="I137">IFERROR(IF(INDEX(Data!$H$2:$H$750,SMALL(Data!$S$2:$S$750,31))=0,"",INDEX(Data!$H$2:$H$750,SMALL(Data!$S$2:$S$750,31))),"")</f>
        <v>15</v>
      </c>
      <c r="J137" s="55">
        <f t="array" ref="J137">IFERROR(INDEX(Data!$I$2:$I$750,SMALL(Data!$S$2:$S$750,31)),"")</f>
        <v>46279</v>
      </c>
      <c r="K137" s="53" t="str">
        <f t="array" ref="K137">IFERROR(INDEX(Data!$J$2:$J$750,SMALL(Data!$S$2:$S$750,31)),"")</f>
        <v>Not Paid</v>
      </c>
      <c r="L137" s="53" t="str">
        <f t="array" ref="L137">IFERROR(INDEX(Data!$K$2:$K$750,SMALL(Data!$S$2:$S$750,31)),"")</f>
        <v>Pending</v>
      </c>
      <c r="M137" s="48" t="s">
        <v>315</v>
      </c>
      <c r="N137" s="48">
        <f>SUMIFS(Data!D2:D750,Data!C2:C750,M137,Data!N2:N750,1)</f>
        <v>1000</v>
      </c>
    </row>
    <row r="138" ht="15.75" customHeight="1">
      <c r="B138" s="56" t="str">
        <f t="array" ref="B138">IFERROR(INDEX(Data!$A$2:$A$750,SMALL(Data!$S$2:$S$750,32)),"")</f>
        <v>مخازن وزارة الصحة</v>
      </c>
      <c r="C138" s="56" t="str">
        <f t="array" ref="C138">IFERROR(IF(INDEX(Data!$B$2:$B$750,SMALL(Data!$S$2:$S$750,32))=0,"",INDEX(Data!$B$2:$B$750,SMALL(Data!$S$2:$S$750,32))),"")</f>
        <v>SATO</v>
      </c>
      <c r="D138" s="56" t="str">
        <f t="array" ref="D138">IFERROR(INDEX(Data!$C$2:$C$750,SMALL(Data!$S$2:$S$750,32)),"")</f>
        <v>Ribbons</v>
      </c>
      <c r="E138" s="56">
        <f t="array" ref="E138">IFERROR(IF(INDEX(Data!$D$2:$D$750,SMALL(Data!$S$2:$S$750,32))=0,"",INDEX(Data!$D$2:$D$750,SMALL(Data!$S$2:$S$750,32))),"")</f>
        <v>8</v>
      </c>
      <c r="F138" s="57">
        <f t="array" ref="F138">IFERROR(IF(INDEX(Data!$E$2:$E$750,SMALL(Data!$S$2:$S$750,32))=0,"",INDEX(Data!$E$2:$E$750,SMALL(Data!$S$2:$S$750,32))),"")</f>
        <v>2</v>
      </c>
      <c r="G138" s="57">
        <f t="array" ref="G138">IFERROR(INDEX(Data!$F$2:$F$750,SMALL(Data!$S$2:$S$750,32)),"")</f>
        <v>16</v>
      </c>
      <c r="H138" s="58">
        <f t="array" ref="H138">IFERROR(IF(INDEX(Data!$G$2:$G$750,SMALL(Data!$S$2:$S$750,32))=0,"",INDEX(Data!$G$2:$G$750,SMALL(Data!$S$2:$S$750,32))),"")</f>
        <v>46175</v>
      </c>
      <c r="I138" s="56">
        <f t="array" ref="I138">IFERROR(IF(INDEX(Data!$H$2:$H$750,SMALL(Data!$S$2:$S$750,32))=0,"",INDEX(Data!$H$2:$H$750,SMALL(Data!$S$2:$S$750,32))),"")</f>
        <v>8</v>
      </c>
      <c r="J138" s="58">
        <f t="array" ref="J138">IFERROR(INDEX(Data!$I$2:$I$750,SMALL(Data!$S$2:$S$750,32)),"")</f>
        <v>46231</v>
      </c>
      <c r="K138" s="56" t="str">
        <f t="array" ref="K138">IFERROR(INDEX(Data!$J$2:$J$750,SMALL(Data!$S$2:$S$750,32)),"")</f>
        <v>Not Paid</v>
      </c>
      <c r="L138" s="56" t="str">
        <f t="array" ref="L138">IFERROR(INDEX(Data!$K$2:$K$750,SMALL(Data!$S$2:$S$750,32)),"")</f>
        <v>In Progress</v>
      </c>
      <c r="M138" s="48" t="s">
        <v>388</v>
      </c>
      <c r="N138" s="48">
        <f>SUMIFS(Data!D2:D750,Data!C2:C750,M138,Data!N2:N750,1)</f>
        <v>2</v>
      </c>
    </row>
    <row r="139" ht="15.75" customHeight="1">
      <c r="B139" s="53" t="str">
        <f t="array" ref="B139">IFERROR(INDEX(Data!$A$2:$A$750,SMALL(Data!$S$2:$S$750,33)),"")</f>
        <v>Telal Elsahel</v>
      </c>
      <c r="C139" s="53" t="str">
        <f t="array" ref="C139">IFERROR(IF(INDEX(Data!$B$2:$B$750,SMALL(Data!$S$2:$S$750,33))=0,"",INDEX(Data!$B$2:$B$750,SMALL(Data!$S$2:$S$750,33))),"")</f>
        <v>Metalcraft</v>
      </c>
      <c r="D139" s="53" t="str">
        <f t="array" ref="D139">IFERROR(INDEX(Data!$C$2:$C$750,SMALL(Data!$S$2:$S$750,33)),"")</f>
        <v>Destructive WINDSHIELD Tags- (New Logo)</v>
      </c>
      <c r="E139" s="53">
        <f t="array" ref="E139">IFERROR(IF(INDEX(Data!$D$2:$D$750,SMALL(Data!$S$2:$S$750,33))=0,"",INDEX(Data!$D$2:$D$750,SMALL(Data!$S$2:$S$750,33))),"")</f>
        <v>2500</v>
      </c>
      <c r="F139" s="54">
        <f t="array" ref="F139">IFERROR(IF(INDEX(Data!$E$2:$E$750,SMALL(Data!$S$2:$S$750,33))=0,"",INDEX(Data!$E$2:$E$750,SMALL(Data!$S$2:$S$750,33))),"")</f>
        <v>5</v>
      </c>
      <c r="G139" s="54">
        <f t="array" ref="G139">IFERROR(INDEX(Data!$F$2:$F$750,SMALL(Data!$S$2:$S$750,33)),"")</f>
        <v>12500</v>
      </c>
      <c r="H139" s="55">
        <f t="array" ref="H139">IFERROR(IF(INDEX(Data!$G$2:$G$750,SMALL(Data!$S$2:$S$750,33))=0,"",INDEX(Data!$G$2:$G$750,SMALL(Data!$S$2:$S$750,33))),"")</f>
        <v>46176</v>
      </c>
      <c r="I139" s="53">
        <f t="array" ref="I139">IFERROR(IF(INDEX(Data!$H$2:$H$750,SMALL(Data!$S$2:$S$750,33))=0,"",INDEX(Data!$H$2:$H$750,SMALL(Data!$S$2:$S$750,33))),"")</f>
        <v>6</v>
      </c>
      <c r="J139" s="55">
        <f t="array" ref="J139">IFERROR(INDEX(Data!$I$2:$I$750,SMALL(Data!$S$2:$S$750,33)),"")</f>
        <v>46218</v>
      </c>
      <c r="K139" s="53" t="str">
        <f t="array" ref="K139">IFERROR(INDEX(Data!$J$2:$J$750,SMALL(Data!$S$2:$S$750,33)),"")</f>
        <v>Not Paid</v>
      </c>
      <c r="L139" s="53" t="str">
        <f t="array" ref="L139">IFERROR(INDEX(Data!$K$2:$K$750,SMALL(Data!$S$2:$S$750,33)),"")</f>
        <v>Completed</v>
      </c>
      <c r="M139" s="48" t="s">
        <v>211</v>
      </c>
      <c r="N139" s="48">
        <f>SUMIFS(Data!D2:D750,Data!C2:C750,M139,Data!N2:N750,1)</f>
        <v>39</v>
      </c>
    </row>
    <row r="140" ht="15.75" customHeight="1">
      <c r="B140" s="56" t="str">
        <f t="array" ref="B140">IFERROR(INDEX(Data!$A$2:$A$750,SMALL(Data!$S$2:$S$750,34)),"")</f>
        <v>Telal Elsahel</v>
      </c>
      <c r="C140" s="56" t="str">
        <f t="array" ref="C140">IFERROR(IF(INDEX(Data!$B$2:$B$750,SMALL(Data!$S$2:$S$750,34))=0,"",INDEX(Data!$B$2:$B$750,SMALL(Data!$S$2:$S$750,34))),"")</f>
        <v>Metalcraft</v>
      </c>
      <c r="D140" s="56" t="str">
        <f t="array" ref="D140">IFERROR(INDEX(Data!$C$2:$C$750,SMALL(Data!$S$2:$S$750,34)),"")</f>
        <v>Destructive WINDSHIELD Tags- (Old Logo)</v>
      </c>
      <c r="E140" s="56">
        <f t="array" ref="E140">IFERROR(IF(INDEX(Data!$D$2:$D$750,SMALL(Data!$S$2:$S$750,34))=0,"",INDEX(Data!$D$2:$D$750,SMALL(Data!$S$2:$S$750,34))),"")</f>
        <v>186</v>
      </c>
      <c r="F140" s="57">
        <f t="array" ref="F140">IFERROR(IF(INDEX(Data!$E$2:$E$750,SMALL(Data!$S$2:$S$750,34))=0,"",INDEX(Data!$E$2:$E$750,SMALL(Data!$S$2:$S$750,34))),"")</f>
        <v>6</v>
      </c>
      <c r="G140" s="57">
        <f t="array" ref="G140">IFERROR(INDEX(Data!$F$2:$F$750,SMALL(Data!$S$2:$S$750,34)),"")</f>
        <v>1116</v>
      </c>
      <c r="H140" s="58">
        <f t="array" ref="H140">IFERROR(IF(INDEX(Data!$G$2:$G$750,SMALL(Data!$S$2:$S$750,34))=0,"",INDEX(Data!$G$2:$G$750,SMALL(Data!$S$2:$S$750,34))),"")</f>
        <v>46177</v>
      </c>
      <c r="I140" s="56">
        <f t="array" ref="I140">IFERROR(IF(INDEX(Data!$H$2:$H$750,SMALL(Data!$S$2:$S$750,34))=0,"",INDEX(Data!$H$2:$H$750,SMALL(Data!$S$2:$S$750,34))),"")</f>
        <v>7</v>
      </c>
      <c r="J140" s="58">
        <f t="array" ref="J140">IFERROR(INDEX(Data!$I$2:$I$750,SMALL(Data!$S$2:$S$750,34)),"")</f>
        <v>46226</v>
      </c>
      <c r="K140" s="56" t="str">
        <f t="array" ref="K140">IFERROR(INDEX(Data!$J$2:$J$750,SMALL(Data!$S$2:$S$750,34)),"")</f>
        <v>Not Paid</v>
      </c>
      <c r="L140" s="56" t="str">
        <f t="array" ref="L140">IFERROR(INDEX(Data!$K$2:$K$750,SMALL(Data!$S$2:$S$750,34)),"")</f>
        <v>Delayed</v>
      </c>
      <c r="M140" s="48" t="s">
        <v>490</v>
      </c>
      <c r="N140" s="48">
        <f>SUMIFS(Data!D2:D750,Data!C2:C750,M140,Data!N2:N750,1)</f>
        <v>1</v>
      </c>
    </row>
    <row r="141" ht="15.75" customHeight="1">
      <c r="B141" s="53" t="str">
        <f t="array" ref="B141">IFERROR(INDEX(Data!$A$2:$A$750,SMALL(Data!$S$2:$S$750,35)),"")</f>
        <v>El Kasr Jewelry</v>
      </c>
      <c r="C141" s="53" t="str">
        <f t="array" ref="C141">IFERROR(IF(INDEX(Data!$B$2:$B$750,SMALL(Data!$S$2:$S$750,35))=0,"",INDEX(Data!$B$2:$B$750,SMALL(Data!$S$2:$S$750,35))),"")</f>
        <v>El Nekheely</v>
      </c>
      <c r="D141" s="53" t="str">
        <f t="array" ref="D141">IFERROR(INDEX(Data!$C$2:$C$750,SMALL(Data!$S$2:$S$750,35)),"")</f>
        <v>Coaxial 4m</v>
      </c>
      <c r="E141" s="53">
        <f t="array" ref="E141">IFERROR(IF(INDEX(Data!$D$2:$D$750,SMALL(Data!$S$2:$S$750,35))=0,"",INDEX(Data!$D$2:$D$750,SMALL(Data!$S$2:$S$750,35))),"")</f>
        <v>2</v>
      </c>
      <c r="F141" s="54">
        <f t="array" ref="F141">IFERROR(IF(INDEX(Data!$E$2:$E$750,SMALL(Data!$S$2:$S$750,35))=0,"",INDEX(Data!$E$2:$E$750,SMALL(Data!$S$2:$S$750,35))),"")</f>
        <v>7</v>
      </c>
      <c r="G141" s="54">
        <f t="array" ref="G141">IFERROR(INDEX(Data!$F$2:$F$750,SMALL(Data!$S$2:$S$750,35)),"")</f>
        <v>14</v>
      </c>
      <c r="H141" s="55">
        <f t="array" ref="H141">IFERROR(IF(INDEX(Data!$G$2:$G$750,SMALL(Data!$S$2:$S$750,35))=0,"",INDEX(Data!$G$2:$G$750,SMALL(Data!$S$2:$S$750,35))),"")</f>
        <v>46178</v>
      </c>
      <c r="I141" s="53">
        <f t="array" ref="I141">IFERROR(IF(INDEX(Data!$H$2:$H$750,SMALL(Data!$S$2:$S$750,35))=0,"",INDEX(Data!$H$2:$H$750,SMALL(Data!$S$2:$S$750,35))),"")</f>
        <v>8</v>
      </c>
      <c r="J141" s="55">
        <f t="array" ref="J141">IFERROR(INDEX(Data!$I$2:$I$750,SMALL(Data!$S$2:$S$750,35)),"")</f>
        <v>46234</v>
      </c>
      <c r="K141" s="53" t="str">
        <f t="array" ref="K141">IFERROR(INDEX(Data!$J$2:$J$750,SMALL(Data!$S$2:$S$750,35)),"")</f>
        <v>Not Paid</v>
      </c>
      <c r="L141" s="53" t="str">
        <f t="array" ref="L141">IFERROR(INDEX(Data!$K$2:$K$750,SMALL(Data!$S$2:$S$750,35)),"")</f>
        <v>Pending</v>
      </c>
      <c r="M141" s="48" t="s">
        <v>251</v>
      </c>
      <c r="N141" s="48">
        <f>SUMIFS(Data!D2:D750,Data!C2:C750,M141,Data!N2:N750,1)</f>
        <v>2</v>
      </c>
    </row>
    <row r="142" ht="15.75" customHeight="1">
      <c r="B142" s="56" t="str">
        <f t="array" ref="B142">IFERROR(INDEX(Data!$A$2:$A$750,SMALL(Data!$S$2:$S$750,36)),"")</f>
        <v>El Kasr Jewelry</v>
      </c>
      <c r="C142" s="56" t="str">
        <f t="array" ref="C142">IFERROR(IF(INDEX(Data!$B$2:$B$750,SMALL(Data!$S$2:$S$750,36))=0,"",INDEX(Data!$B$2:$B$750,SMALL(Data!$S$2:$S$750,36))),"")</f>
        <v>El Nekheely</v>
      </c>
      <c r="D142" s="56" t="str">
        <f t="array" ref="D142">IFERROR(INDEX(Data!$C$2:$C$750,SMALL(Data!$S$2:$S$750,36)),"")</f>
        <v>Coaxial 3m</v>
      </c>
      <c r="E142" s="56">
        <f t="array" ref="E142">IFERROR(IF(INDEX(Data!$D$2:$D$750,SMALL(Data!$S$2:$S$750,36))=0,"",INDEX(Data!$D$2:$D$750,SMALL(Data!$S$2:$S$750,36))),"")</f>
        <v>2</v>
      </c>
      <c r="F142" s="57">
        <f t="array" ref="F142">IFERROR(IF(INDEX(Data!$E$2:$E$750,SMALL(Data!$S$2:$S$750,36))=0,"",INDEX(Data!$E$2:$E$750,SMALL(Data!$S$2:$S$750,36))),"")</f>
        <v>8</v>
      </c>
      <c r="G142" s="57">
        <f t="array" ref="G142">IFERROR(INDEX(Data!$F$2:$F$750,SMALL(Data!$S$2:$S$750,36)),"")</f>
        <v>16</v>
      </c>
      <c r="H142" s="58">
        <f t="array" ref="H142">IFERROR(IF(INDEX(Data!$G$2:$G$750,SMALL(Data!$S$2:$S$750,36))=0,"",INDEX(Data!$G$2:$G$750,SMALL(Data!$S$2:$S$750,36))),"")</f>
        <v>46179</v>
      </c>
      <c r="I142" s="56">
        <f t="array" ref="I142">IFERROR(IF(INDEX(Data!$H$2:$H$750,SMALL(Data!$S$2:$S$750,36))=0,"",INDEX(Data!$H$2:$H$750,SMALL(Data!$S$2:$S$750,36))),"")</f>
        <v>4</v>
      </c>
      <c r="J142" s="58">
        <f t="array" ref="J142">IFERROR(INDEX(Data!$I$2:$I$750,SMALL(Data!$S$2:$S$750,36)),"")</f>
        <v>46207</v>
      </c>
      <c r="K142" s="56" t="str">
        <f t="array" ref="K142">IFERROR(INDEX(Data!$J$2:$J$750,SMALL(Data!$S$2:$S$750,36)),"")</f>
        <v>Not Paid</v>
      </c>
      <c r="L142" s="56" t="str">
        <f t="array" ref="L142">IFERROR(INDEX(Data!$K$2:$K$750,SMALL(Data!$S$2:$S$750,36)),"")</f>
        <v>Pending</v>
      </c>
      <c r="M142" s="48" t="s">
        <v>495</v>
      </c>
      <c r="N142" s="48">
        <f>SUMIFS(Data!D2:D750,Data!C2:C750,M142,Data!N2:N750,1)</f>
        <v>100</v>
      </c>
    </row>
    <row r="143" ht="15.75" customHeight="1">
      <c r="B143" s="53" t="str">
        <f t="array" ref="B143">IFERROR(INDEX(Data!$A$2:$A$750,SMALL(Data!$S$2:$S$750,37)),"")</f>
        <v>El Patio</v>
      </c>
      <c r="C143" s="53" t="str">
        <f t="array" ref="C143">IFERROR(IF(INDEX(Data!$B$2:$B$750,SMALL(Data!$S$2:$S$750,37))=0,"",INDEX(Data!$B$2:$B$750,SMALL(Data!$S$2:$S$750,37))),"")</f>
        <v>El Nekheely</v>
      </c>
      <c r="D143" s="53" t="str">
        <f t="array" ref="D143">IFERROR(INDEX(Data!$C$2:$C$750,SMALL(Data!$S$2:$S$750,37)),"")</f>
        <v>Coaxial 10m</v>
      </c>
      <c r="E143" s="53">
        <f t="array" ref="E143">IFERROR(IF(INDEX(Data!$D$2:$D$750,SMALL(Data!$S$2:$S$750,37))=0,"",INDEX(Data!$D$2:$D$750,SMALL(Data!$S$2:$S$750,37))),"")</f>
        <v>4</v>
      </c>
      <c r="F143" s="54">
        <f t="array" ref="F143">IFERROR(IF(INDEX(Data!$E$2:$E$750,SMALL(Data!$S$2:$S$750,37))=0,"",INDEX(Data!$E$2:$E$750,SMALL(Data!$S$2:$S$750,37))),"")</f>
        <v>2</v>
      </c>
      <c r="G143" s="54">
        <f t="array" ref="G143">IFERROR(INDEX(Data!$F$2:$F$750,SMALL(Data!$S$2:$S$750,37)),"")</f>
        <v>8</v>
      </c>
      <c r="H143" s="55">
        <f t="array" ref="H143">IFERROR(IF(INDEX(Data!$G$2:$G$750,SMALL(Data!$S$2:$S$750,37))=0,"",INDEX(Data!$G$2:$G$750,SMALL(Data!$S$2:$S$750,37))),"")</f>
        <v>46180</v>
      </c>
      <c r="I143" s="53">
        <f t="array" ref="I143">IFERROR(IF(INDEX(Data!$H$2:$H$750,SMALL(Data!$S$2:$S$750,37))=0,"",INDEX(Data!$H$2:$H$750,SMALL(Data!$S$2:$S$750,37))),"")</f>
        <v>7</v>
      </c>
      <c r="J143" s="55">
        <f t="array" ref="J143">IFERROR(INDEX(Data!$I$2:$I$750,SMALL(Data!$S$2:$S$750,37)),"")</f>
        <v>46229</v>
      </c>
      <c r="K143" s="53" t="str">
        <f t="array" ref="K143">IFERROR(INDEX(Data!$J$2:$J$750,SMALL(Data!$S$2:$S$750,37)),"")</f>
        <v>Not Paid</v>
      </c>
      <c r="L143" s="53" t="str">
        <f t="array" ref="L143">IFERROR(INDEX(Data!$K$2:$K$750,SMALL(Data!$S$2:$S$750,37)),"")</f>
        <v>In Progress</v>
      </c>
      <c r="M143" s="48" t="s">
        <v>499</v>
      </c>
      <c r="N143" s="48">
        <f>SUMIFS(Data!D2:D750,Data!C2:C750,M143,Data!N2:N750,1)</f>
        <v>1</v>
      </c>
    </row>
    <row r="144" ht="15.75" customHeight="1">
      <c r="B144" s="56" t="str">
        <f t="array" ref="B144">IFERROR(INDEX(Data!$A$2:$A$750,SMALL(Data!$S$2:$S$750,38)),"")</f>
        <v>El Patio</v>
      </c>
      <c r="C144" s="56" t="str">
        <f t="array" ref="C144">IFERROR(IF(INDEX(Data!$B$2:$B$750,SMALL(Data!$S$2:$S$750,38))=0,"",INDEX(Data!$B$2:$B$750,SMALL(Data!$S$2:$S$750,38))),"")</f>
        <v>El Nekheely</v>
      </c>
      <c r="D144" s="56" t="str">
        <f t="array" ref="D144">IFERROR(INDEX(Data!$C$2:$C$750,SMALL(Data!$S$2:$S$750,38)),"")</f>
        <v>Coaxial 13m</v>
      </c>
      <c r="E144" s="56">
        <f t="array" ref="E144">IFERROR(IF(INDEX(Data!$D$2:$D$750,SMALL(Data!$S$2:$S$750,38))=0,"",INDEX(Data!$D$2:$D$750,SMALL(Data!$S$2:$S$750,38))),"")</f>
        <v>2</v>
      </c>
      <c r="F144" s="57">
        <f t="array" ref="F144">IFERROR(IF(INDEX(Data!$E$2:$E$750,SMALL(Data!$S$2:$S$750,38))=0,"",INDEX(Data!$E$2:$E$750,SMALL(Data!$S$2:$S$750,38))),"")</f>
        <v>15</v>
      </c>
      <c r="G144" s="57">
        <f t="array" ref="G144">IFERROR(INDEX(Data!$F$2:$F$750,SMALL(Data!$S$2:$S$750,38)),"")</f>
        <v>30</v>
      </c>
      <c r="H144" s="58">
        <f t="array" ref="H144">IFERROR(IF(INDEX(Data!$G$2:$G$750,SMALL(Data!$S$2:$S$750,38))=0,"",INDEX(Data!$G$2:$G$750,SMALL(Data!$S$2:$S$750,38))),"")</f>
        <v>46181</v>
      </c>
      <c r="I144" s="56">
        <f t="array" ref="I144">IFERROR(IF(INDEX(Data!$H$2:$H$750,SMALL(Data!$S$2:$S$750,38))=0,"",INDEX(Data!$H$2:$H$750,SMALL(Data!$S$2:$S$750,38))),"")</f>
        <v>5</v>
      </c>
      <c r="J144" s="58">
        <f t="array" ref="J144">IFERROR(INDEX(Data!$I$2:$I$750,SMALL(Data!$S$2:$S$750,38)),"")</f>
        <v>46216</v>
      </c>
      <c r="K144" s="56" t="str">
        <f t="array" ref="K144">IFERROR(INDEX(Data!$J$2:$J$750,SMALL(Data!$S$2:$S$750,38)),"")</f>
        <v>Not Paid</v>
      </c>
      <c r="L144" s="56" t="str">
        <f t="array" ref="L144">IFERROR(INDEX(Data!$K$2:$K$750,SMALL(Data!$S$2:$S$750,38)),"")</f>
        <v>Completed</v>
      </c>
      <c r="M144" s="48" t="s">
        <v>501</v>
      </c>
      <c r="N144" s="48">
        <f>SUMIFS(Data!D2:D750,Data!C2:C750,M144,Data!N2:N750,1)</f>
        <v>2</v>
      </c>
    </row>
    <row r="145" ht="15.75" customHeight="1">
      <c r="B145" s="53" t="str">
        <f t="array" ref="B145">IFERROR(INDEX(Data!$A$2:$A$750,SMALL(Data!$S$2:$S$750,39)),"")</f>
        <v>Bellagio</v>
      </c>
      <c r="C145" s="53" t="str">
        <f t="array" ref="C145">IFERROR(IF(INDEX(Data!$B$2:$B$750,SMALL(Data!$S$2:$S$750,39))=0,"",INDEX(Data!$B$2:$B$750,SMALL(Data!$S$2:$S$750,39))),"")</f>
        <v>Tech-Electrique</v>
      </c>
      <c r="D145" s="53" t="str">
        <f t="array" ref="D145">IFERROR(INDEX(Data!$C$2:$C$750,SMALL(Data!$S$2:$S$750,39)),"")</f>
        <v>FAAC Gate B614- 4m</v>
      </c>
      <c r="E145" s="53">
        <f t="array" ref="E145">IFERROR(IF(INDEX(Data!$D$2:$D$750,SMALL(Data!$S$2:$S$750,39))=0,"",INDEX(Data!$D$2:$D$750,SMALL(Data!$S$2:$S$750,39))),"")</f>
        <v>2</v>
      </c>
      <c r="F145" s="54">
        <f t="array" ref="F145">IFERROR(IF(INDEX(Data!$E$2:$E$750,SMALL(Data!$S$2:$S$750,39))=0,"",INDEX(Data!$E$2:$E$750,SMALL(Data!$S$2:$S$750,39))),"")</f>
        <v>45</v>
      </c>
      <c r="G145" s="54">
        <f t="array" ref="G145">IFERROR(INDEX(Data!$F$2:$F$750,SMALL(Data!$S$2:$S$750,39)),"")</f>
        <v>90</v>
      </c>
      <c r="H145" s="55">
        <f t="array" ref="H145">IFERROR(IF(INDEX(Data!$G$2:$G$750,SMALL(Data!$S$2:$S$750,39))=0,"",INDEX(Data!$G$2:$G$750,SMALL(Data!$S$2:$S$750,39))),"")</f>
        <v>46182</v>
      </c>
      <c r="I145" s="53">
        <f t="array" ref="I145">IFERROR(IF(INDEX(Data!$H$2:$H$750,SMALL(Data!$S$2:$S$750,39))=0,"",INDEX(Data!$H$2:$H$750,SMALL(Data!$S$2:$S$750,39))),"")</f>
        <v>8</v>
      </c>
      <c r="J145" s="55">
        <f t="array" ref="J145">IFERROR(INDEX(Data!$I$2:$I$750,SMALL(Data!$S$2:$S$750,39)),"")</f>
        <v>46238</v>
      </c>
      <c r="K145" s="53" t="str">
        <f t="array" ref="K145">IFERROR(INDEX(Data!$J$2:$J$750,SMALL(Data!$S$2:$S$750,39)),"")</f>
        <v>Not Paid</v>
      </c>
      <c r="L145" s="53" t="str">
        <f t="array" ref="L145">IFERROR(INDEX(Data!$K$2:$K$750,SMALL(Data!$S$2:$S$750,39)),"")</f>
        <v>Delayed</v>
      </c>
      <c r="M145" s="48" t="s">
        <v>504</v>
      </c>
      <c r="N145" s="48">
        <f>SUMIFS(Data!D2:D750,Data!C2:C750,M145,Data!N2:N750,1)</f>
        <v>1</v>
      </c>
    </row>
    <row r="146" ht="15.75" customHeight="1">
      <c r="B146" s="56" t="str">
        <f t="array" ref="B146">IFERROR(INDEX(Data!$A$2:$A$750,SMALL(Data!$S$2:$S$750,40)),"")</f>
        <v>Bellagio</v>
      </c>
      <c r="C146" s="56" t="str">
        <f t="array" ref="C146">IFERROR(IF(INDEX(Data!$B$2:$B$750,SMALL(Data!$S$2:$S$750,40))=0,"",INDEX(Data!$B$2:$B$750,SMALL(Data!$S$2:$S$750,40))),"")</f>
        <v>Tech-Electrique</v>
      </c>
      <c r="D146" s="56" t="str">
        <f t="array" ref="D146">IFERROR(INDEX(Data!$C$2:$C$750,SMALL(Data!$S$2:$S$750,40)),"")</f>
        <v>Control Board of Barrier FAAC B614</v>
      </c>
      <c r="E146" s="56">
        <f t="array" ref="E146">IFERROR(IF(INDEX(Data!$D$2:$D$750,SMALL(Data!$S$2:$S$750,40))=0,"",INDEX(Data!$D$2:$D$750,SMALL(Data!$S$2:$S$750,40))),"")</f>
        <v>1</v>
      </c>
      <c r="F146" s="57">
        <f t="array" ref="F146">IFERROR(IF(INDEX(Data!$E$2:$E$750,SMALL(Data!$S$2:$S$750,40))=0,"",INDEX(Data!$E$2:$E$750,SMALL(Data!$S$2:$S$750,40))),"")</f>
        <v>24</v>
      </c>
      <c r="G146" s="57">
        <f t="array" ref="G146">IFERROR(INDEX(Data!$F$2:$F$750,SMALL(Data!$S$2:$S$750,40)),"")</f>
        <v>24</v>
      </c>
      <c r="H146" s="58">
        <f t="array" ref="H146">IFERROR(IF(INDEX(Data!$G$2:$G$750,SMALL(Data!$S$2:$S$750,40))=0,"",INDEX(Data!$G$2:$G$750,SMALL(Data!$S$2:$S$750,40))),"")</f>
        <v>46183</v>
      </c>
      <c r="I146" s="56">
        <f t="array" ref="I146">IFERROR(IF(INDEX(Data!$H$2:$H$750,SMALL(Data!$S$2:$S$750,40))=0,"",INDEX(Data!$H$2:$H$750,SMALL(Data!$S$2:$S$750,40))),"")</f>
        <v>5</v>
      </c>
      <c r="J146" s="58">
        <f t="array" ref="J146">IFERROR(INDEX(Data!$I$2:$I$750,SMALL(Data!$S$2:$S$750,40)),"")</f>
        <v>46218</v>
      </c>
      <c r="K146" s="56" t="str">
        <f t="array" ref="K146">IFERROR(INDEX(Data!$J$2:$J$750,SMALL(Data!$S$2:$S$750,40)),"")</f>
        <v>Not Paid</v>
      </c>
      <c r="L146" s="56" t="str">
        <f t="array" ref="L146">IFERROR(INDEX(Data!$K$2:$K$750,SMALL(Data!$S$2:$S$750,40)),"")</f>
        <v>Pending</v>
      </c>
      <c r="M146" s="48" t="s">
        <v>254</v>
      </c>
      <c r="N146" s="48">
        <f>SUMIFS(Data!D2:D750,Data!C2:C750,M146,Data!N2:N750,1)</f>
        <v>31000</v>
      </c>
    </row>
    <row r="147" ht="15.75" customHeight="1">
      <c r="B147" s="53" t="str">
        <f t="array" ref="B147">IFERROR(INDEX(Data!$A$2:$A$750,SMALL(Data!$S$2:$S$750,41)),"")</f>
        <v>AlBurouj</v>
      </c>
      <c r="C147" s="53" t="str">
        <f t="array" ref="C147">IFERROR(IF(INDEX(Data!$B$2:$B$750,SMALL(Data!$S$2:$S$750,41))=0,"",INDEX(Data!$B$2:$B$750,SMALL(Data!$S$2:$S$750,41))),"")</f>
        <v/>
      </c>
      <c r="D147" s="53" t="str">
        <f t="array" ref="D147">IFERROR(INDEX(Data!$C$2:$C$750,SMALL(Data!$S$2:$S$750,41)),"")</f>
        <v>FAAC Boom- 3m</v>
      </c>
      <c r="E147" s="53">
        <f t="array" ref="E147">IFERROR(IF(INDEX(Data!$D$2:$D$750,SMALL(Data!$S$2:$S$750,41))=0,"",INDEX(Data!$D$2:$D$750,SMALL(Data!$S$2:$S$750,41))),"")</f>
        <v>1</v>
      </c>
      <c r="F147" s="54">
        <f t="array" ref="F147">IFERROR(IF(INDEX(Data!$E$2:$E$750,SMALL(Data!$S$2:$S$750,41))=0,"",INDEX(Data!$E$2:$E$750,SMALL(Data!$S$2:$S$750,41))),"")</f>
        <v>25</v>
      </c>
      <c r="G147" s="54">
        <f t="array" ref="G147">IFERROR(INDEX(Data!$F$2:$F$750,SMALL(Data!$S$2:$S$750,41)),"")</f>
        <v>25</v>
      </c>
      <c r="H147" s="55">
        <f t="array" ref="H147">IFERROR(IF(INDEX(Data!$G$2:$G$750,SMALL(Data!$S$2:$S$750,41))=0,"",INDEX(Data!$G$2:$G$750,SMALL(Data!$S$2:$S$750,41))),"")</f>
        <v>46184</v>
      </c>
      <c r="I147" s="53">
        <f t="array" ref="I147">IFERROR(IF(INDEX(Data!$H$2:$H$750,SMALL(Data!$S$2:$S$750,41))=0,"",INDEX(Data!$H$2:$H$750,SMALL(Data!$S$2:$S$750,41))),"")</f>
        <v>6</v>
      </c>
      <c r="J147" s="55">
        <f t="array" ref="J147">IFERROR(INDEX(Data!$I$2:$I$750,SMALL(Data!$S$2:$S$750,41)),"")</f>
        <v>46226</v>
      </c>
      <c r="K147" s="53" t="str">
        <f t="array" ref="K147">IFERROR(INDEX(Data!$J$2:$J$750,SMALL(Data!$S$2:$S$750,41)),"")</f>
        <v>Not Paid</v>
      </c>
      <c r="L147" s="53" t="str">
        <f t="array" ref="L147">IFERROR(INDEX(Data!$K$2:$K$750,SMALL(Data!$S$2:$S$750,41)),"")</f>
        <v>Completed</v>
      </c>
      <c r="M147" s="48" t="s">
        <v>509</v>
      </c>
      <c r="N147" s="48">
        <f>SUMIFS(Data!D2:D750,Data!C2:C750,M147,Data!N2:N750,1)</f>
        <v>1</v>
      </c>
    </row>
    <row r="148" ht="15.75" customHeight="1">
      <c r="B148" s="56" t="str">
        <f t="array" ref="B148">IFERROR(INDEX(Data!$A$2:$A$750,SMALL(Data!$S$2:$S$750,42)),"")</f>
        <v>AlBurouj</v>
      </c>
      <c r="C148" s="56" t="str">
        <f t="array" ref="C148">IFERROR(IF(INDEX(Data!$B$2:$B$750,SMALL(Data!$S$2:$S$750,42))=0,"",INDEX(Data!$B$2:$B$750,SMALL(Data!$S$2:$S$750,42))),"")</f>
        <v>Local</v>
      </c>
      <c r="D148" s="56" t="str">
        <f t="array" ref="D148">IFERROR(INDEX(Data!$C$2:$C$750,SMALL(Data!$S$2:$S$750,42)),"")</f>
        <v>Automatic switch</v>
      </c>
      <c r="E148" s="56">
        <f t="array" ref="E148">IFERROR(IF(INDEX(Data!$D$2:$D$750,SMALL(Data!$S$2:$S$750,42))=0,"",INDEX(Data!$D$2:$D$750,SMALL(Data!$S$2:$S$750,42))),"")</f>
        <v>1</v>
      </c>
      <c r="F148" s="57">
        <f t="array" ref="F148">IFERROR(IF(INDEX(Data!$E$2:$E$750,SMALL(Data!$S$2:$S$750,42))=0,"",INDEX(Data!$E$2:$E$750,SMALL(Data!$S$2:$S$750,42))),"")</f>
        <v>36</v>
      </c>
      <c r="G148" s="57">
        <f t="array" ref="G148">IFERROR(INDEX(Data!$F$2:$F$750,SMALL(Data!$S$2:$S$750,42)),"")</f>
        <v>36</v>
      </c>
      <c r="H148" s="58">
        <f t="array" ref="H148">IFERROR(IF(INDEX(Data!$G$2:$G$750,SMALL(Data!$S$2:$S$750,42))=0,"",INDEX(Data!$G$2:$G$750,SMALL(Data!$S$2:$S$750,42))),"")</f>
        <v>46185</v>
      </c>
      <c r="I148" s="56">
        <f t="array" ref="I148">IFERROR(IF(INDEX(Data!$H$2:$H$750,SMALL(Data!$S$2:$S$750,42))=0,"",INDEX(Data!$H$2:$H$750,SMALL(Data!$S$2:$S$750,42))),"")</f>
        <v>9</v>
      </c>
      <c r="J148" s="58">
        <f t="array" ref="J148">IFERROR(INDEX(Data!$I$2:$I$750,SMALL(Data!$S$2:$S$750,42)),"")</f>
        <v>46248</v>
      </c>
      <c r="K148" s="56" t="str">
        <f t="array" ref="K148">IFERROR(INDEX(Data!$J$2:$J$750,SMALL(Data!$S$2:$S$750,42)),"")</f>
        <v>Not Paid</v>
      </c>
      <c r="L148" s="56" t="str">
        <f t="array" ref="L148">IFERROR(INDEX(Data!$K$2:$K$750,SMALL(Data!$S$2:$S$750,42)),"")</f>
        <v>Pending</v>
      </c>
      <c r="M148" s="48" t="s">
        <v>312</v>
      </c>
      <c r="N148" s="48">
        <f>SUMIFS(Data!D2:D750,Data!C2:C750,M148,Data!N2:N750,1)</f>
        <v>300</v>
      </c>
    </row>
    <row r="149" ht="15.75" customHeight="1">
      <c r="B149" s="53" t="str">
        <f t="array" ref="B149">IFERROR(INDEX(Data!$A$2:$A$750,SMALL(Data!$S$2:$S$750,43)),"")</f>
        <v>Suez Canal Bank</v>
      </c>
      <c r="C149" s="53" t="str">
        <f t="array" ref="C149">IFERROR(IF(INDEX(Data!$B$2:$B$750,SMALL(Data!$S$2:$S$750,43))=0,"",INDEX(Data!$B$2:$B$750,SMALL(Data!$S$2:$S$750,43))),"")</f>
        <v>RICH RFID</v>
      </c>
      <c r="D149" s="53" t="str">
        <f t="array" ref="D149">IFERROR(INDEX(Data!$C$2:$C$750,SMALL(Data!$S$2:$S$750,43)),"")</f>
        <v>UHF On metal tags</v>
      </c>
      <c r="E149" s="53">
        <f t="array" ref="E149">IFERROR(IF(INDEX(Data!$D$2:$D$750,SMALL(Data!$S$2:$S$750,43))=0,"",INDEX(Data!$D$2:$D$750,SMALL(Data!$S$2:$S$750,43))),"")</f>
        <v>3000</v>
      </c>
      <c r="F149" s="54">
        <f t="array" ref="F149">IFERROR(IF(INDEX(Data!$E$2:$E$750,SMALL(Data!$S$2:$S$750,43))=0,"",INDEX(Data!$E$2:$E$750,SMALL(Data!$S$2:$S$750,43))),"")</f>
        <v>95</v>
      </c>
      <c r="G149" s="54">
        <f t="array" ref="G149">IFERROR(INDEX(Data!$F$2:$F$750,SMALL(Data!$S$2:$S$750,43)),"")</f>
        <v>285000</v>
      </c>
      <c r="H149" s="55">
        <f t="array" ref="H149">IFERROR(IF(INDEX(Data!$G$2:$G$750,SMALL(Data!$S$2:$S$750,43))=0,"",INDEX(Data!$G$2:$G$750,SMALL(Data!$S$2:$S$750,43))),"")</f>
        <v>46186</v>
      </c>
      <c r="I149" s="53">
        <f t="array" ref="I149">IFERROR(IF(INDEX(Data!$H$2:$H$750,SMALL(Data!$S$2:$S$750,43))=0,"",INDEX(Data!$H$2:$H$750,SMALL(Data!$S$2:$S$750,43))),"")</f>
        <v>9</v>
      </c>
      <c r="J149" s="55">
        <f t="array" ref="J149">IFERROR(INDEX(Data!$I$2:$I$750,SMALL(Data!$S$2:$S$750,43)),"")</f>
        <v>46249</v>
      </c>
      <c r="K149" s="53" t="str">
        <f t="array" ref="K149">IFERROR(INDEX(Data!$J$2:$J$750,SMALL(Data!$S$2:$S$750,43)),"")</f>
        <v>Not Paid</v>
      </c>
      <c r="L149" s="53" t="str">
        <f t="array" ref="L149">IFERROR(INDEX(Data!$K$2:$K$750,SMALL(Data!$S$2:$S$750,43)),"")</f>
        <v>In Progress</v>
      </c>
      <c r="M149" s="48" t="s">
        <v>523</v>
      </c>
      <c r="N149" s="48">
        <f>SUMIFS(Data!D2:D750,Data!C2:C750,M149,Data!N2:N750,1)</f>
        <v>20</v>
      </c>
    </row>
    <row r="150" ht="15.75" customHeight="1">
      <c r="B150" s="56" t="str">
        <f t="array" ref="B150">IFERROR(INDEX(Data!$A$2:$A$750,SMALL(Data!$S$2:$S$750,44)),"")</f>
        <v>Akoya</v>
      </c>
      <c r="C150" s="56" t="str">
        <f t="array" ref="C150">IFERROR(IF(INDEX(Data!$B$2:$B$750,SMALL(Data!$S$2:$S$750,44))=0,"",INDEX(Data!$B$2:$B$750,SMALL(Data!$S$2:$S$750,44))),"")</f>
        <v>Metalcraft</v>
      </c>
      <c r="D150" s="56" t="str">
        <f t="array" ref="D150">IFERROR(INDEX(Data!$C$2:$C$750,SMALL(Data!$S$2:$S$750,44)),"")</f>
        <v>Dest windshield tags</v>
      </c>
      <c r="E150" s="56">
        <f t="array" ref="E150">IFERROR(IF(INDEX(Data!$D$2:$D$750,SMALL(Data!$S$2:$S$750,44))=0,"",INDEX(Data!$D$2:$D$750,SMALL(Data!$S$2:$S$750,44))),"")</f>
        <v>300</v>
      </c>
      <c r="F150" s="57">
        <f t="array" ref="F150">IFERROR(IF(INDEX(Data!$E$2:$E$750,SMALL(Data!$S$2:$S$750,44))=0,"",INDEX(Data!$E$2:$E$750,SMALL(Data!$S$2:$S$750,44))),"")</f>
        <v>574</v>
      </c>
      <c r="G150" s="57">
        <f t="array" ref="G150">IFERROR(INDEX(Data!$F$2:$F$750,SMALL(Data!$S$2:$S$750,44)),"")</f>
        <v>172200</v>
      </c>
      <c r="H150" s="58">
        <f t="array" ref="H150">IFERROR(IF(INDEX(Data!$G$2:$G$750,SMALL(Data!$S$2:$S$750,44))=0,"",INDEX(Data!$G$2:$G$750,SMALL(Data!$S$2:$S$750,44))),"")</f>
        <v>46187</v>
      </c>
      <c r="I150" s="56">
        <f t="array" ref="I150">IFERROR(IF(INDEX(Data!$H$2:$H$750,SMALL(Data!$S$2:$S$750,44))=0,"",INDEX(Data!$H$2:$H$750,SMALL(Data!$S$2:$S$750,44))),"")</f>
        <v>9</v>
      </c>
      <c r="J150" s="58">
        <f t="array" ref="J150">IFERROR(INDEX(Data!$I$2:$I$750,SMALL(Data!$S$2:$S$750,44)),"")</f>
        <v>46250</v>
      </c>
      <c r="K150" s="56" t="str">
        <f t="array" ref="K150">IFERROR(INDEX(Data!$J$2:$J$750,SMALL(Data!$S$2:$S$750,44)),"")</f>
        <v>Not Paid</v>
      </c>
      <c r="L150" s="56" t="str">
        <f t="array" ref="L150">IFERROR(INDEX(Data!$K$2:$K$750,SMALL(Data!$S$2:$S$750,44)),"")</f>
        <v>Completed</v>
      </c>
      <c r="M150" s="48" t="s">
        <v>462</v>
      </c>
      <c r="N150" s="48">
        <f>SUMIFS(Data!D2:D750,Data!C2:C750,M150,Data!N2:N750,1)</f>
        <v>1</v>
      </c>
    </row>
    <row r="151" ht="15.75" customHeight="1">
      <c r="B151" s="53" t="str">
        <f t="array" ref="B151">IFERROR(INDEX(Data!$A$2:$A$750,SMALL(Data!$S$2:$S$750,45)),"")</f>
        <v>Marshmallow</v>
      </c>
      <c r="C151" s="53" t="str">
        <f t="array" ref="C151">IFERROR(IF(INDEX(Data!$B$2:$B$750,SMALL(Data!$S$2:$S$750,45))=0,"",INDEX(Data!$B$2:$B$750,SMALL(Data!$S$2:$S$750,45))),"")</f>
        <v/>
      </c>
      <c r="D151" s="53" t="str">
        <f t="array" ref="D151">IFERROR(INDEX(Data!$C$2:$C$750,SMALL(Data!$S$2:$S$750,45)),"")</f>
        <v>Max50.10</v>
      </c>
      <c r="E151" s="53">
        <f t="array" ref="E151">IFERROR(IF(INDEX(Data!$D$2:$D$750,SMALL(Data!$S$2:$S$750,45))=0,"",INDEX(Data!$D$2:$D$750,SMALL(Data!$S$2:$S$750,45))),"")</f>
        <v>1</v>
      </c>
      <c r="F151" s="54">
        <f t="array" ref="F151">IFERROR(IF(INDEX(Data!$E$2:$E$750,SMALL(Data!$S$2:$S$750,45))=0,"",INDEX(Data!$E$2:$E$750,SMALL(Data!$S$2:$S$750,45))),"")</f>
        <v>558</v>
      </c>
      <c r="G151" s="54">
        <f t="array" ref="G151">IFERROR(INDEX(Data!$F$2:$F$750,SMALL(Data!$S$2:$S$750,45)),"")</f>
        <v>558</v>
      </c>
      <c r="H151" s="55">
        <f t="array" ref="H151">IFERROR(IF(INDEX(Data!$G$2:$G$750,SMALL(Data!$S$2:$S$750,45))=0,"",INDEX(Data!$G$2:$G$750,SMALL(Data!$S$2:$S$750,45))),"")</f>
        <v>46188</v>
      </c>
      <c r="I151" s="53">
        <f t="array" ref="I151">IFERROR(IF(INDEX(Data!$H$2:$H$750,SMALL(Data!$S$2:$S$750,45))=0,"",INDEX(Data!$H$2:$H$750,SMALL(Data!$S$2:$S$750,45))),"")</f>
        <v>9</v>
      </c>
      <c r="J151" s="55">
        <f t="array" ref="J151">IFERROR(INDEX(Data!$I$2:$I$750,SMALL(Data!$S$2:$S$750,45)),"")</f>
        <v>46251</v>
      </c>
      <c r="K151" s="53" t="str">
        <f t="array" ref="K151">IFERROR(INDEX(Data!$J$2:$J$750,SMALL(Data!$S$2:$S$750,45)),"")</f>
        <v>Not Paid</v>
      </c>
      <c r="L151" s="53" t="str">
        <f t="array" ref="L151">IFERROR(INDEX(Data!$K$2:$K$750,SMALL(Data!$S$2:$S$750,45)),"")</f>
        <v>Completed</v>
      </c>
      <c r="M151" s="48" t="s">
        <v>528</v>
      </c>
      <c r="N151" s="48">
        <f>SUMIFS(Data!D2:D750,Data!C2:C750,M151,Data!N2:N750,1)</f>
        <v>500</v>
      </c>
    </row>
    <row r="152" ht="15.75" customHeight="1">
      <c r="B152" s="56" t="str">
        <f t="array" ref="B152">IFERROR(INDEX(Data!$A$2:$A$750,SMALL(Data!$S$2:$S$750,46)),"")</f>
        <v>Marshmallow</v>
      </c>
      <c r="C152" s="56" t="str">
        <f t="array" ref="C152">IFERROR(IF(INDEX(Data!$B$2:$B$750,SMALL(Data!$S$2:$S$750,46))=0,"",INDEX(Data!$B$2:$B$750,SMALL(Data!$S$2:$S$750,46))),"")</f>
        <v/>
      </c>
      <c r="D152" s="56" t="str">
        <f t="array" ref="D152">IFERROR(INDEX(Data!$C$2:$C$750,SMALL(Data!$S$2:$S$750,46)),"")</f>
        <v>Power reader 24V</v>
      </c>
      <c r="E152" s="56">
        <f t="array" ref="E152">IFERROR(IF(INDEX(Data!$D$2:$D$750,SMALL(Data!$S$2:$S$750,46))=0,"",INDEX(Data!$D$2:$D$750,SMALL(Data!$S$2:$S$750,46))),"")</f>
        <v>1</v>
      </c>
      <c r="F152" s="57">
        <f t="array" ref="F152">IFERROR(IF(INDEX(Data!$E$2:$E$750,SMALL(Data!$S$2:$S$750,46))=0,"",INDEX(Data!$E$2:$E$750,SMALL(Data!$S$2:$S$750,46))),"")</f>
        <v>2265</v>
      </c>
      <c r="G152" s="57">
        <f t="array" ref="G152">IFERROR(INDEX(Data!$F$2:$F$750,SMALL(Data!$S$2:$S$750,46)),"")</f>
        <v>2265</v>
      </c>
      <c r="H152" s="58">
        <f t="array" ref="H152">IFERROR(IF(INDEX(Data!$G$2:$G$750,SMALL(Data!$S$2:$S$750,46))=0,"",INDEX(Data!$G$2:$G$750,SMALL(Data!$S$2:$S$750,46))),"")</f>
        <v>46189</v>
      </c>
      <c r="I152" s="56">
        <f t="array" ref="I152">IFERROR(IF(INDEX(Data!$H$2:$H$750,SMALL(Data!$S$2:$S$750,46))=0,"",INDEX(Data!$H$2:$H$750,SMALL(Data!$S$2:$S$750,46))),"")</f>
        <v>9</v>
      </c>
      <c r="J152" s="58">
        <f t="array" ref="J152">IFERROR(INDEX(Data!$I$2:$I$750,SMALL(Data!$S$2:$S$750,46)),"")</f>
        <v>46252</v>
      </c>
      <c r="K152" s="56" t="str">
        <f t="array" ref="K152">IFERROR(INDEX(Data!$J$2:$J$750,SMALL(Data!$S$2:$S$750,46)),"")</f>
        <v>Not Paid</v>
      </c>
      <c r="L152" s="56" t="str">
        <f t="array" ref="L152">IFERROR(INDEX(Data!$K$2:$K$750,SMALL(Data!$S$2:$S$750,46)),"")</f>
        <v>Pending</v>
      </c>
      <c r="M152" s="48" t="s">
        <v>484</v>
      </c>
      <c r="N152" s="48">
        <f>SUMIFS(Data!D2:D750,Data!C2:C750,M152,Data!N2:N750,1)</f>
        <v>1</v>
      </c>
    </row>
    <row r="153" ht="15.75" customHeight="1">
      <c r="B153" s="53" t="str">
        <f t="array" ref="B153">IFERROR(INDEX(Data!$A$2:$A$750,SMALL(Data!$S$2:$S$750,47)),"")</f>
        <v>Marshmallow</v>
      </c>
      <c r="C153" s="53" t="str">
        <f t="array" ref="C153">IFERROR(IF(INDEX(Data!$B$2:$B$750,SMALL(Data!$S$2:$S$750,47))=0,"",INDEX(Data!$B$2:$B$750,SMALL(Data!$S$2:$S$750,47))),"")</f>
        <v/>
      </c>
      <c r="D153" s="53" t="str">
        <f t="array" ref="D153">IFERROR(INDEX(Data!$C$2:$C$750,SMALL(Data!$S$2:$S$750,47)),"")</f>
        <v>Electric lock</v>
      </c>
      <c r="E153" s="53">
        <f t="array" ref="E153">IFERROR(IF(INDEX(Data!$D$2:$D$750,SMALL(Data!$S$2:$S$750,47))=0,"",INDEX(Data!$D$2:$D$750,SMALL(Data!$S$2:$S$750,47))),"")</f>
        <v>1</v>
      </c>
      <c r="F153" s="54">
        <f t="array" ref="F153">IFERROR(IF(INDEX(Data!$E$2:$E$750,SMALL(Data!$S$2:$S$750,47))=0,"",INDEX(Data!$E$2:$E$750,SMALL(Data!$S$2:$S$750,47))),"")</f>
        <v>45</v>
      </c>
      <c r="G153" s="54">
        <f t="array" ref="G153">IFERROR(INDEX(Data!$F$2:$F$750,SMALL(Data!$S$2:$S$750,47)),"")</f>
        <v>45</v>
      </c>
      <c r="H153" s="55">
        <f t="array" ref="H153">IFERROR(IF(INDEX(Data!$G$2:$G$750,SMALL(Data!$S$2:$S$750,47))=0,"",INDEX(Data!$G$2:$G$750,SMALL(Data!$S$2:$S$750,47))),"")</f>
        <v>46190</v>
      </c>
      <c r="I153" s="53">
        <f t="array" ref="I153">IFERROR(IF(INDEX(Data!$H$2:$H$750,SMALL(Data!$S$2:$S$750,47))=0,"",INDEX(Data!$H$2:$H$750,SMALL(Data!$S$2:$S$750,47))),"")</f>
        <v>7</v>
      </c>
      <c r="J153" s="55">
        <f t="array" ref="J153">IFERROR(INDEX(Data!$I$2:$I$750,SMALL(Data!$S$2:$S$750,47)),"")</f>
        <v>46239</v>
      </c>
      <c r="K153" s="53" t="str">
        <f t="array" ref="K153">IFERROR(INDEX(Data!$J$2:$J$750,SMALL(Data!$S$2:$S$750,47)),"")</f>
        <v>Not Paid</v>
      </c>
      <c r="L153" s="53" t="str">
        <f t="array" ref="L153">IFERROR(INDEX(Data!$K$2:$K$750,SMALL(Data!$S$2:$S$750,47)),"")</f>
        <v>In Progress</v>
      </c>
      <c r="M153" s="48" t="s">
        <v>534</v>
      </c>
      <c r="N153" s="48">
        <f>SUMIFS(Data!D2:D750,Data!C2:C750,M153,Data!N2:N750,1)</f>
        <v>20000</v>
      </c>
    </row>
    <row r="154" ht="15.75" customHeight="1">
      <c r="B154" s="56" t="str">
        <f t="array" ref="B154">IFERROR(INDEX(Data!$A$2:$A$750,SMALL(Data!$S$2:$S$750,48)),"")</f>
        <v>Marshmallow</v>
      </c>
      <c r="C154" s="56" t="str">
        <f t="array" ref="C154">IFERROR(IF(INDEX(Data!$B$2:$B$750,SMALL(Data!$S$2:$S$750,48))=0,"",INDEX(Data!$B$2:$B$750,SMALL(Data!$S$2:$S$750,48))),"")</f>
        <v/>
      </c>
      <c r="D154" s="56" t="str">
        <f t="array" ref="D154">IFERROR(INDEX(Data!$C$2:$C$750,SMALL(Data!$S$2:$S$750,48)),"")</f>
        <v>Push button</v>
      </c>
      <c r="E154" s="56">
        <f t="array" ref="E154">IFERROR(IF(INDEX(Data!$D$2:$D$750,SMALL(Data!$S$2:$S$750,48))=0,"",INDEX(Data!$D$2:$D$750,SMALL(Data!$S$2:$S$750,48))),"")</f>
        <v>1</v>
      </c>
      <c r="F154" s="57">
        <f t="array" ref="F154">IFERROR(IF(INDEX(Data!$E$2:$E$750,SMALL(Data!$S$2:$S$750,48))=0,"",INDEX(Data!$E$2:$E$750,SMALL(Data!$S$2:$S$750,48))),"")</f>
        <v>5554</v>
      </c>
      <c r="G154" s="57">
        <f t="array" ref="G154">IFERROR(INDEX(Data!$F$2:$F$750,SMALL(Data!$S$2:$S$750,48)),"")</f>
        <v>5554</v>
      </c>
      <c r="H154" s="58">
        <f t="array" ref="H154">IFERROR(IF(INDEX(Data!$G$2:$G$750,SMALL(Data!$S$2:$S$750,48))=0,"",INDEX(Data!$G$2:$G$750,SMALL(Data!$S$2:$S$750,48))),"")</f>
        <v>46191</v>
      </c>
      <c r="I154" s="56">
        <f t="array" ref="I154">IFERROR(IF(INDEX(Data!$H$2:$H$750,SMALL(Data!$S$2:$S$750,48))=0,"",INDEX(Data!$H$2:$H$750,SMALL(Data!$S$2:$S$750,48))),"")</f>
        <v>10</v>
      </c>
      <c r="J154" s="58">
        <f t="array" ref="J154">IFERROR(INDEX(Data!$I$2:$I$750,SMALL(Data!$S$2:$S$750,48)),"")</f>
        <v>46261</v>
      </c>
      <c r="K154" s="56" t="str">
        <f t="array" ref="K154">IFERROR(INDEX(Data!$J$2:$J$750,SMALL(Data!$S$2:$S$750,48)),"")</f>
        <v>Not Paid</v>
      </c>
      <c r="L154" s="56" t="str">
        <f t="array" ref="L154">IFERROR(INDEX(Data!$K$2:$K$750,SMALL(Data!$S$2:$S$750,48)),"")</f>
        <v>Completed</v>
      </c>
      <c r="M154" s="48" t="s">
        <v>536</v>
      </c>
      <c r="N154" s="48">
        <f>SUMIFS(Data!D2:D750,Data!C2:C750,M154,Data!N2:N750,1)</f>
        <v>15000</v>
      </c>
    </row>
    <row r="155" ht="15.75" customHeight="1">
      <c r="B155" s="53" t="str">
        <f t="array" ref="B155">IFERROR(INDEX(Data!$A$2:$A$750,SMALL(Data!$S$2:$S$750,49)),"")</f>
        <v>Marshmallow</v>
      </c>
      <c r="C155" s="53" t="str">
        <f t="array" ref="C155">IFERROR(IF(INDEX(Data!$B$2:$B$750,SMALL(Data!$S$2:$S$750,49))=0,"",INDEX(Data!$B$2:$B$750,SMALL(Data!$S$2:$S$750,49))),"")</f>
        <v/>
      </c>
      <c r="D155" s="53" t="str">
        <f t="array" ref="D155">IFERROR(INDEX(Data!$C$2:$C$750,SMALL(Data!$S$2:$S$750,49)),"")</f>
        <v>HF Cards</v>
      </c>
      <c r="E155" s="53">
        <f t="array" ref="E155">IFERROR(IF(INDEX(Data!$D$2:$D$750,SMALL(Data!$S$2:$S$750,49))=0,"",INDEX(Data!$D$2:$D$750,SMALL(Data!$S$2:$S$750,49))),"")</f>
        <v>50</v>
      </c>
      <c r="F155" s="54">
        <f t="array" ref="F155">IFERROR(IF(INDEX(Data!$E$2:$E$750,SMALL(Data!$S$2:$S$750,49))=0,"",INDEX(Data!$E$2:$E$750,SMALL(Data!$S$2:$S$750,49))),"")</f>
        <v>41</v>
      </c>
      <c r="G155" s="54">
        <f t="array" ref="G155">IFERROR(INDEX(Data!$F$2:$F$750,SMALL(Data!$S$2:$S$750,49)),"")</f>
        <v>2050</v>
      </c>
      <c r="H155" s="55">
        <f t="array" ref="H155">IFERROR(IF(INDEX(Data!$G$2:$G$750,SMALL(Data!$S$2:$S$750,49))=0,"",INDEX(Data!$G$2:$G$750,SMALL(Data!$S$2:$S$750,49))),"")</f>
        <v>46192</v>
      </c>
      <c r="I155" s="53">
        <f t="array" ref="I155">IFERROR(IF(INDEX(Data!$H$2:$H$750,SMALL(Data!$S$2:$S$750,49))=0,"",INDEX(Data!$H$2:$H$750,SMALL(Data!$S$2:$S$750,49))),"")</f>
        <v>9</v>
      </c>
      <c r="J155" s="55">
        <f t="array" ref="J155">IFERROR(INDEX(Data!$I$2:$I$750,SMALL(Data!$S$2:$S$750,49)),"")</f>
        <v>46255</v>
      </c>
      <c r="K155" s="53" t="str">
        <f t="array" ref="K155">IFERROR(INDEX(Data!$J$2:$J$750,SMALL(Data!$S$2:$S$750,49)),"")</f>
        <v>Not Paid</v>
      </c>
      <c r="L155" s="53" t="str">
        <f t="array" ref="L155">IFERROR(INDEX(Data!$K$2:$K$750,SMALL(Data!$S$2:$S$750,49)),"")</f>
        <v>Delayed</v>
      </c>
      <c r="M155" s="48" t="s">
        <v>537</v>
      </c>
      <c r="N155" s="48">
        <f>SUMIFS(Data!D2:D750,Data!C2:C750,M155,Data!N2:N750,1)</f>
        <v>60</v>
      </c>
    </row>
    <row r="156" ht="15.75" customHeight="1">
      <c r="B156" s="56" t="str">
        <f t="array" ref="B156">IFERROR(INDEX(Data!$A$2:$A$750,SMALL(Data!$S$2:$S$750,50)),"")</f>
        <v>Karma</v>
      </c>
      <c r="C156" s="56" t="str">
        <f t="array" ref="C156">IFERROR(IF(INDEX(Data!$B$2:$B$750,SMALL(Data!$S$2:$S$750,50))=0,"",INDEX(Data!$B$2:$B$750,SMALL(Data!$S$2:$S$750,50))),"")</f>
        <v>FEIG</v>
      </c>
      <c r="D156" s="56" t="str">
        <f t="array" ref="D156">IFERROR(INDEX(Data!$C$2:$C$750,SMALL(Data!$S$2:$S$750,50)),"")</f>
        <v>MRU102-POE</v>
      </c>
      <c r="E156" s="56">
        <f t="array" ref="E156">IFERROR(IF(INDEX(Data!$D$2:$D$750,SMALL(Data!$S$2:$S$750,50))=0,"",INDEX(Data!$D$2:$D$750,SMALL(Data!$S$2:$S$750,50))),"")</f>
        <v>2</v>
      </c>
      <c r="F156" s="57">
        <f t="array" ref="F156">IFERROR(IF(INDEX(Data!$E$2:$E$750,SMALL(Data!$S$2:$S$750,50))=0,"",INDEX(Data!$E$2:$E$750,SMALL(Data!$S$2:$S$750,50))),"")</f>
        <v>231</v>
      </c>
      <c r="G156" s="57">
        <f t="array" ref="G156">IFERROR(INDEX(Data!$F$2:$F$750,SMALL(Data!$S$2:$S$750,50)),"")</f>
        <v>462</v>
      </c>
      <c r="H156" s="58">
        <f t="array" ref="H156">IFERROR(IF(INDEX(Data!$G$2:$G$750,SMALL(Data!$S$2:$S$750,50))=0,"",INDEX(Data!$G$2:$G$750,SMALL(Data!$S$2:$S$750,50))),"")</f>
        <v>46193</v>
      </c>
      <c r="I156" s="56">
        <f t="array" ref="I156">IFERROR(IF(INDEX(Data!$H$2:$H$750,SMALL(Data!$S$2:$S$750,50))=0,"",INDEX(Data!$H$2:$H$750,SMALL(Data!$S$2:$S$750,50))),"")</f>
        <v>9</v>
      </c>
      <c r="J156" s="58">
        <f t="array" ref="J156">IFERROR(INDEX(Data!$I$2:$I$750,SMALL(Data!$S$2:$S$750,50)),"")</f>
        <v>46256</v>
      </c>
      <c r="K156" s="56" t="str">
        <f t="array" ref="K156">IFERROR(INDEX(Data!$J$2:$J$750,SMALL(Data!$S$2:$S$750,50)),"")</f>
        <v>Not Paid</v>
      </c>
      <c r="L156" s="56" t="str">
        <f t="array" ref="L156">IFERROR(INDEX(Data!$K$2:$K$750,SMALL(Data!$S$2:$S$750,50)),"")</f>
        <v>Pending</v>
      </c>
      <c r="M156" s="48" t="s">
        <v>539</v>
      </c>
      <c r="N156" s="48">
        <f>SUMIFS(Data!D2:D750,Data!C2:C750,M156,Data!N2:N750,1)</f>
        <v>6000</v>
      </c>
    </row>
    <row r="157" ht="15.75" customHeight="1">
      <c r="B157" s="53" t="str">
        <f t="array" ref="B157">IFERROR(INDEX(Data!$A$2:$A$750,SMALL(Data!$S$2:$S$750,51)),"")</f>
        <v>Geera</v>
      </c>
      <c r="C157" s="53" t="str">
        <f t="array" ref="C157">IFERROR(IF(INDEX(Data!$B$2:$B$750,SMALL(Data!$S$2:$S$750,51))=0,"",INDEX(Data!$B$2:$B$750,SMALL(Data!$S$2:$S$750,51))),"")</f>
        <v>RIB</v>
      </c>
      <c r="D157" s="53" t="str">
        <f t="array" ref="D157">IFERROR(INDEX(Data!$C$2:$C$750,SMALL(Data!$S$2:$S$750,51)),"")</f>
        <v>spring rubber</v>
      </c>
      <c r="E157" s="53">
        <f t="array" ref="E157">IFERROR(IF(INDEX(Data!$D$2:$D$750,SMALL(Data!$S$2:$S$750,51))=0,"",INDEX(Data!$D$2:$D$750,SMALL(Data!$S$2:$S$750,51))),"")</f>
        <v>1</v>
      </c>
      <c r="F157" s="54">
        <f t="array" ref="F157">IFERROR(IF(INDEX(Data!$E$2:$E$750,SMALL(Data!$S$2:$S$750,51))=0,"",INDEX(Data!$E$2:$E$750,SMALL(Data!$S$2:$S$750,51))),"")</f>
        <v>25</v>
      </c>
      <c r="G157" s="54">
        <f t="array" ref="G157">IFERROR(INDEX(Data!$F$2:$F$750,SMALL(Data!$S$2:$S$750,51)),"")</f>
        <v>25</v>
      </c>
      <c r="H157" s="55">
        <f t="array" ref="H157">IFERROR(IF(INDEX(Data!$G$2:$G$750,SMALL(Data!$S$2:$S$750,51))=0,"",INDEX(Data!$G$2:$G$750,SMALL(Data!$S$2:$S$750,51))),"")</f>
        <v>46194</v>
      </c>
      <c r="I157" s="53">
        <f t="array" ref="I157">IFERROR(IF(INDEX(Data!$H$2:$H$750,SMALL(Data!$S$2:$S$750,51))=0,"",INDEX(Data!$H$2:$H$750,SMALL(Data!$S$2:$S$750,51))),"")</f>
        <v>9</v>
      </c>
      <c r="J157" s="55">
        <f t="array" ref="J157">IFERROR(INDEX(Data!$I$2:$I$750,SMALL(Data!$S$2:$S$750,51)),"")</f>
        <v>46257</v>
      </c>
      <c r="K157" s="53" t="str">
        <f t="array" ref="K157">IFERROR(INDEX(Data!$J$2:$J$750,SMALL(Data!$S$2:$S$750,51)),"")</f>
        <v>Not Paid</v>
      </c>
      <c r="L157" s="53" t="str">
        <f t="array" ref="L157">IFERROR(INDEX(Data!$K$2:$K$750,SMALL(Data!$S$2:$S$750,51)),"")</f>
        <v>Pending</v>
      </c>
      <c r="M157" s="48" t="s">
        <v>541</v>
      </c>
      <c r="N157" s="48">
        <f>SUMIFS(Data!D2:D750,Data!C2:C750,M157,Data!N2:N750,1)</f>
        <v>15000</v>
      </c>
    </row>
    <row r="158" ht="15.75" customHeight="1">
      <c r="B158" s="56" t="str">
        <f t="array" ref="B158">IFERROR(INDEX(Data!$A$2:$A$750,SMALL(Data!$S$2:$S$750,52)),"")</f>
        <v>Geera</v>
      </c>
      <c r="C158" s="56" t="str">
        <f t="array" ref="C158">IFERROR(IF(INDEX(Data!$B$2:$B$750,SMALL(Data!$S$2:$S$750,52))=0,"",INDEX(Data!$B$2:$B$750,SMALL(Data!$S$2:$S$750,52))),"")</f>
        <v>RIB</v>
      </c>
      <c r="D158" s="56" t="str">
        <f t="array" ref="D158">IFERROR(INDEX(Data!$C$2:$C$750,SMALL(Data!$S$2:$S$750,52)),"")</f>
        <v>Spring blue</v>
      </c>
      <c r="E158" s="56">
        <f t="array" ref="E158">IFERROR(IF(INDEX(Data!$D$2:$D$750,SMALL(Data!$S$2:$S$750,52))=0,"",INDEX(Data!$D$2:$D$750,SMALL(Data!$S$2:$S$750,52))),"")</f>
        <v>1</v>
      </c>
      <c r="F158" s="57">
        <f t="array" ref="F158">IFERROR(IF(INDEX(Data!$E$2:$E$750,SMALL(Data!$S$2:$S$750,52))=0,"",INDEX(Data!$E$2:$E$750,SMALL(Data!$S$2:$S$750,52))),"")</f>
        <v>245</v>
      </c>
      <c r="G158" s="57">
        <f t="array" ref="G158">IFERROR(INDEX(Data!$F$2:$F$750,SMALL(Data!$S$2:$S$750,52)),"")</f>
        <v>245</v>
      </c>
      <c r="H158" s="58">
        <f t="array" ref="H158">IFERROR(IF(INDEX(Data!$G$2:$G$750,SMALL(Data!$S$2:$S$750,52))=0,"",INDEX(Data!$G$2:$G$750,SMALL(Data!$S$2:$S$750,52))),"")</f>
        <v>46195</v>
      </c>
      <c r="I158" s="56">
        <f t="array" ref="I158">IFERROR(IF(INDEX(Data!$H$2:$H$750,SMALL(Data!$S$2:$S$750,52))=0,"",INDEX(Data!$H$2:$H$750,SMALL(Data!$S$2:$S$750,52))),"")</f>
        <v>7</v>
      </c>
      <c r="J158" s="58">
        <f t="array" ref="J158">IFERROR(INDEX(Data!$I$2:$I$750,SMALL(Data!$S$2:$S$750,52)),"")</f>
        <v>46244</v>
      </c>
      <c r="K158" s="56" t="str">
        <f t="array" ref="K158">IFERROR(INDEX(Data!$J$2:$J$750,SMALL(Data!$S$2:$S$750,52)),"")</f>
        <v>Not Paid</v>
      </c>
      <c r="L158" s="56" t="str">
        <f t="array" ref="L158">IFERROR(INDEX(Data!$K$2:$K$750,SMALL(Data!$S$2:$S$750,52)),"")</f>
        <v>Completed</v>
      </c>
      <c r="M158" s="48" t="s">
        <v>532</v>
      </c>
      <c r="N158" s="48">
        <f>SUMIFS(Data!D2:D750,Data!C2:C750,M158,Data!N2:N750,1)</f>
        <v>1000</v>
      </c>
    </row>
    <row r="159" ht="15.75" customHeight="1">
      <c r="B159" s="53" t="str">
        <f t="array" ref="B159">IFERROR(INDEX(Data!$A$2:$A$750,SMALL(Data!$S$2:$S$750,53)),"")</f>
        <v>Geera</v>
      </c>
      <c r="C159" s="53" t="str">
        <f t="array" ref="C159">IFERROR(IF(INDEX(Data!$B$2:$B$750,SMALL(Data!$S$2:$S$750,53))=0,"",INDEX(Data!$B$2:$B$750,SMALL(Data!$S$2:$S$750,53))),"")</f>
        <v/>
      </c>
      <c r="D159" s="53" t="str">
        <f t="array" ref="D159">IFERROR(INDEX(Data!$C$2:$C$750,SMALL(Data!$S$2:$S$750,53)),"")</f>
        <v>Motor body</v>
      </c>
      <c r="E159" s="53">
        <f t="array" ref="E159">IFERROR(IF(INDEX(Data!$D$2:$D$750,SMALL(Data!$S$2:$S$750,53))=0,"",INDEX(Data!$D$2:$D$750,SMALL(Data!$S$2:$S$750,53))),"")</f>
        <v>1</v>
      </c>
      <c r="F159" s="54">
        <f t="array" ref="F159">IFERROR(IF(INDEX(Data!$E$2:$E$750,SMALL(Data!$S$2:$S$750,53))=0,"",INDEX(Data!$E$2:$E$750,SMALL(Data!$S$2:$S$750,53))),"")</f>
        <v>2555</v>
      </c>
      <c r="G159" s="54">
        <f t="array" ref="G159">IFERROR(INDEX(Data!$F$2:$F$750,SMALL(Data!$S$2:$S$750,53)),"")</f>
        <v>2555</v>
      </c>
      <c r="H159" s="55">
        <f t="array" ref="H159">IFERROR(IF(INDEX(Data!$G$2:$G$750,SMALL(Data!$S$2:$S$750,53))=0,"",INDEX(Data!$G$2:$G$750,SMALL(Data!$S$2:$S$750,53))),"")</f>
        <v>46196</v>
      </c>
      <c r="I159" s="53">
        <f t="array" ref="I159">IFERROR(IF(INDEX(Data!$H$2:$H$750,SMALL(Data!$S$2:$S$750,53))=0,"",INDEX(Data!$H$2:$H$750,SMALL(Data!$S$2:$S$750,53))),"")</f>
        <v>10</v>
      </c>
      <c r="J159" s="55">
        <f t="array" ref="J159">IFERROR(INDEX(Data!$I$2:$I$750,SMALL(Data!$S$2:$S$750,53)),"")</f>
        <v>46266</v>
      </c>
      <c r="K159" s="53" t="str">
        <f t="array" ref="K159">IFERROR(INDEX(Data!$J$2:$J$750,SMALL(Data!$S$2:$S$750,53)),"")</f>
        <v>Not Paid</v>
      </c>
      <c r="L159" s="53" t="str">
        <f t="array" ref="L159">IFERROR(INDEX(Data!$K$2:$K$750,SMALL(Data!$S$2:$S$750,53)),"")</f>
        <v>Pending</v>
      </c>
      <c r="M159" s="48" t="s">
        <v>543</v>
      </c>
      <c r="N159" s="48">
        <f>SUMIFS(Data!D2:D750,Data!C2:C750,M159,Data!N2:N750,1)</f>
        <v>5</v>
      </c>
    </row>
    <row r="160" ht="15.75" customHeight="1">
      <c r="B160" s="56" t="str">
        <f t="array" ref="B160">IFERROR(INDEX(Data!$A$2:$A$750,SMALL(Data!$S$2:$S$750,54)),"")</f>
        <v>Jewar</v>
      </c>
      <c r="C160" s="56" t="str">
        <f t="array" ref="C160">IFERROR(IF(INDEX(Data!$B$2:$B$750,SMALL(Data!$S$2:$S$750,54))=0,"",INDEX(Data!$B$2:$B$750,SMALL(Data!$S$2:$S$750,54))),"")</f>
        <v/>
      </c>
      <c r="D160" s="56" t="str">
        <f t="array" ref="D160">IFERROR(INDEX(Data!$C$2:$C$750,SMALL(Data!$S$2:$S$750,54)),"")</f>
        <v>Limit Switch</v>
      </c>
      <c r="E160" s="56">
        <f t="array" ref="E160">IFERROR(IF(INDEX(Data!$D$2:$D$750,SMALL(Data!$S$2:$S$750,54))=0,"",INDEX(Data!$D$2:$D$750,SMALL(Data!$S$2:$S$750,54))),"")</f>
        <v>1</v>
      </c>
      <c r="F160" s="57">
        <f t="array" ref="F160">IFERROR(IF(INDEX(Data!$E$2:$E$750,SMALL(Data!$S$2:$S$750,54))=0,"",INDEX(Data!$E$2:$E$750,SMALL(Data!$S$2:$S$750,54))),"")</f>
        <v>255</v>
      </c>
      <c r="G160" s="57">
        <f t="array" ref="G160">IFERROR(INDEX(Data!$F$2:$F$750,SMALL(Data!$S$2:$S$750,54)),"")</f>
        <v>255</v>
      </c>
      <c r="H160" s="58">
        <f t="array" ref="H160">IFERROR(IF(INDEX(Data!$G$2:$G$750,SMALL(Data!$S$2:$S$750,54))=0,"",INDEX(Data!$G$2:$G$750,SMALL(Data!$S$2:$S$750,54))),"")</f>
        <v>46197</v>
      </c>
      <c r="I160" s="56">
        <f t="array" ref="I160">IFERROR(IF(INDEX(Data!$H$2:$H$750,SMALL(Data!$S$2:$S$750,54))=0,"",INDEX(Data!$H$2:$H$750,SMALL(Data!$S$2:$S$750,54))),"")</f>
        <v>6</v>
      </c>
      <c r="J160" s="58">
        <f t="array" ref="J160">IFERROR(INDEX(Data!$I$2:$I$750,SMALL(Data!$S$2:$S$750,54)),"")</f>
        <v>46239</v>
      </c>
      <c r="K160" s="56" t="str">
        <f t="array" ref="K160">IFERROR(INDEX(Data!$J$2:$J$750,SMALL(Data!$S$2:$S$750,54)),"")</f>
        <v>Not Paid</v>
      </c>
      <c r="L160" s="56" t="str">
        <f t="array" ref="L160">IFERROR(INDEX(Data!$K$2:$K$750,SMALL(Data!$S$2:$S$750,54)),"")</f>
        <v>In Progress</v>
      </c>
      <c r="M160" s="48" t="s">
        <v>184</v>
      </c>
      <c r="N160" s="48">
        <f>SUMIFS(Data!D2:D750,Data!C2:C750,M160,Data!N2:N750,1)</f>
        <v>2</v>
      </c>
    </row>
    <row r="161" ht="15.75" customHeight="1">
      <c r="B161" s="53" t="str">
        <f t="array" ref="B161">IFERROR(INDEX(Data!$A$2:$A$750,SMALL(Data!$S$2:$S$750,55)),"")</f>
        <v>Jewar</v>
      </c>
      <c r="C161" s="53" t="str">
        <f t="array" ref="C161">IFERROR(IF(INDEX(Data!$B$2:$B$750,SMALL(Data!$S$2:$S$750,55))=0,"",INDEX(Data!$B$2:$B$750,SMALL(Data!$S$2:$S$750,55))),"")</f>
        <v/>
      </c>
      <c r="D161" s="53" t="str">
        <f t="array" ref="D161">IFERROR(INDEX(Data!$C$2:$C$750,SMALL(Data!$S$2:$S$750,55)),"")</f>
        <v>HUB</v>
      </c>
      <c r="E161" s="53">
        <f t="array" ref="E161">IFERROR(IF(INDEX(Data!$D$2:$D$750,SMALL(Data!$S$2:$S$750,55))=0,"",INDEX(Data!$D$2:$D$750,SMALL(Data!$S$2:$S$750,55))),"")</f>
        <v>1</v>
      </c>
      <c r="F161" s="54">
        <f t="array" ref="F161">IFERROR(IF(INDEX(Data!$E$2:$E$750,SMALL(Data!$S$2:$S$750,55))=0,"",INDEX(Data!$E$2:$E$750,SMALL(Data!$S$2:$S$750,55))),"")</f>
        <v>45</v>
      </c>
      <c r="G161" s="54">
        <f t="array" ref="G161">IFERROR(INDEX(Data!$F$2:$F$750,SMALL(Data!$S$2:$S$750,55)),"")</f>
        <v>45</v>
      </c>
      <c r="H161" s="55">
        <f t="array" ref="H161">IFERROR(IF(INDEX(Data!$G$2:$G$750,SMALL(Data!$S$2:$S$750,55))=0,"",INDEX(Data!$G$2:$G$750,SMALL(Data!$S$2:$S$750,55))),"")</f>
        <v>46198</v>
      </c>
      <c r="I161" s="53">
        <f t="array" ref="I161">IFERROR(IF(INDEX(Data!$H$2:$H$750,SMALL(Data!$S$2:$S$750,55))=0,"",INDEX(Data!$H$2:$H$750,SMALL(Data!$S$2:$S$750,55))),"")</f>
        <v>9</v>
      </c>
      <c r="J161" s="55">
        <f t="array" ref="J161">IFERROR(INDEX(Data!$I$2:$I$750,SMALL(Data!$S$2:$S$750,55)),"")</f>
        <v>46261</v>
      </c>
      <c r="K161" s="53" t="str">
        <f t="array" ref="K161">IFERROR(INDEX(Data!$J$2:$J$750,SMALL(Data!$S$2:$S$750,55)),"")</f>
        <v>Not Paid</v>
      </c>
      <c r="L161" s="53" t="str">
        <f t="array" ref="L161">IFERROR(INDEX(Data!$K$2:$K$750,SMALL(Data!$S$2:$S$750,55)),"")</f>
        <v>Completed</v>
      </c>
      <c r="M161" s="48" t="s">
        <v>489</v>
      </c>
      <c r="N161" s="48">
        <f>SUMIFS(Data!D2:D750,Data!C2:C750,M161,Data!N2:N750,1)</f>
        <v>1</v>
      </c>
    </row>
    <row r="162" ht="15.75" customHeight="1">
      <c r="B162" s="56" t="str">
        <f t="array" ref="B162">IFERROR(INDEX(Data!$A$2:$A$750,SMALL(Data!$S$2:$S$750,56)),"")</f>
        <v>Jewar</v>
      </c>
      <c r="C162" s="56" t="str">
        <f t="array" ref="C162">IFERROR(IF(INDEX(Data!$B$2:$B$750,SMALL(Data!$S$2:$S$750,56))=0,"",INDEX(Data!$B$2:$B$750,SMALL(Data!$S$2:$S$750,56))),"")</f>
        <v/>
      </c>
      <c r="D162" s="56" t="str">
        <f t="array" ref="D162">IFERROR(INDEX(Data!$C$2:$C$750,SMALL(Data!$S$2:$S$750,56)),"")</f>
        <v>Spring Green</v>
      </c>
      <c r="E162" s="56">
        <f t="array" ref="E162">IFERROR(IF(INDEX(Data!$D$2:$D$750,SMALL(Data!$S$2:$S$750,56))=0,"",INDEX(Data!$D$2:$D$750,SMALL(Data!$S$2:$S$750,56))),"")</f>
        <v>2</v>
      </c>
      <c r="F162" s="57">
        <f t="array" ref="F162">IFERROR(IF(INDEX(Data!$E$2:$E$750,SMALL(Data!$S$2:$S$750,56))=0,"",INDEX(Data!$E$2:$E$750,SMALL(Data!$S$2:$S$750,56))),"")</f>
        <v>36</v>
      </c>
      <c r="G162" s="57">
        <f t="array" ref="G162">IFERROR(INDEX(Data!$F$2:$F$750,SMALL(Data!$S$2:$S$750,56)),"")</f>
        <v>72</v>
      </c>
      <c r="H162" s="58">
        <f t="array" ref="H162">IFERROR(IF(INDEX(Data!$G$2:$G$750,SMALL(Data!$S$2:$S$750,56))=0,"",INDEX(Data!$G$2:$G$750,SMALL(Data!$S$2:$S$750,56))),"")</f>
        <v>46199</v>
      </c>
      <c r="I162" s="56">
        <f t="array" ref="I162">IFERROR(IF(INDEX(Data!$H$2:$H$750,SMALL(Data!$S$2:$S$750,56))=0,"",INDEX(Data!$H$2:$H$750,SMALL(Data!$S$2:$S$750,56))),"")</f>
        <v>7</v>
      </c>
      <c r="J162" s="58">
        <f t="array" ref="J162">IFERROR(INDEX(Data!$I$2:$I$750,SMALL(Data!$S$2:$S$750,56)),"")</f>
        <v>46248</v>
      </c>
      <c r="K162" s="56" t="str">
        <f t="array" ref="K162">IFERROR(INDEX(Data!$J$2:$J$750,SMALL(Data!$S$2:$S$750,56)),"")</f>
        <v>Not Paid</v>
      </c>
      <c r="L162" s="56" t="str">
        <f t="array" ref="L162">IFERROR(INDEX(Data!$K$2:$K$750,SMALL(Data!$S$2:$S$750,56)),"")</f>
        <v>Delayed</v>
      </c>
      <c r="M162" s="48" t="s">
        <v>548</v>
      </c>
      <c r="N162" s="48">
        <f>SUMIFS(Data!D2:D750,Data!C2:C750,M162,Data!N2:N750,1)</f>
        <v>2</v>
      </c>
    </row>
    <row r="163" ht="15.75" customHeight="1">
      <c r="B163" s="53" t="str">
        <f t="array" ref="B163">IFERROR(INDEX(Data!$A$2:$A$750,SMALL(Data!$S$2:$S$750,57)),"")</f>
        <v>Jewar</v>
      </c>
      <c r="C163" s="53" t="str">
        <f t="array" ref="C163">IFERROR(IF(INDEX(Data!$B$2:$B$750,SMALL(Data!$S$2:$S$750,57))=0,"",INDEX(Data!$B$2:$B$750,SMALL(Data!$S$2:$S$750,57))),"")</f>
        <v/>
      </c>
      <c r="D163" s="53" t="str">
        <f t="array" ref="D163">IFERROR(INDEX(Data!$C$2:$C$750,SMALL(Data!$S$2:$S$750,57)),"")</f>
        <v>Spring Blue</v>
      </c>
      <c r="E163" s="53">
        <f t="array" ref="E163">IFERROR(IF(INDEX(Data!$D$2:$D$750,SMALL(Data!$S$2:$S$750,57))=0,"",INDEX(Data!$D$2:$D$750,SMALL(Data!$S$2:$S$750,57))),"")</f>
        <v>1</v>
      </c>
      <c r="F163" s="54">
        <f t="array" ref="F163">IFERROR(IF(INDEX(Data!$E$2:$E$750,SMALL(Data!$S$2:$S$750,57))=0,"",INDEX(Data!$E$2:$E$750,SMALL(Data!$S$2:$S$750,57))),"")</f>
        <v>96</v>
      </c>
      <c r="G163" s="54">
        <f t="array" ref="G163">IFERROR(INDEX(Data!$F$2:$F$750,SMALL(Data!$S$2:$S$750,57)),"")</f>
        <v>96</v>
      </c>
      <c r="H163" s="55">
        <f t="array" ref="H163">IFERROR(IF(INDEX(Data!$G$2:$G$750,SMALL(Data!$S$2:$S$750,57))=0,"",INDEX(Data!$G$2:$G$750,SMALL(Data!$S$2:$S$750,57))),"")</f>
        <v>46200</v>
      </c>
      <c r="I163" s="53">
        <f t="array" ref="I163">IFERROR(IF(INDEX(Data!$H$2:$H$750,SMALL(Data!$S$2:$S$750,57))=0,"",INDEX(Data!$H$2:$H$750,SMALL(Data!$S$2:$S$750,57))),"")</f>
        <v>10</v>
      </c>
      <c r="J163" s="55">
        <f t="array" ref="J163">IFERROR(INDEX(Data!$I$2:$I$750,SMALL(Data!$S$2:$S$750,57)),"")</f>
        <v>46270</v>
      </c>
      <c r="K163" s="53" t="str">
        <f t="array" ref="K163">IFERROR(INDEX(Data!$J$2:$J$750,SMALL(Data!$S$2:$S$750,57)),"")</f>
        <v>Not Paid</v>
      </c>
      <c r="L163" s="53" t="str">
        <f t="array" ref="L163">IFERROR(INDEX(Data!$K$2:$K$750,SMALL(Data!$S$2:$S$750,57)),"")</f>
        <v>Completed</v>
      </c>
      <c r="M163" s="48" t="s">
        <v>549</v>
      </c>
      <c r="N163" s="48">
        <f>SUMIFS(Data!D2:D750,Data!C2:C750,M163,Data!N2:N750,1)</f>
        <v>30</v>
      </c>
    </row>
    <row r="164" ht="15.75" customHeight="1">
      <c r="B164" s="56" t="str">
        <f t="array" ref="B164">IFERROR(INDEX(Data!$A$2:$A$750,SMALL(Data!$S$2:$S$750,58)),"")</f>
        <v>El Kasr Jewelry</v>
      </c>
      <c r="C164" s="56" t="str">
        <f t="array" ref="C164">IFERROR(IF(INDEX(Data!$B$2:$B$750,SMALL(Data!$S$2:$S$750,58))=0,"",INDEX(Data!$B$2:$B$750,SMALL(Data!$S$2:$S$750,58))),"")</f>
        <v/>
      </c>
      <c r="D164" s="56" t="str">
        <f t="array" ref="D164">IFERROR(INDEX(Data!$C$2:$C$750,SMALL(Data!$S$2:$S$750,58)),"")</f>
        <v>Battary </v>
      </c>
      <c r="E164" s="56">
        <f t="array" ref="E164">IFERROR(IF(INDEX(Data!$D$2:$D$750,SMALL(Data!$S$2:$S$750,58))=0,"",INDEX(Data!$D$2:$D$750,SMALL(Data!$S$2:$S$750,58))),"")</f>
        <v>1</v>
      </c>
      <c r="F164" s="57">
        <f t="array" ref="F164">IFERROR(IF(INDEX(Data!$E$2:$E$750,SMALL(Data!$S$2:$S$750,58))=0,"",INDEX(Data!$E$2:$E$750,SMALL(Data!$S$2:$S$750,58))),"")</f>
        <v>8</v>
      </c>
      <c r="G164" s="57">
        <f t="array" ref="G164">IFERROR(INDEX(Data!$F$2:$F$750,SMALL(Data!$S$2:$S$750,58)),"")</f>
        <v>8</v>
      </c>
      <c r="H164" s="58">
        <f t="array" ref="H164">IFERROR(IF(INDEX(Data!$G$2:$G$750,SMALL(Data!$S$2:$S$750,58))=0,"",INDEX(Data!$G$2:$G$750,SMALL(Data!$S$2:$S$750,58))),"")</f>
        <v>46201</v>
      </c>
      <c r="I164" s="56">
        <f t="array" ref="I164">IFERROR(IF(INDEX(Data!$H$2:$H$750,SMALL(Data!$S$2:$S$750,58))=0,"",INDEX(Data!$H$2:$H$750,SMALL(Data!$S$2:$S$750,58))),"")</f>
        <v>6</v>
      </c>
      <c r="J164" s="58">
        <f t="array" ref="J164">IFERROR(INDEX(Data!$I$2:$I$750,SMALL(Data!$S$2:$S$750,58)),"")</f>
        <v>46243</v>
      </c>
      <c r="K164" s="56" t="str">
        <f t="array" ref="K164">IFERROR(INDEX(Data!$J$2:$J$750,SMALL(Data!$S$2:$S$750,58)),"")</f>
        <v>Not Paid</v>
      </c>
      <c r="L164" s="56" t="str">
        <f t="array" ref="L164">IFERROR(INDEX(Data!$K$2:$K$750,SMALL(Data!$S$2:$S$750,58)),"")</f>
        <v>Pending</v>
      </c>
      <c r="M164" s="48" t="s">
        <v>544</v>
      </c>
      <c r="N164" s="48">
        <f>SUMIFS(Data!D2:D750,Data!C2:C750,M164,Data!N2:N750,1)</f>
        <v>10</v>
      </c>
    </row>
    <row r="165" ht="15.75" customHeight="1">
      <c r="B165" s="53" t="str">
        <f t="array" ref="B165">IFERROR(INDEX(Data!$A$2:$A$750,SMALL(Data!$S$2:$S$750,59)),"")</f>
        <v>El Kasr Jewelry</v>
      </c>
      <c r="C165" s="53" t="str">
        <f t="array" ref="C165">IFERROR(IF(INDEX(Data!$B$2:$B$750,SMALL(Data!$S$2:$S$750,59))=0,"",INDEX(Data!$B$2:$B$750,SMALL(Data!$S$2:$S$750,59))),"")</f>
        <v/>
      </c>
      <c r="D165" s="53" t="str">
        <f t="array" ref="D165">IFERROR(INDEX(Data!$C$2:$C$750,SMALL(Data!$S$2:$S$750,59)),"")</f>
        <v>Adapter and charging cable</v>
      </c>
      <c r="E165" s="53">
        <f t="array" ref="E165">IFERROR(IF(INDEX(Data!$D$2:$D$750,SMALL(Data!$S$2:$S$750,59))=0,"",INDEX(Data!$D$2:$D$750,SMALL(Data!$S$2:$S$750,59))),"")</f>
        <v>2</v>
      </c>
      <c r="F165" s="54">
        <f t="array" ref="F165">IFERROR(IF(INDEX(Data!$E$2:$E$750,SMALL(Data!$S$2:$S$750,59))=0,"",INDEX(Data!$E$2:$E$750,SMALL(Data!$S$2:$S$750,59))),"")</f>
        <v>5</v>
      </c>
      <c r="G165" s="54">
        <f t="array" ref="G165">IFERROR(INDEX(Data!$F$2:$F$750,SMALL(Data!$S$2:$S$750,59)),"")</f>
        <v>10</v>
      </c>
      <c r="H165" s="55">
        <f t="array" ref="H165">IFERROR(IF(INDEX(Data!$G$2:$G$750,SMALL(Data!$S$2:$S$750,59))=0,"",INDEX(Data!$G$2:$G$750,SMALL(Data!$S$2:$S$750,59))),"")</f>
        <v>46202</v>
      </c>
      <c r="I165" s="53">
        <f t="array" ref="I165">IFERROR(IF(INDEX(Data!$H$2:$H$750,SMALL(Data!$S$2:$S$750,59))=0,"",INDEX(Data!$H$2:$H$750,SMALL(Data!$S$2:$S$750,59))),"")</f>
        <v>6</v>
      </c>
      <c r="J165" s="55">
        <f t="array" ref="J165">IFERROR(INDEX(Data!$I$2:$I$750,SMALL(Data!$S$2:$S$750,59)),"")</f>
        <v>46244</v>
      </c>
      <c r="K165" s="53" t="str">
        <f t="array" ref="K165">IFERROR(INDEX(Data!$J$2:$J$750,SMALL(Data!$S$2:$S$750,59)),"")</f>
        <v>Not Paid</v>
      </c>
      <c r="L165" s="53" t="str">
        <f t="array" ref="L165">IFERROR(INDEX(Data!$K$2:$K$750,SMALL(Data!$S$2:$S$750,59)),"")</f>
        <v>In Progress</v>
      </c>
      <c r="M165" s="48" t="s">
        <v>550</v>
      </c>
      <c r="N165" s="48">
        <f>SUMIFS(Data!D2:D750,Data!C2:C750,M165,Data!N2:N750,1)</f>
        <v>56</v>
      </c>
    </row>
    <row r="166" ht="15.75" customHeight="1">
      <c r="B166" s="56" t="str">
        <f t="array" ref="B166">IFERROR(INDEX(Data!$A$2:$A$750,SMALL(Data!$S$2:$S$750,60)),"")</f>
        <v>El Nakheel</v>
      </c>
      <c r="C166" s="56" t="str">
        <f t="array" ref="C166">IFERROR(IF(INDEX(Data!$B$2:$B$750,SMALL(Data!$S$2:$S$750,60))=0,"",INDEX(Data!$B$2:$B$750,SMALL(Data!$S$2:$S$750,60))),"")</f>
        <v>Metalcraft</v>
      </c>
      <c r="D166" s="56" t="str">
        <f t="array" ref="D166">IFERROR(INDEX(Data!$C$2:$C$750,SMALL(Data!$S$2:$S$750,60)),"")</f>
        <v>Dest windshield tags</v>
      </c>
      <c r="E166" s="56">
        <f t="array" ref="E166">IFERROR(IF(INDEX(Data!$D$2:$D$750,SMALL(Data!$S$2:$S$750,60))=0,"",INDEX(Data!$D$2:$D$750,SMALL(Data!$S$2:$S$750,60))),"")</f>
        <v>3000</v>
      </c>
      <c r="F166" s="57">
        <f t="array" ref="F166">IFERROR(IF(INDEX(Data!$E$2:$E$750,SMALL(Data!$S$2:$S$750,60))=0,"",INDEX(Data!$E$2:$E$750,SMALL(Data!$S$2:$S$750,60))),"")</f>
        <v>4</v>
      </c>
      <c r="G166" s="57">
        <f t="array" ref="G166">IFERROR(INDEX(Data!$F$2:$F$750,SMALL(Data!$S$2:$S$750,60)),"")</f>
        <v>12000</v>
      </c>
      <c r="H166" s="58">
        <f t="array" ref="H166">IFERROR(IF(INDEX(Data!$G$2:$G$750,SMALL(Data!$S$2:$S$750,60))=0,"",INDEX(Data!$G$2:$G$750,SMALL(Data!$S$2:$S$750,60))),"")</f>
        <v>46203</v>
      </c>
      <c r="I166" s="56">
        <f t="array" ref="I166">IFERROR(IF(INDEX(Data!$H$2:$H$750,SMALL(Data!$S$2:$S$750,60))=0,"",INDEX(Data!$H$2:$H$750,SMALL(Data!$S$2:$S$750,60))),"")</f>
        <v>7</v>
      </c>
      <c r="J166" s="58">
        <f t="array" ref="J166">IFERROR(INDEX(Data!$I$2:$I$750,SMALL(Data!$S$2:$S$750,60)),"")</f>
        <v>46252</v>
      </c>
      <c r="K166" s="56" t="str">
        <f t="array" ref="K166">IFERROR(INDEX(Data!$J$2:$J$750,SMALL(Data!$S$2:$S$750,60)),"")</f>
        <v>Not Paid</v>
      </c>
      <c r="L166" s="56" t="str">
        <f t="array" ref="L166">IFERROR(INDEX(Data!$K$2:$K$750,SMALL(Data!$S$2:$S$750,60)),"")</f>
        <v>Completed</v>
      </c>
      <c r="M166" s="48" t="s">
        <v>552</v>
      </c>
      <c r="N166" s="48">
        <f>SUMIFS(Data!D2:D750,Data!C2:C750,M166,Data!N2:N750,1)</f>
        <v>4</v>
      </c>
    </row>
    <row r="167" ht="15.75" customHeight="1">
      <c r="B167" s="53" t="str">
        <f t="array" ref="B167">IFERROR(INDEX(Data!$A$2:$A$750,SMALL(Data!$S$2:$S$750,61)),"")</f>
        <v>Radisson Blue</v>
      </c>
      <c r="C167" s="53" t="str">
        <f t="array" ref="C167">IFERROR(IF(INDEX(Data!$B$2:$B$750,SMALL(Data!$S$2:$S$750,61))=0,"",INDEX(Data!$B$2:$B$750,SMALL(Data!$S$2:$S$750,61))),"")</f>
        <v/>
      </c>
      <c r="D167" s="59" t="str">
        <f t="array" ref="D167">IFERROR(INDEX(Data!$C$2:$C$750,SMALL(Data!$S$2:$S$750,61)),"")</f>
        <v>Silver Barcode Labels
50mm*25mm
Blank
1 Roll includes 1800 labels</v>
      </c>
      <c r="E167" s="53">
        <f t="array" ref="E167">IFERROR(IF(INDEX(Data!$D$2:$D$750,SMALL(Data!$S$2:$S$750,61))=0,"",INDEX(Data!$D$2:$D$750,SMALL(Data!$S$2:$S$750,61))),"")</f>
        <v>14</v>
      </c>
      <c r="F167" s="54">
        <f t="array" ref="F167">IFERROR(IF(INDEX(Data!$E$2:$E$750,SMALL(Data!$S$2:$S$750,61))=0,"",INDEX(Data!$E$2:$E$750,SMALL(Data!$S$2:$S$750,61))),"")</f>
        <v>2</v>
      </c>
      <c r="G167" s="54">
        <f t="array" ref="G167">IFERROR(INDEX(Data!$F$2:$F$750,SMALL(Data!$S$2:$S$750,61)),"")</f>
        <v>28</v>
      </c>
      <c r="H167" s="55">
        <f t="array" ref="H167">IFERROR(IF(INDEX(Data!$G$2:$G$750,SMALL(Data!$S$2:$S$750,61))=0,"",INDEX(Data!$G$2:$G$750,SMALL(Data!$S$2:$S$750,61))),"")</f>
        <v>46204</v>
      </c>
      <c r="I167" s="53">
        <f t="array" ref="I167">IFERROR(IF(INDEX(Data!$H$2:$H$750,SMALL(Data!$S$2:$S$750,61))=0,"",INDEX(Data!$H$2:$H$750,SMALL(Data!$S$2:$S$750,61))),"")</f>
        <v>8</v>
      </c>
      <c r="J167" s="55">
        <f t="array" ref="J167">IFERROR(INDEX(Data!$I$2:$I$750,SMALL(Data!$S$2:$S$750,61)),"")</f>
        <v>46260</v>
      </c>
      <c r="K167" s="53" t="str">
        <f t="array" ref="K167">IFERROR(INDEX(Data!$J$2:$J$750,SMALL(Data!$S$2:$S$750,61)),"")</f>
        <v>Not Paid</v>
      </c>
      <c r="L167" s="53" t="str">
        <f t="array" ref="L167">IFERROR(INDEX(Data!$K$2:$K$750,SMALL(Data!$S$2:$S$750,61)),"")</f>
        <v>Delayed</v>
      </c>
      <c r="M167" s="48" t="s">
        <v>352</v>
      </c>
      <c r="N167" s="48">
        <f>SUMIFS(Data!D2:D750,Data!C2:C750,M167,Data!N2:N750,1)</f>
        <v>45698</v>
      </c>
    </row>
    <row r="168" ht="15.75" customHeight="1">
      <c r="B168" s="56" t="str">
        <f t="array" ref="B168">IFERROR(INDEX(Data!$A$2:$A$750,SMALL(Data!$S$2:$S$750,62)),"")</f>
        <v>Radisson Blue</v>
      </c>
      <c r="C168" s="56" t="str">
        <f t="array" ref="C168">IFERROR(IF(INDEX(Data!$B$2:$B$750,SMALL(Data!$S$2:$S$750,62))=0,"",INDEX(Data!$B$2:$B$750,SMALL(Data!$S$2:$S$750,62))),"")</f>
        <v>ATID</v>
      </c>
      <c r="D168" s="56" t="str">
        <f t="array" ref="D168">IFERROR(INDEX(Data!$C$2:$C$750,SMALL(Data!$S$2:$S$750,62)),"")</f>
        <v>AT907</v>
      </c>
      <c r="E168" s="56">
        <f t="array" ref="E168">IFERROR(IF(INDEX(Data!$D$2:$D$750,SMALL(Data!$S$2:$S$750,62))=0,"",INDEX(Data!$D$2:$D$750,SMALL(Data!$S$2:$S$750,62))),"")</f>
        <v>1</v>
      </c>
      <c r="F168" s="57">
        <f t="array" ref="F168">IFERROR(IF(INDEX(Data!$E$2:$E$750,SMALL(Data!$S$2:$S$750,62))=0,"",INDEX(Data!$E$2:$E$750,SMALL(Data!$S$2:$S$750,62))),"")</f>
        <v>36</v>
      </c>
      <c r="G168" s="57">
        <f t="array" ref="G168">IFERROR(INDEX(Data!$F$2:$F$750,SMALL(Data!$S$2:$S$750,62)),"")</f>
        <v>36</v>
      </c>
      <c r="H168" s="58">
        <f t="array" ref="H168">IFERROR(IF(INDEX(Data!$G$2:$G$750,SMALL(Data!$S$2:$S$750,62))=0,"",INDEX(Data!$G$2:$G$750,SMALL(Data!$S$2:$S$750,62))),"")</f>
        <v>46205</v>
      </c>
      <c r="I168" s="56">
        <f t="array" ref="I168">IFERROR(IF(INDEX(Data!$H$2:$H$750,SMALL(Data!$S$2:$S$750,62))=0,"",INDEX(Data!$H$2:$H$750,SMALL(Data!$S$2:$S$750,62))),"")</f>
        <v>14</v>
      </c>
      <c r="J168" s="58">
        <f t="array" ref="J168">IFERROR(INDEX(Data!$I$2:$I$750,SMALL(Data!$S$2:$S$750,62)),"")</f>
        <v>46303</v>
      </c>
      <c r="K168" s="56" t="str">
        <f t="array" ref="K168">IFERROR(INDEX(Data!$J$2:$J$750,SMALL(Data!$S$2:$S$750,62)),"")</f>
        <v>Not Paid</v>
      </c>
      <c r="L168" s="56" t="str">
        <f t="array" ref="L168">IFERROR(INDEX(Data!$K$2:$K$750,SMALL(Data!$S$2:$S$750,62)),"")</f>
        <v>Pending</v>
      </c>
      <c r="M168" s="48" t="s">
        <v>554</v>
      </c>
      <c r="N168" s="48">
        <f>SUMIFS(Data!D2:D750,Data!C2:C750,M168,Data!N2:N750,1)</f>
        <v>6000</v>
      </c>
    </row>
    <row r="169" ht="15.75" customHeight="1">
      <c r="B169" s="53" t="str">
        <f t="array" ref="B169">IFERROR(INDEX(Data!$A$2:$A$750,SMALL(Data!$S$2:$S$750,63)),"")</f>
        <v>Radisson Blue</v>
      </c>
      <c r="C169" s="53" t="str">
        <f t="array" ref="C169">IFERROR(IF(INDEX(Data!$B$2:$B$750,SMALL(Data!$S$2:$S$750,63))=0,"",INDEX(Data!$B$2:$B$750,SMALL(Data!$S$2:$S$750,63))),"")</f>
        <v>SATO</v>
      </c>
      <c r="D169" s="53" t="str">
        <f t="array" ref="D169">IFERROR(INDEX(Data!$C$2:$C$750,SMALL(Data!$S$2:$S$750,63)),"")</f>
        <v>Industrial Barcode printer (CL4NX)</v>
      </c>
      <c r="E169" s="53">
        <f t="array" ref="E169">IFERROR(IF(INDEX(Data!$D$2:$D$750,SMALL(Data!$S$2:$S$750,63))=0,"",INDEX(Data!$D$2:$D$750,SMALL(Data!$S$2:$S$750,63))),"")</f>
        <v>1</v>
      </c>
      <c r="F169" s="54">
        <f t="array" ref="F169">IFERROR(IF(INDEX(Data!$E$2:$E$750,SMALL(Data!$S$2:$S$750,63))=0,"",INDEX(Data!$E$2:$E$750,SMALL(Data!$S$2:$S$750,63))),"")</f>
        <v>2</v>
      </c>
      <c r="G169" s="54">
        <f t="array" ref="G169">IFERROR(INDEX(Data!$F$2:$F$750,SMALL(Data!$S$2:$S$750,63)),"")</f>
        <v>2</v>
      </c>
      <c r="H169" s="55">
        <f t="array" ref="H169">IFERROR(IF(INDEX(Data!$G$2:$G$750,SMALL(Data!$S$2:$S$750,63))=0,"",INDEX(Data!$G$2:$G$750,SMALL(Data!$S$2:$S$750,63))),"")</f>
        <v>46206</v>
      </c>
      <c r="I169" s="53">
        <f t="array" ref="I169">IFERROR(IF(INDEX(Data!$H$2:$H$750,SMALL(Data!$S$2:$S$750,63))=0,"",INDEX(Data!$H$2:$H$750,SMALL(Data!$S$2:$S$750,63))),"")</f>
        <v>16</v>
      </c>
      <c r="J169" s="55">
        <f t="array" ref="J169">IFERROR(INDEX(Data!$I$2:$I$750,SMALL(Data!$S$2:$S$750,63)),"")</f>
        <v>46318</v>
      </c>
      <c r="K169" s="53" t="str">
        <f t="array" ref="K169">IFERROR(INDEX(Data!$J$2:$J$750,SMALL(Data!$S$2:$S$750,63)),"")</f>
        <v>Not Paid</v>
      </c>
      <c r="L169" s="53" t="str">
        <f t="array" ref="L169">IFERROR(INDEX(Data!$K$2:$K$750,SMALL(Data!$S$2:$S$750,63)),"")</f>
        <v>Pending</v>
      </c>
      <c r="M169" s="48" t="s">
        <v>557</v>
      </c>
      <c r="N169" s="48">
        <f>SUMIFS(Data!D2:D750,Data!C2:C750,M169,Data!N2:N750,1)</f>
        <v>1</v>
      </c>
    </row>
    <row r="170" ht="15.75" customHeight="1">
      <c r="B170" s="56" t="str">
        <f t="array" ref="B170">IFERROR(INDEX(Data!$A$2:$A$750,SMALL(Data!$S$2:$S$750,64)),"")</f>
        <v>Radisson Blue</v>
      </c>
      <c r="C170" s="56" t="str">
        <f t="array" ref="C170">IFERROR(IF(INDEX(Data!$B$2:$B$750,SMALL(Data!$S$2:$S$750,64))=0,"",INDEX(Data!$B$2:$B$750,SMALL(Data!$S$2:$S$750,64))),"")</f>
        <v>SATO</v>
      </c>
      <c r="D170" s="56" t="str">
        <f t="array" ref="D170">IFERROR(INDEX(Data!$C$2:$C$750,SMALL(Data!$S$2:$S$750,64)),"")</f>
        <v>Ribbons</v>
      </c>
      <c r="E170" s="56" t="str">
        <f t="array" ref="E170">IFERROR(IF(INDEX(Data!$D$2:$D$750,SMALL(Data!$S$2:$S$750,64))=0,"",INDEX(Data!$D$2:$D$750,SMALL(Data!$S$2:$S$750,64))),"")</f>
        <v>4 out of 14</v>
      </c>
      <c r="F170" s="57">
        <f t="array" ref="F170">IFERROR(IF(INDEX(Data!$E$2:$E$750,SMALL(Data!$S$2:$S$750,64))=0,"",INDEX(Data!$E$2:$E$750,SMALL(Data!$S$2:$S$750,64))),"")</f>
        <v>5</v>
      </c>
      <c r="G170" s="57" t="str">
        <f t="array" ref="G170">IFERROR(INDEX(Data!$F$2:$F$750,SMALL(Data!$S$2:$S$750,64)),"")</f>
        <v/>
      </c>
      <c r="H170" s="58">
        <f t="array" ref="H170">IFERROR(IF(INDEX(Data!$G$2:$G$750,SMALL(Data!$S$2:$S$750,64))=0,"",INDEX(Data!$G$2:$G$750,SMALL(Data!$S$2:$S$750,64))),"")</f>
        <v>46207</v>
      </c>
      <c r="I170" s="56">
        <f t="array" ref="I170">IFERROR(IF(INDEX(Data!$H$2:$H$750,SMALL(Data!$S$2:$S$750,64))=0,"",INDEX(Data!$H$2:$H$750,SMALL(Data!$S$2:$S$750,64))),"")</f>
        <v>15</v>
      </c>
      <c r="J170" s="58">
        <f t="array" ref="J170">IFERROR(INDEX(Data!$I$2:$I$750,SMALL(Data!$S$2:$S$750,64)),"")</f>
        <v>46312</v>
      </c>
      <c r="K170" s="56" t="str">
        <f t="array" ref="K170">IFERROR(INDEX(Data!$J$2:$J$750,SMALL(Data!$S$2:$S$750,64)),"")</f>
        <v>Not Paid</v>
      </c>
      <c r="L170" s="56" t="str">
        <f t="array" ref="L170">IFERROR(INDEX(Data!$K$2:$K$750,SMALL(Data!$S$2:$S$750,64)),"")</f>
        <v>In Progress</v>
      </c>
      <c r="M170" s="48" t="s">
        <v>559</v>
      </c>
      <c r="N170" s="48">
        <f>SUMIFS(Data!D2:D750,Data!C2:C750,M170,Data!N2:N750,1)</f>
        <v>1</v>
      </c>
    </row>
    <row r="171" ht="15.75" customHeight="1">
      <c r="B171" s="53" t="str">
        <f t="array" ref="B171">IFERROR(INDEX(Data!$A$2:$A$750,SMALL(Data!$S$2:$S$750,65)),"")</f>
        <v>Prometeon</v>
      </c>
      <c r="C171" s="53" t="str">
        <f t="array" ref="C171">IFERROR(IF(INDEX(Data!$B$2:$B$750,SMALL(Data!$S$2:$S$750,65))=0,"",INDEX(Data!$B$2:$B$750,SMALL(Data!$S$2:$S$750,65))),"")</f>
        <v/>
      </c>
      <c r="D171" s="53" t="str">
        <f t="array" ref="D171">IFERROR(INDEX(Data!$C$2:$C$750,SMALL(Data!$S$2:$S$750,65)),"")</f>
        <v>Industrial Barcode printer (CL4NX)</v>
      </c>
      <c r="E171" s="53">
        <f t="array" ref="E171">IFERROR(IF(INDEX(Data!$D$2:$D$750,SMALL(Data!$S$2:$S$750,65))=0,"",INDEX(Data!$D$2:$D$750,SMALL(Data!$S$2:$S$750,65))),"")</f>
        <v>17</v>
      </c>
      <c r="F171" s="54">
        <f t="array" ref="F171">IFERROR(IF(INDEX(Data!$E$2:$E$750,SMALL(Data!$S$2:$S$750,65))=0,"",INDEX(Data!$E$2:$E$750,SMALL(Data!$S$2:$S$750,65))),"")</f>
        <v>6</v>
      </c>
      <c r="G171" s="54">
        <f t="array" ref="G171">IFERROR(INDEX(Data!$F$2:$F$750,SMALL(Data!$S$2:$S$750,65)),"")</f>
        <v>102</v>
      </c>
      <c r="H171" s="55">
        <f t="array" ref="H171">IFERROR(IF(INDEX(Data!$G$2:$G$750,SMALL(Data!$S$2:$S$750,65))=0,"",INDEX(Data!$G$2:$G$750,SMALL(Data!$S$2:$S$750,65))),"")</f>
        <v>46208</v>
      </c>
      <c r="I171" s="53">
        <f t="array" ref="I171">IFERROR(IF(INDEX(Data!$H$2:$H$750,SMALL(Data!$S$2:$S$750,65))=0,"",INDEX(Data!$H$2:$H$750,SMALL(Data!$S$2:$S$750,65))),"")</f>
        <v>15</v>
      </c>
      <c r="J171" s="55">
        <f t="array" ref="J171">IFERROR(INDEX(Data!$I$2:$I$750,SMALL(Data!$S$2:$S$750,65)),"")</f>
        <v>46313</v>
      </c>
      <c r="K171" s="53" t="str">
        <f t="array" ref="K171">IFERROR(INDEX(Data!$J$2:$J$750,SMALL(Data!$S$2:$S$750,65)),"")</f>
        <v>Not Paid</v>
      </c>
      <c r="L171" s="53" t="str">
        <f t="array" ref="L171">IFERROR(INDEX(Data!$K$2:$K$750,SMALL(Data!$S$2:$S$750,65)),"")</f>
        <v>Completed</v>
      </c>
      <c r="M171" s="48" t="s">
        <v>561</v>
      </c>
      <c r="N171" s="48">
        <f>SUMIFS(Data!D2:D750,Data!C2:C750,M171,Data!N2:N750,1)</f>
        <v>1</v>
      </c>
    </row>
    <row r="172" ht="15.75" customHeight="1">
      <c r="B172" s="56" t="str">
        <f t="array" ref="B172">IFERROR(INDEX(Data!$A$2:$A$750,SMALL(Data!$S$2:$S$750,66)),"")</f>
        <v>SIDC</v>
      </c>
      <c r="C172" s="56" t="str">
        <f t="array" ref="C172">IFERROR(IF(INDEX(Data!$B$2:$B$750,SMALL(Data!$S$2:$S$750,66))=0,"",INDEX(Data!$B$2:$B$750,SMALL(Data!$S$2:$S$750,66))),"")</f>
        <v/>
      </c>
      <c r="D172" s="56" t="str">
        <f t="array" ref="D172">IFERROR(INDEX(Data!$C$2:$C$750,SMALL(Data!$S$2:$S$750,66)),"")</f>
        <v>HF Cards</v>
      </c>
      <c r="E172" s="56">
        <f t="array" ref="E172">IFERROR(IF(INDEX(Data!$D$2:$D$750,SMALL(Data!$S$2:$S$750,66))=0,"",INDEX(Data!$D$2:$D$750,SMALL(Data!$S$2:$S$750,66))),"")</f>
        <v>5</v>
      </c>
      <c r="F172" s="57">
        <f t="array" ref="F172">IFERROR(IF(INDEX(Data!$E$2:$E$750,SMALL(Data!$S$2:$S$750,66))=0,"",INDEX(Data!$E$2:$E$750,SMALL(Data!$S$2:$S$750,66))),"")</f>
        <v>7</v>
      </c>
      <c r="G172" s="57">
        <f t="array" ref="G172">IFERROR(INDEX(Data!$F$2:$F$750,SMALL(Data!$S$2:$S$750,66)),"")</f>
        <v>35</v>
      </c>
      <c r="H172" s="58">
        <f t="array" ref="H172">IFERROR(IF(INDEX(Data!$G$2:$G$750,SMALL(Data!$S$2:$S$750,66))=0,"",INDEX(Data!$G$2:$G$750,SMALL(Data!$S$2:$S$750,66))),"")</f>
        <v>46209</v>
      </c>
      <c r="I172" s="56">
        <f t="array" ref="I172">IFERROR(IF(INDEX(Data!$H$2:$H$750,SMALL(Data!$S$2:$S$750,66))=0,"",INDEX(Data!$H$2:$H$750,SMALL(Data!$S$2:$S$750,66))),"")</f>
        <v>14</v>
      </c>
      <c r="J172" s="58">
        <f t="array" ref="J172">IFERROR(INDEX(Data!$I$2:$I$750,SMALL(Data!$S$2:$S$750,66)),"")</f>
        <v>46307</v>
      </c>
      <c r="K172" s="56" t="str">
        <f t="array" ref="K172">IFERROR(INDEX(Data!$J$2:$J$750,SMALL(Data!$S$2:$S$750,66)),"")</f>
        <v>Not Paid</v>
      </c>
      <c r="L172" s="56" t="str">
        <f t="array" ref="L172">IFERROR(INDEX(Data!$K$2:$K$750,SMALL(Data!$S$2:$S$750,66)),"")</f>
        <v>Delayed</v>
      </c>
      <c r="M172" s="48" t="s">
        <v>563</v>
      </c>
      <c r="N172" s="48">
        <f>SUMIFS(Data!D2:D750,Data!C2:C750,M172,Data!N2:N750,1)</f>
        <v>30000</v>
      </c>
    </row>
    <row r="173" ht="15.75" customHeight="1">
      <c r="B173" s="53" t="str">
        <f t="array" ref="B173">IFERROR(INDEX(Data!$A$2:$A$750,SMALL(Data!$S$2:$S$750,67)),"")</f>
        <v>SLR-RFID</v>
      </c>
      <c r="C173" s="53" t="str">
        <f t="array" ref="C173">IFERROR(IF(INDEX(Data!$B$2:$B$750,SMALL(Data!$S$2:$S$750,67))=0,"",INDEX(Data!$B$2:$B$750,SMALL(Data!$S$2:$S$750,67))),"")</f>
        <v>FEIG</v>
      </c>
      <c r="D173" s="53" t="str">
        <f t="array" ref="D173">IFERROR(INDEX(Data!$C$2:$C$750,SMALL(Data!$S$2:$S$750,67)),"")</f>
        <v>MAX.U500I</v>
      </c>
      <c r="E173" s="53">
        <f t="array" ref="E173">IFERROR(IF(INDEX(Data!$D$2:$D$750,SMALL(Data!$S$2:$S$750,67))=0,"",INDEX(Data!$D$2:$D$750,SMALL(Data!$S$2:$S$750,67))),"")</f>
        <v>36</v>
      </c>
      <c r="F173" s="54">
        <f t="array" ref="F173">IFERROR(IF(INDEX(Data!$E$2:$E$750,SMALL(Data!$S$2:$S$750,67))=0,"",INDEX(Data!$E$2:$E$750,SMALL(Data!$S$2:$S$750,67))),"")</f>
        <v>8</v>
      </c>
      <c r="G173" s="54">
        <f t="array" ref="G173">IFERROR(INDEX(Data!$F$2:$F$750,SMALL(Data!$S$2:$S$750,67)),"")</f>
        <v>288</v>
      </c>
      <c r="H173" s="55">
        <f t="array" ref="H173">IFERROR(IF(INDEX(Data!$G$2:$G$750,SMALL(Data!$S$2:$S$750,67))=0,"",INDEX(Data!$G$2:$G$750,SMALL(Data!$S$2:$S$750,67))),"")</f>
        <v>46210</v>
      </c>
      <c r="I173" s="53">
        <f t="array" ref="I173">IFERROR(IF(INDEX(Data!$H$2:$H$750,SMALL(Data!$S$2:$S$750,67))=0,"",INDEX(Data!$H$2:$H$750,SMALL(Data!$S$2:$S$750,67))),"")</f>
        <v>15</v>
      </c>
      <c r="J173" s="55">
        <f t="array" ref="J173">IFERROR(INDEX(Data!$I$2:$I$750,SMALL(Data!$S$2:$S$750,67)),"")</f>
        <v>46315</v>
      </c>
      <c r="K173" s="53" t="str">
        <f t="array" ref="K173">IFERROR(INDEX(Data!$J$2:$J$750,SMALL(Data!$S$2:$S$750,67)),"")</f>
        <v>Not Paid</v>
      </c>
      <c r="L173" s="53" t="str">
        <f t="array" ref="L173">IFERROR(INDEX(Data!$K$2:$K$750,SMALL(Data!$S$2:$S$750,67)),"")</f>
        <v>Pending</v>
      </c>
      <c r="M173" s="48" t="s">
        <v>564</v>
      </c>
      <c r="N173" s="48">
        <f>SUMIFS(Data!D2:D750,Data!C2:C750,M173,Data!N2:N750,1)</f>
        <v>21000</v>
      </c>
    </row>
    <row r="174" ht="15.75" customHeight="1">
      <c r="B174" s="56" t="str">
        <f t="array" ref="B174">IFERROR(INDEX(Data!$A$2:$A$750,SMALL(Data!$S$2:$S$750,68)),"")</f>
        <v>SLR-RFID</v>
      </c>
      <c r="C174" s="56" t="str">
        <f t="array" ref="C174">IFERROR(IF(INDEX(Data!$B$2:$B$750,SMALL(Data!$S$2:$S$750,68))=0,"",INDEX(Data!$B$2:$B$750,SMALL(Data!$S$2:$S$750,68))),"")</f>
        <v>FEIG</v>
      </c>
      <c r="D174" s="56" t="str">
        <f t="array" ref="D174">IFERROR(INDEX(Data!$C$2:$C$750,SMALL(Data!$S$2:$S$750,68)),"")</f>
        <v>ANT.U290/290</v>
      </c>
      <c r="E174" s="56">
        <f t="array" ref="E174">IFERROR(IF(INDEX(Data!$D$2:$D$750,SMALL(Data!$S$2:$S$750,68))=0,"",INDEX(Data!$D$2:$D$750,SMALL(Data!$S$2:$S$750,68))),"")</f>
        <v>29</v>
      </c>
      <c r="F174" s="57">
        <f t="array" ref="F174">IFERROR(IF(INDEX(Data!$E$2:$E$750,SMALL(Data!$S$2:$S$750,68))=0,"",INDEX(Data!$E$2:$E$750,SMALL(Data!$S$2:$S$750,68))),"")</f>
        <v>2</v>
      </c>
      <c r="G174" s="57">
        <f t="array" ref="G174">IFERROR(INDEX(Data!$F$2:$F$750,SMALL(Data!$S$2:$S$750,68)),"")</f>
        <v>58</v>
      </c>
      <c r="H174" s="58">
        <f t="array" ref="H174">IFERROR(IF(INDEX(Data!$G$2:$G$750,SMALL(Data!$S$2:$S$750,68))=0,"",INDEX(Data!$G$2:$G$750,SMALL(Data!$S$2:$S$750,68))),"")</f>
        <v>46211</v>
      </c>
      <c r="I174" s="56">
        <f t="array" ref="I174">IFERROR(IF(INDEX(Data!$H$2:$H$750,SMALL(Data!$S$2:$S$750,68))=0,"",INDEX(Data!$H$2:$H$750,SMALL(Data!$S$2:$S$750,68))),"")</f>
        <v>14</v>
      </c>
      <c r="J174" s="58">
        <f t="array" ref="J174">IFERROR(INDEX(Data!$I$2:$I$750,SMALL(Data!$S$2:$S$750,68)),"")</f>
        <v>46309</v>
      </c>
      <c r="K174" s="56" t="str">
        <f t="array" ref="K174">IFERROR(INDEX(Data!$J$2:$J$750,SMALL(Data!$S$2:$S$750,68)),"")</f>
        <v>Not Paid</v>
      </c>
      <c r="L174" s="56" t="str">
        <f t="array" ref="L174">IFERROR(INDEX(Data!$K$2:$K$750,SMALL(Data!$S$2:$S$750,68)),"")</f>
        <v>Pending</v>
      </c>
      <c r="M174" s="48" t="s">
        <v>533</v>
      </c>
      <c r="N174" s="48">
        <f>SUMIFS(Data!D2:D750,Data!C2:C750,M174,Data!N2:N750,1)</f>
        <v>1000</v>
      </c>
    </row>
    <row r="175" ht="15.75" customHeight="1">
      <c r="B175" s="53" t="str">
        <f t="array" ref="B175">IFERROR(INDEX(Data!$A$2:$A$750,SMALL(Data!$S$2:$S$750,69)),"")</f>
        <v>Enova</v>
      </c>
      <c r="C175" s="53" t="str">
        <f t="array" ref="C175">IFERROR(IF(INDEX(Data!$B$2:$B$750,SMALL(Data!$S$2:$S$750,69))=0,"",INDEX(Data!$B$2:$B$750,SMALL(Data!$S$2:$S$750,69))),"")</f>
        <v>FEIG</v>
      </c>
      <c r="D175" s="53" t="str">
        <f t="array" ref="D175">IFERROR(INDEX(Data!$C$2:$C$750,SMALL(Data!$S$2:$S$750,69)),"")</f>
        <v>RW02.10</v>
      </c>
      <c r="E175" s="53">
        <f t="array" ref="E175">IFERROR(IF(INDEX(Data!$D$2:$D$750,SMALL(Data!$S$2:$S$750,69))=0,"",INDEX(Data!$D$2:$D$750,SMALL(Data!$S$2:$S$750,69))),"")</f>
        <v>16</v>
      </c>
      <c r="F175" s="54">
        <f t="array" ref="F175">IFERROR(IF(INDEX(Data!$E$2:$E$750,SMALL(Data!$S$2:$S$750,69))=0,"",INDEX(Data!$E$2:$E$750,SMALL(Data!$S$2:$S$750,69))),"")</f>
        <v>15</v>
      </c>
      <c r="G175" s="54">
        <f t="array" ref="G175">IFERROR(INDEX(Data!$F$2:$F$750,SMALL(Data!$S$2:$S$750,69)),"")</f>
        <v>240</v>
      </c>
      <c r="H175" s="55">
        <f t="array" ref="H175">IFERROR(IF(INDEX(Data!$G$2:$G$750,SMALL(Data!$S$2:$S$750,69))=0,"",INDEX(Data!$G$2:$G$750,SMALL(Data!$S$2:$S$750,69))),"")</f>
        <v>46212</v>
      </c>
      <c r="I175" s="53">
        <f t="array" ref="I175">IFERROR(IF(INDEX(Data!$H$2:$H$750,SMALL(Data!$S$2:$S$750,69))=0,"",INDEX(Data!$H$2:$H$750,SMALL(Data!$S$2:$S$750,69))),"")</f>
        <v>12</v>
      </c>
      <c r="J175" s="55">
        <f t="array" ref="J175">IFERROR(INDEX(Data!$I$2:$I$750,SMALL(Data!$S$2:$S$750,69)),"")</f>
        <v>46296</v>
      </c>
      <c r="K175" s="53" t="str">
        <f t="array" ref="K175">IFERROR(INDEX(Data!$J$2:$J$750,SMALL(Data!$S$2:$S$750,69)),"")</f>
        <v>Not Paid</v>
      </c>
      <c r="L175" s="53" t="str">
        <f t="array" ref="L175">IFERROR(INDEX(Data!$K$2:$K$750,SMALL(Data!$S$2:$S$750,69)),"")</f>
        <v>Completed</v>
      </c>
      <c r="M175" s="48" t="s">
        <v>566</v>
      </c>
      <c r="N175" s="48">
        <f>SUMIFS(Data!D2:D750,Data!C2:C750,M175,Data!N2:N750,1)</f>
        <v>1</v>
      </c>
    </row>
    <row r="176" ht="15.75" customHeight="1">
      <c r="B176" s="56" t="str">
        <f t="array" ref="B176">IFERROR(INDEX(Data!$A$2:$A$750,SMALL(Data!$S$2:$S$750,70)),"")</f>
        <v>Semiramis</v>
      </c>
      <c r="C176" s="56" t="str">
        <f t="array" ref="C176">IFERROR(IF(INDEX(Data!$B$2:$B$750,SMALL(Data!$S$2:$S$750,70))=0,"",INDEX(Data!$B$2:$B$750,SMALL(Data!$S$2:$S$750,70))),"")</f>
        <v>Dipole</v>
      </c>
      <c r="D176" s="56" t="str">
        <f t="array" ref="D176">IFERROR(INDEX(Data!$C$2:$C$750,SMALL(Data!$S$2:$S$750,70)),"")</f>
        <v>UHF Paper tags- Dogbone- Blank</v>
      </c>
      <c r="E176" s="56">
        <f t="array" ref="E176">IFERROR(IF(INDEX(Data!$D$2:$D$750,SMALL(Data!$S$2:$S$750,70))=0,"",INDEX(Data!$D$2:$D$750,SMALL(Data!$S$2:$S$750,70))),"")</f>
        <v>100000</v>
      </c>
      <c r="F176" s="57">
        <f t="array" ref="F176">IFERROR(IF(INDEX(Data!$E$2:$E$750,SMALL(Data!$S$2:$S$750,70))=0,"",INDEX(Data!$E$2:$E$750,SMALL(Data!$S$2:$S$750,70))),"")</f>
        <v>45</v>
      </c>
      <c r="G176" s="57">
        <f t="array" ref="G176">IFERROR(INDEX(Data!$F$2:$F$750,SMALL(Data!$S$2:$S$750,70)),"")</f>
        <v>4500000</v>
      </c>
      <c r="H176" s="58">
        <f t="array" ref="H176">IFERROR(IF(INDEX(Data!$G$2:$G$750,SMALL(Data!$S$2:$S$750,70))=0,"",INDEX(Data!$G$2:$G$750,SMALL(Data!$S$2:$S$750,70))),"")</f>
        <v>46213</v>
      </c>
      <c r="I176" s="56">
        <f t="array" ref="I176">IFERROR(IF(INDEX(Data!$H$2:$H$750,SMALL(Data!$S$2:$S$750,70))=0,"",INDEX(Data!$H$2:$H$750,SMALL(Data!$S$2:$S$750,70))),"")</f>
        <v>14</v>
      </c>
      <c r="J176" s="58">
        <f t="array" ref="J176">IFERROR(INDEX(Data!$I$2:$I$750,SMALL(Data!$S$2:$S$750,70)),"")</f>
        <v>46311</v>
      </c>
      <c r="K176" s="56" t="str">
        <f t="array" ref="K176">IFERROR(INDEX(Data!$J$2:$J$750,SMALL(Data!$S$2:$S$750,70)),"")</f>
        <v>Not Paid</v>
      </c>
      <c r="L176" s="56" t="str">
        <f t="array" ref="L176">IFERROR(INDEX(Data!$K$2:$K$750,SMALL(Data!$S$2:$S$750,70)),"")</f>
        <v>Pending</v>
      </c>
      <c r="M176" s="48" t="s">
        <v>241</v>
      </c>
      <c r="N176" s="48">
        <f>SUMIFS(Data!D2:D750,Data!C2:C750,M176,Data!N2:N750,1)</f>
        <v>2</v>
      </c>
    </row>
    <row r="177" ht="15.75" customHeight="1">
      <c r="B177" s="53" t="str">
        <f t="array" ref="B177">IFERROR(INDEX(Data!$A$2:$A$750,SMALL(Data!$S$2:$S$750,71)),"")</f>
        <v>Semiramis</v>
      </c>
      <c r="C177" s="53" t="str">
        <f t="array" ref="C177">IFERROR(IF(INDEX(Data!$B$2:$B$750,SMALL(Data!$S$2:$S$750,71))=0,"",INDEX(Data!$B$2:$B$750,SMALL(Data!$S$2:$S$750,71))),"")</f>
        <v>RICH RFID</v>
      </c>
      <c r="D177" s="53" t="str">
        <f t="array" ref="D177">IFERROR(INDEX(Data!$C$2:$C$750,SMALL(Data!$S$2:$S$750,71)),"")</f>
        <v>UHF Tags for Metal Assets- RCO7011- Blank</v>
      </c>
      <c r="E177" s="53">
        <f t="array" ref="E177">IFERROR(IF(INDEX(Data!$D$2:$D$750,SMALL(Data!$S$2:$S$750,71))=0,"",INDEX(Data!$D$2:$D$750,SMALL(Data!$S$2:$S$750,71))),"")</f>
        <v>40000</v>
      </c>
      <c r="F177" s="54">
        <f t="array" ref="F177">IFERROR(IF(INDEX(Data!$E$2:$E$750,SMALL(Data!$S$2:$S$750,71))=0,"",INDEX(Data!$E$2:$E$750,SMALL(Data!$S$2:$S$750,71))),"")</f>
        <v>24</v>
      </c>
      <c r="G177" s="54">
        <f t="array" ref="G177">IFERROR(INDEX(Data!$F$2:$F$750,SMALL(Data!$S$2:$S$750,71)),"")</f>
        <v>960000</v>
      </c>
      <c r="H177" s="55">
        <f t="array" ref="H177">IFERROR(IF(INDEX(Data!$G$2:$G$750,SMALL(Data!$S$2:$S$750,71))=0,"",INDEX(Data!$G$2:$G$750,SMALL(Data!$S$2:$S$750,71))),"")</f>
        <v>46214</v>
      </c>
      <c r="I177" s="53">
        <f t="array" ref="I177">IFERROR(IF(INDEX(Data!$H$2:$H$750,SMALL(Data!$S$2:$S$750,71))=0,"",INDEX(Data!$H$2:$H$750,SMALL(Data!$S$2:$S$750,71))),"")</f>
        <v>13</v>
      </c>
      <c r="J177" s="55">
        <f t="array" ref="J177">IFERROR(INDEX(Data!$I$2:$I$750,SMALL(Data!$S$2:$S$750,71)),"")</f>
        <v>46305</v>
      </c>
      <c r="K177" s="53" t="str">
        <f t="array" ref="K177">IFERROR(INDEX(Data!$J$2:$J$750,SMALL(Data!$S$2:$S$750,71)),"")</f>
        <v>Not Paid</v>
      </c>
      <c r="L177" s="53" t="str">
        <f t="array" ref="L177">IFERROR(INDEX(Data!$K$2:$K$750,SMALL(Data!$S$2:$S$750,71)),"")</f>
        <v>In Progress</v>
      </c>
      <c r="M177" s="48" t="s">
        <v>567</v>
      </c>
      <c r="N177" s="48">
        <f>SUMIFS(Data!D2:D750,Data!C2:C750,M177,Data!N2:N750,1)</f>
        <v>50</v>
      </c>
    </row>
    <row r="178" ht="15.75" customHeight="1">
      <c r="B178" s="56" t="str">
        <f t="array" ref="B178">IFERROR(INDEX(Data!$A$2:$A$750,SMALL(Data!$S$2:$S$750,72)),"")</f>
        <v>Semiramis</v>
      </c>
      <c r="C178" s="56" t="str">
        <f t="array" ref="C178">IFERROR(IF(INDEX(Data!$B$2:$B$750,SMALL(Data!$S$2:$S$750,72))=0,"",INDEX(Data!$B$2:$B$750,SMALL(Data!$S$2:$S$750,72))),"")</f>
        <v>The tag factory</v>
      </c>
      <c r="D178" s="56" t="str">
        <f t="array" ref="D178">IFERROR(INDEX(Data!$C$2:$C$750,SMALL(Data!$S$2:$S$750,72)),"")</f>
        <v>RFID Hard Tag- M-Crown</v>
      </c>
      <c r="E178" s="56">
        <f t="array" ref="E178">IFERROR(IF(INDEX(Data!$D$2:$D$750,SMALL(Data!$S$2:$S$750,72))=0,"",INDEX(Data!$D$2:$D$750,SMALL(Data!$S$2:$S$750,72))),"")</f>
        <v>2000</v>
      </c>
      <c r="F178" s="57">
        <f t="array" ref="F178">IFERROR(IF(INDEX(Data!$E$2:$E$750,SMALL(Data!$S$2:$S$750,72))=0,"",INDEX(Data!$E$2:$E$750,SMALL(Data!$S$2:$S$750,72))),"")</f>
        <v>25</v>
      </c>
      <c r="G178" s="57">
        <f t="array" ref="G178">IFERROR(INDEX(Data!$F$2:$F$750,SMALL(Data!$S$2:$S$750,72)),"")</f>
        <v>50000</v>
      </c>
      <c r="H178" s="58">
        <f t="array" ref="H178">IFERROR(IF(INDEX(Data!$G$2:$G$750,SMALL(Data!$S$2:$S$750,72))=0,"",INDEX(Data!$G$2:$G$750,SMALL(Data!$S$2:$S$750,72))),"")</f>
        <v>46215</v>
      </c>
      <c r="I178" s="56">
        <f t="array" ref="I178">IFERROR(IF(INDEX(Data!$H$2:$H$750,SMALL(Data!$S$2:$S$750,72))=0,"",INDEX(Data!$H$2:$H$750,SMALL(Data!$S$2:$S$750,72))),"")</f>
        <v>19</v>
      </c>
      <c r="J178" s="58">
        <f t="array" ref="J178">IFERROR(INDEX(Data!$I$2:$I$750,SMALL(Data!$S$2:$S$750,72)),"")</f>
        <v>46348</v>
      </c>
      <c r="K178" s="56" t="str">
        <f t="array" ref="K178">IFERROR(INDEX(Data!$J$2:$J$750,SMALL(Data!$S$2:$S$750,72)),"")</f>
        <v>Not Paid</v>
      </c>
      <c r="L178" s="56" t="str">
        <f t="array" ref="L178">IFERROR(INDEX(Data!$K$2:$K$750,SMALL(Data!$S$2:$S$750,72)),"")</f>
        <v>Completed</v>
      </c>
      <c r="M178" s="48" t="s">
        <v>569</v>
      </c>
      <c r="N178" s="48">
        <f>SUMIFS(Data!D2:D750,Data!C2:C750,M178,Data!N2:N750,1)</f>
        <v>10</v>
      </c>
    </row>
    <row r="179" ht="15.75" customHeight="1">
      <c r="B179" s="53" t="str">
        <f t="array" ref="B179">IFERROR(INDEX(Data!$A$2:$A$750,SMALL(Data!$S$2:$S$750,73)),"")</f>
        <v>Semiramis</v>
      </c>
      <c r="C179" s="53" t="str">
        <f t="array" ref="C179">IFERROR(IF(INDEX(Data!$B$2:$B$750,SMALL(Data!$S$2:$S$750,73))=0,"",INDEX(Data!$B$2:$B$750,SMALL(Data!$S$2:$S$750,73))),"")</f>
        <v>SATO</v>
      </c>
      <c r="D179" s="53" t="str">
        <f t="array" ref="D179">IFERROR(INDEX(Data!$C$2:$C$750,SMALL(Data!$S$2:$S$750,73)),"")</f>
        <v>Industrial RFID Printer CL4NX Plus</v>
      </c>
      <c r="E179" s="53">
        <f t="array" ref="E179">IFERROR(IF(INDEX(Data!$D$2:$D$750,SMALL(Data!$S$2:$S$750,73))=0,"",INDEX(Data!$D$2:$D$750,SMALL(Data!$S$2:$S$750,73))),"")</f>
        <v>1</v>
      </c>
      <c r="F179" s="54">
        <f t="array" ref="F179">IFERROR(IF(INDEX(Data!$E$2:$E$750,SMALL(Data!$S$2:$S$750,73))=0,"",INDEX(Data!$E$2:$E$750,SMALL(Data!$S$2:$S$750,73))),"")</f>
        <v>36</v>
      </c>
      <c r="G179" s="54">
        <f t="array" ref="G179">IFERROR(INDEX(Data!$F$2:$F$750,SMALL(Data!$S$2:$S$750,73)),"")</f>
        <v>36</v>
      </c>
      <c r="H179" s="55">
        <f t="array" ref="H179">IFERROR(IF(INDEX(Data!$G$2:$G$750,SMALL(Data!$S$2:$S$750,73))=0,"",INDEX(Data!$G$2:$G$750,SMALL(Data!$S$2:$S$750,73))),"")</f>
        <v>46216</v>
      </c>
      <c r="I179" s="53">
        <f t="array" ref="I179">IFERROR(IF(INDEX(Data!$H$2:$H$750,SMALL(Data!$S$2:$S$750,73))=0,"",INDEX(Data!$H$2:$H$750,SMALL(Data!$S$2:$S$750,73))),"")</f>
        <v>17</v>
      </c>
      <c r="J179" s="55">
        <f t="array" ref="J179">IFERROR(INDEX(Data!$I$2:$I$750,SMALL(Data!$S$2:$S$750,73)),"")</f>
        <v>46335</v>
      </c>
      <c r="K179" s="53" t="str">
        <f t="array" ref="K179">IFERROR(INDEX(Data!$J$2:$J$750,SMALL(Data!$S$2:$S$750,73)),"")</f>
        <v>Not Paid</v>
      </c>
      <c r="L179" s="53" t="str">
        <f t="array" ref="L179">IFERROR(INDEX(Data!$K$2:$K$750,SMALL(Data!$S$2:$S$750,73)),"")</f>
        <v>Delayed</v>
      </c>
      <c r="M179" s="51" t="s">
        <v>558</v>
      </c>
      <c r="N179" s="48">
        <f>SUMIFS(Data!D2:D750,Data!C2:C750,M179,Data!N2:N750,1)</f>
        <v>500</v>
      </c>
    </row>
    <row r="180" ht="15.75" customHeight="1">
      <c r="B180" s="56" t="str">
        <f t="array" ref="B180">IFERROR(INDEX(Data!$A$2:$A$750,SMALL(Data!$S$2:$S$750,74)),"")</f>
        <v>Semiramis</v>
      </c>
      <c r="C180" s="56" t="str">
        <f t="array" ref="C180">IFERROR(IF(INDEX(Data!$B$2:$B$750,SMALL(Data!$S$2:$S$750,74))=0,"",INDEX(Data!$B$2:$B$750,SMALL(Data!$S$2:$S$750,74))),"")</f>
        <v>SATO</v>
      </c>
      <c r="D180" s="56" t="str">
        <f t="array" ref="D180">IFERROR(INDEX(Data!$C$2:$C$750,SMALL(Data!$S$2:$S$750,74)),"")</f>
        <v>Resin ribbon- Y10110600364</v>
      </c>
      <c r="E180" s="56">
        <f t="array" ref="E180">IFERROR(IF(INDEX(Data!$D$2:$D$750,SMALL(Data!$S$2:$S$750,74))=0,"",INDEX(Data!$D$2:$D$750,SMALL(Data!$S$2:$S$750,74))),"")</f>
        <v>6</v>
      </c>
      <c r="F180" s="57">
        <f t="array" ref="F180">IFERROR(IF(INDEX(Data!$E$2:$E$750,SMALL(Data!$S$2:$S$750,74))=0,"",INDEX(Data!$E$2:$E$750,SMALL(Data!$S$2:$S$750,74))),"")</f>
        <v>95</v>
      </c>
      <c r="G180" s="57">
        <f t="array" ref="G180">IFERROR(INDEX(Data!$F$2:$F$750,SMALL(Data!$S$2:$S$750,74)),"")</f>
        <v>570</v>
      </c>
      <c r="H180" s="58">
        <f t="array" ref="H180">IFERROR(IF(INDEX(Data!$G$2:$G$750,SMALL(Data!$S$2:$S$750,74))=0,"",INDEX(Data!$G$2:$G$750,SMALL(Data!$S$2:$S$750,74))),"")</f>
        <v>46217</v>
      </c>
      <c r="I180" s="56">
        <f t="array" ref="I180">IFERROR(IF(INDEX(Data!$H$2:$H$750,SMALL(Data!$S$2:$S$750,74))=0,"",INDEX(Data!$H$2:$H$750,SMALL(Data!$S$2:$S$750,74))),"")</f>
        <v>19</v>
      </c>
      <c r="J180" s="58">
        <f t="array" ref="J180">IFERROR(INDEX(Data!$I$2:$I$750,SMALL(Data!$S$2:$S$750,74)),"")</f>
        <v>46350</v>
      </c>
      <c r="K180" s="56" t="str">
        <f t="array" ref="K180">IFERROR(INDEX(Data!$J$2:$J$750,SMALL(Data!$S$2:$S$750,74)),"")</f>
        <v>Not Paid</v>
      </c>
      <c r="L180" s="56" t="str">
        <f t="array" ref="L180">IFERROR(INDEX(Data!$K$2:$K$750,SMALL(Data!$S$2:$S$750,74)),"")</f>
        <v>Pending</v>
      </c>
      <c r="M180" s="51" t="s">
        <v>572</v>
      </c>
      <c r="N180" s="48">
        <f>SUMIFS(Data!D2:D750,Data!C2:C750,M180,Data!N2:N750,1)</f>
        <v>100</v>
      </c>
    </row>
    <row r="181" ht="15.75" customHeight="1">
      <c r="B181" s="53" t="str">
        <f t="array" ref="B181">IFERROR(INDEX(Data!$A$2:$A$750,SMALL(Data!$S$2:$S$750,75)),"")</f>
        <v>Semiramis</v>
      </c>
      <c r="C181" s="53" t="str">
        <f t="array" ref="C181">IFERROR(IF(INDEX(Data!$B$2:$B$750,SMALL(Data!$S$2:$S$750,75))=0,"",INDEX(Data!$B$2:$B$750,SMALL(Data!$S$2:$S$750,75))),"")</f>
        <v>ATID</v>
      </c>
      <c r="D181" s="53" t="str">
        <f t="array" ref="D181">IFERROR(INDEX(Data!$C$2:$C$750,SMALL(Data!$S$2:$S$750,75)),"")</f>
        <v>Handheld- AT907</v>
      </c>
      <c r="E181" s="53">
        <f t="array" ref="E181">IFERROR(IF(INDEX(Data!$D$2:$D$750,SMALL(Data!$S$2:$S$750,75))=0,"",INDEX(Data!$D$2:$D$750,SMALL(Data!$S$2:$S$750,75))),"")</f>
        <v>2</v>
      </c>
      <c r="F181" s="54">
        <f t="array" ref="F181">IFERROR(IF(INDEX(Data!$E$2:$E$750,SMALL(Data!$S$2:$S$750,75))=0,"",INDEX(Data!$E$2:$E$750,SMALL(Data!$S$2:$S$750,75))),"")</f>
        <v>574</v>
      </c>
      <c r="G181" s="54">
        <f t="array" ref="G181">IFERROR(INDEX(Data!$F$2:$F$750,SMALL(Data!$S$2:$S$750,75)),"")</f>
        <v>1148</v>
      </c>
      <c r="H181" s="55">
        <f t="array" ref="H181">IFERROR(IF(INDEX(Data!$G$2:$G$750,SMALL(Data!$S$2:$S$750,75))=0,"",INDEX(Data!$G$2:$G$750,SMALL(Data!$S$2:$S$750,75))),"")</f>
        <v>46218</v>
      </c>
      <c r="I181" s="53">
        <f t="array" ref="I181">IFERROR(IF(INDEX(Data!$H$2:$H$750,SMALL(Data!$S$2:$S$750,75))=0,"",INDEX(Data!$H$2:$H$750,SMALL(Data!$S$2:$S$750,75))),"")</f>
        <v>21</v>
      </c>
      <c r="J181" s="55">
        <f t="array" ref="J181">IFERROR(INDEX(Data!$I$2:$I$750,SMALL(Data!$S$2:$S$750,75)),"")</f>
        <v>46365</v>
      </c>
      <c r="K181" s="53" t="str">
        <f t="array" ref="K181">IFERROR(INDEX(Data!$J$2:$J$750,SMALL(Data!$S$2:$S$750,75)),"")</f>
        <v>Not Paid</v>
      </c>
      <c r="L181" s="53" t="str">
        <f t="array" ref="L181">IFERROR(INDEX(Data!$K$2:$K$750,SMALL(Data!$S$2:$S$750,75)),"")</f>
        <v>Pending</v>
      </c>
      <c r="M181" s="48" t="s">
        <v>574</v>
      </c>
      <c r="N181" s="48">
        <f>SUMIFS(Data!D2:D750,Data!C2:C750,M181,Data!N2:N750,1)</f>
        <v>2</v>
      </c>
    </row>
    <row r="182" ht="15.75" customHeight="1">
      <c r="B182" s="56" t="str">
        <f t="array" ref="B182">IFERROR(INDEX(Data!$A$2:$A$750,SMALL(Data!$S$2:$S$750,76)),"")</f>
        <v>AIB</v>
      </c>
      <c r="C182" s="56" t="str">
        <f t="array" ref="C182">IFERROR(IF(INDEX(Data!$B$2:$B$750,SMALL(Data!$S$2:$S$750,76))=0,"",INDEX(Data!$B$2:$B$750,SMALL(Data!$S$2:$S$750,76))),"")</f>
        <v>Metalcraft</v>
      </c>
      <c r="D182" s="56" t="str">
        <f t="array" ref="D182">IFERROR(INDEX(Data!$C$2:$C$750,SMALL(Data!$S$2:$S$750,76)),"")</f>
        <v>EU Universal tags- Blank</v>
      </c>
      <c r="E182" s="56" t="str">
        <f t="array" ref="E182">IFERROR(IF(INDEX(Data!$D$2:$D$750,SMALL(Data!$S$2:$S$750,76))=0,"",INDEX(Data!$D$2:$D$750,SMALL(Data!$S$2:$S$750,76))),"")</f>
        <v>1100 out of 5000</v>
      </c>
      <c r="F182" s="57">
        <f t="array" ref="F182">IFERROR(IF(INDEX(Data!$E$2:$E$750,SMALL(Data!$S$2:$S$750,76))=0,"",INDEX(Data!$E$2:$E$750,SMALL(Data!$S$2:$S$750,76))),"")</f>
        <v>558</v>
      </c>
      <c r="G182" s="57" t="str">
        <f t="array" ref="G182">IFERROR(INDEX(Data!$F$2:$F$750,SMALL(Data!$S$2:$S$750,76)),"")</f>
        <v/>
      </c>
      <c r="H182" s="58">
        <f t="array" ref="H182">IFERROR(IF(INDEX(Data!$G$2:$G$750,SMALL(Data!$S$2:$S$750,76))=0,"",INDEX(Data!$G$2:$G$750,SMALL(Data!$S$2:$S$750,76))),"")</f>
        <v>46219</v>
      </c>
      <c r="I182" s="56">
        <f t="array" ref="I182">IFERROR(IF(INDEX(Data!$H$2:$H$750,SMALL(Data!$S$2:$S$750,76))=0,"",INDEX(Data!$H$2:$H$750,SMALL(Data!$S$2:$S$750,76))),"")</f>
        <v>20</v>
      </c>
      <c r="J182" s="58">
        <f t="array" ref="J182">IFERROR(INDEX(Data!$I$2:$I$750,SMALL(Data!$S$2:$S$750,76)),"")</f>
        <v>46359</v>
      </c>
      <c r="K182" s="56" t="str">
        <f t="array" ref="K182">IFERROR(INDEX(Data!$J$2:$J$750,SMALL(Data!$S$2:$S$750,76)),"")</f>
        <v>Not Paid</v>
      </c>
      <c r="L182" s="56" t="str">
        <f t="array" ref="L182">IFERROR(INDEX(Data!$K$2:$K$750,SMALL(Data!$S$2:$S$750,76)),"")</f>
        <v>Pending</v>
      </c>
      <c r="M182" s="48" t="s">
        <v>576</v>
      </c>
      <c r="N182" s="48">
        <f>SUMIFS(Data!D2:D750,Data!C2:C750,M182,Data!N2:N750,1)</f>
        <v>6</v>
      </c>
    </row>
    <row r="183" ht="15.75" customHeight="1">
      <c r="B183" s="53" t="str">
        <f t="array" ref="B183">IFERROR(INDEX(Data!$A$2:$A$750,SMALL(Data!$S$2:$S$750,77)),"")</f>
        <v>Obour Institute</v>
      </c>
      <c r="C183" s="53" t="str">
        <f t="array" ref="C183">IFERROR(IF(INDEX(Data!$B$2:$B$750,SMALL(Data!$S$2:$S$750,77))=0,"",INDEX(Data!$B$2:$B$750,SMALL(Data!$S$2:$S$750,77))),"")</f>
        <v>FEIG</v>
      </c>
      <c r="D183" s="53" t="str">
        <f t="array" ref="D183">IFERROR(INDEX(Data!$C$2:$C$750,SMALL(Data!$S$2:$S$750,77)),"")</f>
        <v>ID CPR30+ USB</v>
      </c>
      <c r="E183" s="53" t="str">
        <f t="array" ref="E183">IFERROR(IF(INDEX(Data!$D$2:$D$750,SMALL(Data!$S$2:$S$750,77))=0,"",INDEX(Data!$D$2:$D$750,SMALL(Data!$S$2:$S$750,77))),"")</f>
        <v>1 out of 3</v>
      </c>
      <c r="F183" s="54">
        <f t="array" ref="F183">IFERROR(IF(INDEX(Data!$E$2:$E$750,SMALL(Data!$S$2:$S$750,77))=0,"",INDEX(Data!$E$2:$E$750,SMALL(Data!$S$2:$S$750,77))),"")</f>
        <v>2265</v>
      </c>
      <c r="G183" s="54" t="str">
        <f t="array" ref="G183">IFERROR(INDEX(Data!$F$2:$F$750,SMALL(Data!$S$2:$S$750,77)),"")</f>
        <v/>
      </c>
      <c r="H183" s="55">
        <f t="array" ref="H183">IFERROR(IF(INDEX(Data!$G$2:$G$750,SMALL(Data!$S$2:$S$750,77))=0,"",INDEX(Data!$G$2:$G$750,SMALL(Data!$S$2:$S$750,77))),"")</f>
        <v>46220</v>
      </c>
      <c r="I183" s="53">
        <f t="array" ref="I183">IFERROR(IF(INDEX(Data!$H$2:$H$750,SMALL(Data!$S$2:$S$750,77))=0,"",INDEX(Data!$H$2:$H$750,SMALL(Data!$S$2:$S$750,77))),"")</f>
        <v>21</v>
      </c>
      <c r="J183" s="55">
        <f t="array" ref="J183">IFERROR(INDEX(Data!$I$2:$I$750,SMALL(Data!$S$2:$S$750,77)),"")</f>
        <v>46367</v>
      </c>
      <c r="K183" s="53" t="str">
        <f t="array" ref="K183">IFERROR(INDEX(Data!$J$2:$J$750,SMALL(Data!$S$2:$S$750,77)),"")</f>
        <v>Not Paid</v>
      </c>
      <c r="L183" s="53" t="str">
        <f t="array" ref="L183">IFERROR(INDEX(Data!$K$2:$K$750,SMALL(Data!$S$2:$S$750,77)),"")</f>
        <v>Pending</v>
      </c>
      <c r="M183" s="48" t="s">
        <v>577</v>
      </c>
      <c r="N183" s="48">
        <f>SUMIFS(Data!D2:D750,Data!C2:C750,M183,Data!N2:N750,1)</f>
        <v>6</v>
      </c>
    </row>
    <row r="184" ht="15.75" customHeight="1">
      <c r="B184" s="56" t="str">
        <f t="array" ref="B184">IFERROR(INDEX(Data!$A$2:$A$750,SMALL(Data!$S$2:$S$750,78)),"")</f>
        <v>AUBE</v>
      </c>
      <c r="C184" s="56" t="str">
        <f t="array" ref="C184">IFERROR(IF(INDEX(Data!$B$2:$B$750,SMALL(Data!$S$2:$S$750,78))=0,"",INDEX(Data!$B$2:$B$750,SMALL(Data!$S$2:$S$750,78))),"")</f>
        <v>Dipole</v>
      </c>
      <c r="D184" s="56" t="str">
        <f t="array" ref="D184">IFERROR(INDEX(Data!$C$2:$C$750,SMALL(Data!$S$2:$S$750,78)),"")</f>
        <v>Dogbone tags- Pre printed in black&amp;encoded</v>
      </c>
      <c r="E184" s="56">
        <f t="array" ref="E184">IFERROR(IF(INDEX(Data!$D$2:$D$750,SMALL(Data!$S$2:$S$750,78))=0,"",INDEX(Data!$D$2:$D$750,SMALL(Data!$S$2:$S$750,78))),"")</f>
        <v>9405</v>
      </c>
      <c r="F184" s="57">
        <f t="array" ref="F184">IFERROR(IF(INDEX(Data!$E$2:$E$750,SMALL(Data!$S$2:$S$750,78))=0,"",INDEX(Data!$E$2:$E$750,SMALL(Data!$S$2:$S$750,78))),"")</f>
        <v>45</v>
      </c>
      <c r="G184" s="57">
        <f t="array" ref="G184">IFERROR(INDEX(Data!$F$2:$F$750,SMALL(Data!$S$2:$S$750,78)),"")</f>
        <v>423225</v>
      </c>
      <c r="H184" s="58">
        <f t="array" ref="H184">IFERROR(IF(INDEX(Data!$G$2:$G$750,SMALL(Data!$S$2:$S$750,78))=0,"",INDEX(Data!$G$2:$G$750,SMALL(Data!$S$2:$S$750,78))),"")</f>
        <v>46221</v>
      </c>
      <c r="I184" s="56">
        <f t="array" ref="I184">IFERROR(IF(INDEX(Data!$H$2:$H$750,SMALL(Data!$S$2:$S$750,78))=0,"",INDEX(Data!$H$2:$H$750,SMALL(Data!$S$2:$S$750,78))),"")</f>
        <v>18</v>
      </c>
      <c r="J184" s="58">
        <f t="array" ref="J184">IFERROR(INDEX(Data!$I$2:$I$750,SMALL(Data!$S$2:$S$750,78)),"")</f>
        <v>46347</v>
      </c>
      <c r="K184" s="56" t="str">
        <f t="array" ref="K184">IFERROR(INDEX(Data!$J$2:$J$750,SMALL(Data!$S$2:$S$750,78)),"")</f>
        <v>Not Paid</v>
      </c>
      <c r="L184" s="56" t="str">
        <f t="array" ref="L184">IFERROR(INDEX(Data!$K$2:$K$750,SMALL(Data!$S$2:$S$750,78)),"")</f>
        <v>Pending</v>
      </c>
      <c r="M184" s="48" t="s">
        <v>578</v>
      </c>
      <c r="N184" s="48">
        <f>SUMIFS(Data!D2:D750,Data!C2:C750,M184,Data!N2:N750,1)</f>
        <v>2</v>
      </c>
    </row>
    <row r="185" ht="15.75" customHeight="1">
      <c r="B185" s="53" t="str">
        <f t="array" ref="B185">IFERROR(INDEX(Data!$A$2:$A$750,SMALL(Data!$S$2:$S$750,79)),"")</f>
        <v>AUBE</v>
      </c>
      <c r="C185" s="53" t="str">
        <f t="array" ref="C185">IFERROR(IF(INDEX(Data!$B$2:$B$750,SMALL(Data!$S$2:$S$750,79))=0,"",INDEX(Data!$B$2:$B$750,SMALL(Data!$S$2:$S$750,79))),"")</f>
        <v>Metalcraft</v>
      </c>
      <c r="D185" s="53" t="str">
        <f t="array" ref="D185">IFERROR(INDEX(Data!$C$2:$C$750,SMALL(Data!$S$2:$S$750,79)),"")</f>
        <v>EU Universal tags- Printed</v>
      </c>
      <c r="E185" s="53">
        <f t="array" ref="E185">IFERROR(IF(INDEX(Data!$D$2:$D$750,SMALL(Data!$S$2:$S$750,79))=0,"",INDEX(Data!$D$2:$D$750,SMALL(Data!$S$2:$S$750,79))),"")</f>
        <v>6820</v>
      </c>
      <c r="F185" s="54">
        <f t="array" ref="F185">IFERROR(IF(INDEX(Data!$E$2:$E$750,SMALL(Data!$S$2:$S$750,79))=0,"",INDEX(Data!$E$2:$E$750,SMALL(Data!$S$2:$S$750,79))),"")</f>
        <v>5554</v>
      </c>
      <c r="G185" s="54">
        <f t="array" ref="G185">IFERROR(INDEX(Data!$F$2:$F$750,SMALL(Data!$S$2:$S$750,79)),"")</f>
        <v>37878280</v>
      </c>
      <c r="H185" s="55">
        <f t="array" ref="H185">IFERROR(IF(INDEX(Data!$G$2:$G$750,SMALL(Data!$S$2:$S$750,79))=0,"",INDEX(Data!$G$2:$G$750,SMALL(Data!$S$2:$S$750,79))),"")</f>
        <v>46222</v>
      </c>
      <c r="I185" s="53">
        <f t="array" ref="I185">IFERROR(IF(INDEX(Data!$H$2:$H$750,SMALL(Data!$S$2:$S$750,79))=0,"",INDEX(Data!$H$2:$H$750,SMALL(Data!$S$2:$S$750,79))),"")</f>
        <v>17</v>
      </c>
      <c r="J185" s="55">
        <f t="array" ref="J185">IFERROR(INDEX(Data!$I$2:$I$750,SMALL(Data!$S$2:$S$750,79)),"")</f>
        <v>46341</v>
      </c>
      <c r="K185" s="53" t="str">
        <f t="array" ref="K185">IFERROR(INDEX(Data!$J$2:$J$750,SMALL(Data!$S$2:$S$750,79)),"")</f>
        <v>Not Paid</v>
      </c>
      <c r="L185" s="53" t="str">
        <f t="array" ref="L185">IFERROR(INDEX(Data!$K$2:$K$750,SMALL(Data!$S$2:$S$750,79)),"")</f>
        <v>Completed</v>
      </c>
      <c r="M185" s="48" t="s">
        <v>579</v>
      </c>
      <c r="N185" s="48">
        <f>SUMIFS(Data!D2:D750,Data!C2:C750,M185,Data!N2:N750,1)</f>
        <v>5002</v>
      </c>
    </row>
    <row r="186" ht="15.75" customHeight="1">
      <c r="B186" s="56" t="str">
        <f t="array" ref="B186">IFERROR(INDEX(Data!$A$2:$A$750,SMALL(Data!$S$2:$S$750,80)),"")</f>
        <v>AUBE</v>
      </c>
      <c r="C186" s="56" t="str">
        <f t="array" ref="C186">IFERROR(IF(INDEX(Data!$B$2:$B$750,SMALL(Data!$S$2:$S$750,80))=0,"",INDEX(Data!$B$2:$B$750,SMALL(Data!$S$2:$S$750,80))),"")</f>
        <v>Metalcraft</v>
      </c>
      <c r="D186" s="56" t="str">
        <f t="array" ref="D186">IFERROR(INDEX(Data!$C$2:$C$750,SMALL(Data!$S$2:$S$750,80)),"")</f>
        <v>Destructive windshield tags- Printed</v>
      </c>
      <c r="E186" s="56">
        <f t="array" ref="E186">IFERROR(IF(INDEX(Data!$D$2:$D$750,SMALL(Data!$S$2:$S$750,80))=0,"",INDEX(Data!$D$2:$D$750,SMALL(Data!$S$2:$S$750,80))),"")</f>
        <v>110</v>
      </c>
      <c r="F186" s="57">
        <f t="array" ref="F186">IFERROR(IF(INDEX(Data!$E$2:$E$750,SMALL(Data!$S$2:$S$750,80))=0,"",INDEX(Data!$E$2:$E$750,SMALL(Data!$S$2:$S$750,80))),"")</f>
        <v>41</v>
      </c>
      <c r="G186" s="57">
        <f t="array" ref="G186">IFERROR(INDEX(Data!$F$2:$F$750,SMALL(Data!$S$2:$S$750,80)),"")</f>
        <v>4510</v>
      </c>
      <c r="H186" s="58">
        <f t="array" ref="H186">IFERROR(IF(INDEX(Data!$G$2:$G$750,SMALL(Data!$S$2:$S$750,80))=0,"",INDEX(Data!$G$2:$G$750,SMALL(Data!$S$2:$S$750,80))),"")</f>
        <v>46223</v>
      </c>
      <c r="I186" s="56">
        <f t="array" ref="I186">IFERROR(IF(INDEX(Data!$H$2:$H$750,SMALL(Data!$S$2:$S$750,80))=0,"",INDEX(Data!$H$2:$H$750,SMALL(Data!$S$2:$S$750,80))),"")</f>
        <v>20</v>
      </c>
      <c r="J186" s="58">
        <f t="array" ref="J186">IFERROR(INDEX(Data!$I$2:$I$750,SMALL(Data!$S$2:$S$750,80)),"")</f>
        <v>46363</v>
      </c>
      <c r="K186" s="56" t="str">
        <f t="array" ref="K186">IFERROR(INDEX(Data!$J$2:$J$750,SMALL(Data!$S$2:$S$750,80)),"")</f>
        <v>Not Paid</v>
      </c>
      <c r="L186" s="56" t="str">
        <f t="array" ref="L186">IFERROR(INDEX(Data!$K$2:$K$750,SMALL(Data!$S$2:$S$750,80)),"")</f>
        <v>Pending</v>
      </c>
      <c r="M186" s="48" t="s">
        <v>580</v>
      </c>
      <c r="N186" s="48">
        <f>SUMIFS(Data!D2:D750,Data!C2:C750,M186,Data!N2:N750,1)</f>
        <v>1</v>
      </c>
    </row>
    <row r="187" ht="15.75" customHeight="1">
      <c r="B187" s="53" t="str">
        <f t="array" ref="B187">IFERROR(INDEX(Data!$A$2:$A$750,SMALL(Data!$S$2:$S$750,81)),"")</f>
        <v>AUBE</v>
      </c>
      <c r="C187" s="53" t="str">
        <f t="array" ref="C187">IFERROR(IF(INDEX(Data!$B$2:$B$750,SMALL(Data!$S$2:$S$750,81))=0,"",INDEX(Data!$B$2:$B$750,SMALL(Data!$S$2:$S$750,81))),"")</f>
        <v>ATID</v>
      </c>
      <c r="D187" s="53" t="str">
        <f t="array" ref="D187">IFERROR(INDEX(Data!$C$2:$C$750,SMALL(Data!$S$2:$S$750,81)),"")</f>
        <v>AT907</v>
      </c>
      <c r="E187" s="53">
        <f t="array" ref="E187">IFERROR(IF(INDEX(Data!$D$2:$D$750,SMALL(Data!$S$2:$S$750,81))=0,"",INDEX(Data!$D$2:$D$750,SMALL(Data!$S$2:$S$750,81))),"")</f>
        <v>2</v>
      </c>
      <c r="F187" s="54">
        <f t="array" ref="F187">IFERROR(IF(INDEX(Data!$E$2:$E$750,SMALL(Data!$S$2:$S$750,81))=0,"",INDEX(Data!$E$2:$E$750,SMALL(Data!$S$2:$S$750,81))),"")</f>
        <v>231</v>
      </c>
      <c r="G187" s="54">
        <f t="array" ref="G187">IFERROR(INDEX(Data!$F$2:$F$750,SMALL(Data!$S$2:$S$750,81)),"")</f>
        <v>462</v>
      </c>
      <c r="H187" s="55">
        <f t="array" ref="H187">IFERROR(IF(INDEX(Data!$G$2:$G$750,SMALL(Data!$S$2:$S$750,81))=0,"",INDEX(Data!$G$2:$G$750,SMALL(Data!$S$2:$S$750,81))),"")</f>
        <v>46224</v>
      </c>
      <c r="I187" s="53">
        <f t="array" ref="I187">IFERROR(IF(INDEX(Data!$H$2:$H$750,SMALL(Data!$S$2:$S$750,81))=0,"",INDEX(Data!$H$2:$H$750,SMALL(Data!$S$2:$S$750,81))),"")</f>
        <v>20</v>
      </c>
      <c r="J187" s="55">
        <f t="array" ref="J187">IFERROR(INDEX(Data!$I$2:$I$750,SMALL(Data!$S$2:$S$750,81)),"")</f>
        <v>46364</v>
      </c>
      <c r="K187" s="53" t="str">
        <f t="array" ref="K187">IFERROR(INDEX(Data!$J$2:$J$750,SMALL(Data!$S$2:$S$750,81)),"")</f>
        <v>Not Paid</v>
      </c>
      <c r="L187" s="53" t="str">
        <f t="array" ref="L187">IFERROR(INDEX(Data!$K$2:$K$750,SMALL(Data!$S$2:$S$750,81)),"")</f>
        <v>In Progress</v>
      </c>
      <c r="M187" s="48" t="s">
        <v>581</v>
      </c>
      <c r="N187" s="48">
        <f>SUMIFS(Data!D2:D750,Data!C2:C750,M187,Data!N2:N750,1)</f>
        <v>26</v>
      </c>
    </row>
    <row r="188" ht="15.75" customHeight="1">
      <c r="B188" s="56" t="str">
        <f t="array" ref="B188">IFERROR(INDEX(Data!$A$2:$A$750,SMALL(Data!$S$2:$S$750,82)),"")</f>
        <v>Lavista</v>
      </c>
      <c r="C188" s="56" t="str">
        <f t="array" ref="C188">IFERROR(IF(INDEX(Data!$B$2:$B$750,SMALL(Data!$S$2:$S$750,82))=0,"",INDEX(Data!$B$2:$B$750,SMALL(Data!$S$2:$S$750,82))),"")</f>
        <v>Fusion</v>
      </c>
      <c r="D188" s="56" t="str">
        <f t="array" ref="D188">IFERROR(INDEX(Data!$C$2:$C$750,SMALL(Data!$S$2:$S$750,82)),"")</f>
        <v>Palm Vein F-Pro</v>
      </c>
      <c r="E188" s="56">
        <f t="array" ref="E188">IFERROR(IF(INDEX(Data!$D$2:$D$750,SMALL(Data!$S$2:$S$750,82))=0,"",INDEX(Data!$D$2:$D$750,SMALL(Data!$S$2:$S$750,82))),"")</f>
        <v>2</v>
      </c>
      <c r="F188" s="57">
        <f t="array" ref="F188">IFERROR(IF(INDEX(Data!$E$2:$E$750,SMALL(Data!$S$2:$S$750,82))=0,"",INDEX(Data!$E$2:$E$750,SMALL(Data!$S$2:$S$750,82))),"")</f>
        <v>25</v>
      </c>
      <c r="G188" s="57">
        <f t="array" ref="G188">IFERROR(INDEX(Data!$F$2:$F$750,SMALL(Data!$S$2:$S$750,82)),"")</f>
        <v>50</v>
      </c>
      <c r="H188" s="58">
        <f t="array" ref="H188">IFERROR(IF(INDEX(Data!$G$2:$G$750,SMALL(Data!$S$2:$S$750,82))=0,"",INDEX(Data!$G$2:$G$750,SMALL(Data!$S$2:$S$750,82))),"")</f>
        <v>46225</v>
      </c>
      <c r="I188" s="56">
        <f t="array" ref="I188">IFERROR(IF(INDEX(Data!$H$2:$H$750,SMALL(Data!$S$2:$S$750,82))=0,"",INDEX(Data!$H$2:$H$750,SMALL(Data!$S$2:$S$750,82))),"")</f>
        <v>23</v>
      </c>
      <c r="J188" s="58">
        <f t="array" ref="J188">IFERROR(INDEX(Data!$I$2:$I$750,SMALL(Data!$S$2:$S$750,82)),"")</f>
        <v>46386</v>
      </c>
      <c r="K188" s="56" t="str">
        <f t="array" ref="K188">IFERROR(INDEX(Data!$J$2:$J$750,SMALL(Data!$S$2:$S$750,82)),"")</f>
        <v>Not Paid</v>
      </c>
      <c r="L188" s="56" t="str">
        <f t="array" ref="L188">IFERROR(INDEX(Data!$K$2:$K$750,SMALL(Data!$S$2:$S$750,82)),"")</f>
        <v>Completed</v>
      </c>
      <c r="M188" s="48" t="s">
        <v>126</v>
      </c>
      <c r="N188" s="48">
        <f>SUMIFS(Data!D2:D750,Data!C2:C750,M188,Data!N2:N750,1)</f>
        <v>4</v>
      </c>
    </row>
    <row r="189" ht="15.75" customHeight="1">
      <c r="B189" s="53" t="str">
        <f t="array" ref="B189">IFERROR(INDEX(Data!$A$2:$A$750,SMALL(Data!$S$2:$S$750,83)),"")</f>
        <v>Lavista</v>
      </c>
      <c r="C189" s="53" t="str">
        <f t="array" ref="C189">IFERROR(IF(INDEX(Data!$B$2:$B$750,SMALL(Data!$S$2:$S$750,83))=0,"",INDEX(Data!$B$2:$B$750,SMALL(Data!$S$2:$S$750,83))),"")</f>
        <v>ATC</v>
      </c>
      <c r="D189" s="53" t="str">
        <f t="array" ref="D189">IFERROR(INDEX(Data!$C$2:$C$750,SMALL(Data!$S$2:$S$750,83)),"")</f>
        <v>Tripode Turnstile</v>
      </c>
      <c r="E189" s="53">
        <f t="array" ref="E189">IFERROR(IF(INDEX(Data!$D$2:$D$750,SMALL(Data!$S$2:$S$750,83))=0,"",INDEX(Data!$D$2:$D$750,SMALL(Data!$S$2:$S$750,83))),"")</f>
        <v>1</v>
      </c>
      <c r="F189" s="54">
        <f t="array" ref="F189">IFERROR(IF(INDEX(Data!$E$2:$E$750,SMALL(Data!$S$2:$S$750,83))=0,"",INDEX(Data!$E$2:$E$750,SMALL(Data!$S$2:$S$750,83))),"")</f>
        <v>245</v>
      </c>
      <c r="G189" s="54">
        <f t="array" ref="G189">IFERROR(INDEX(Data!$F$2:$F$750,SMALL(Data!$S$2:$S$750,83)),"")</f>
        <v>245</v>
      </c>
      <c r="H189" s="55">
        <f t="array" ref="H189">IFERROR(IF(INDEX(Data!$G$2:$G$750,SMALL(Data!$S$2:$S$750,83))=0,"",INDEX(Data!$G$2:$G$750,SMALL(Data!$S$2:$S$750,83))),"")</f>
        <v>46226</v>
      </c>
      <c r="I189" s="53">
        <f t="array" ref="I189">IFERROR(IF(INDEX(Data!$H$2:$H$750,SMALL(Data!$S$2:$S$750,83))=0,"",INDEX(Data!$H$2:$H$750,SMALL(Data!$S$2:$S$750,83))),"")</f>
        <v>24</v>
      </c>
      <c r="J189" s="55">
        <f t="array" ref="J189">IFERROR(INDEX(Data!$I$2:$I$750,SMALL(Data!$S$2:$S$750,83)),"")</f>
        <v>46394</v>
      </c>
      <c r="K189" s="53" t="str">
        <f t="array" ref="K189">IFERROR(INDEX(Data!$J$2:$J$750,SMALL(Data!$S$2:$S$750,83)),"")</f>
        <v>Not Paid</v>
      </c>
      <c r="L189" s="53" t="str">
        <f t="array" ref="L189">IFERROR(INDEX(Data!$K$2:$K$750,SMALL(Data!$S$2:$S$750,83)),"")</f>
        <v>Delayed</v>
      </c>
      <c r="M189" s="48" t="s">
        <v>160</v>
      </c>
      <c r="N189" s="48">
        <f>SUMIFS(Data!D2:D750,Data!C2:C750,M189,Data!N2:N750,1)</f>
        <v>15002</v>
      </c>
    </row>
    <row r="190" ht="15.75" customHeight="1">
      <c r="B190" s="56" t="str">
        <f t="array" ref="B190">IFERROR(INDEX(Data!$A$2:$A$750,SMALL(Data!$S$2:$S$750,84)),"")</f>
        <v>Select</v>
      </c>
      <c r="C190" s="56" t="str">
        <f t="array" ref="C190">IFERROR(IF(INDEX(Data!$B$2:$B$750,SMALL(Data!$S$2:$S$750,84))=0,"",INDEX(Data!$B$2:$B$750,SMALL(Data!$S$2:$S$750,84))),"")</f>
        <v>RICH RFID</v>
      </c>
      <c r="D190" s="56" t="str">
        <f t="array" ref="D190">IFERROR(INDEX(Data!$C$2:$C$750,SMALL(Data!$S$2:$S$750,84)),"")</f>
        <v>Jewelry tags</v>
      </c>
      <c r="E190" s="56">
        <f t="array" ref="E190">IFERROR(IF(INDEX(Data!$D$2:$D$750,SMALL(Data!$S$2:$S$750,84))=0,"",INDEX(Data!$D$2:$D$750,SMALL(Data!$S$2:$S$750,84))),"")</f>
        <v>5000</v>
      </c>
      <c r="F190" s="57">
        <f t="array" ref="F190">IFERROR(IF(INDEX(Data!$E$2:$E$750,SMALL(Data!$S$2:$S$750,84))=0,"",INDEX(Data!$E$2:$E$750,SMALL(Data!$S$2:$S$750,84))),"")</f>
        <v>2555</v>
      </c>
      <c r="G190" s="57">
        <f t="array" ref="G190">IFERROR(INDEX(Data!$F$2:$F$750,SMALL(Data!$S$2:$S$750,84)),"")</f>
        <v>12775000</v>
      </c>
      <c r="H190" s="58">
        <f t="array" ref="H190">IFERROR(IF(INDEX(Data!$G$2:$G$750,SMALL(Data!$S$2:$S$750,84))=0,"",INDEX(Data!$G$2:$G$750,SMALL(Data!$S$2:$S$750,84))),"")</f>
        <v>46227</v>
      </c>
      <c r="I190" s="56">
        <f t="array" ref="I190">IFERROR(IF(INDEX(Data!$H$2:$H$750,SMALL(Data!$S$2:$S$750,84))=0,"",INDEX(Data!$H$2:$H$750,SMALL(Data!$S$2:$S$750,84))),"")</f>
        <v>23</v>
      </c>
      <c r="J190" s="58">
        <f t="array" ref="J190">IFERROR(INDEX(Data!$I$2:$I$750,SMALL(Data!$S$2:$S$750,84)),"")</f>
        <v>46388</v>
      </c>
      <c r="K190" s="56" t="str">
        <f t="array" ref="K190">IFERROR(INDEX(Data!$J$2:$J$750,SMALL(Data!$S$2:$S$750,84)),"")</f>
        <v>Not Paid</v>
      </c>
      <c r="L190" s="56" t="str">
        <f t="array" ref="L190">IFERROR(INDEX(Data!$K$2:$K$750,SMALL(Data!$S$2:$S$750,84)),"")</f>
        <v>Pending</v>
      </c>
      <c r="M190" s="48" t="s">
        <v>584</v>
      </c>
      <c r="N190" s="48">
        <f>SUMIFS(Data!D2:D750,Data!C2:C750,M190,Data!N2:N750,1)</f>
        <v>3</v>
      </c>
    </row>
    <row r="191" ht="15.75" customHeight="1">
      <c r="B191" s="53" t="str">
        <f t="array" ref="B191">IFERROR(INDEX(Data!$A$2:$A$750,SMALL(Data!$S$2:$S$750,85)),"")</f>
        <v>Select</v>
      </c>
      <c r="C191" s="53" t="str">
        <f t="array" ref="C191">IFERROR(IF(INDEX(Data!$B$2:$B$750,SMALL(Data!$S$2:$S$750,85))=0,"",INDEX(Data!$B$2:$B$750,SMALL(Data!$S$2:$S$750,85))),"")</f>
        <v>SATO</v>
      </c>
      <c r="D191" s="53" t="str">
        <f t="array" ref="D191">IFERROR(INDEX(Data!$C$2:$C$750,SMALL(Data!$S$2:$S$750,85)),"")</f>
        <v>CT4LX Printer with feeder</v>
      </c>
      <c r="E191" s="53">
        <f t="array" ref="E191">IFERROR(IF(INDEX(Data!$D$2:$D$750,SMALL(Data!$S$2:$S$750,85))=0,"",INDEX(Data!$D$2:$D$750,SMALL(Data!$S$2:$S$750,85))),"")</f>
        <v>1</v>
      </c>
      <c r="F191" s="54">
        <f t="array" ref="F191">IFERROR(IF(INDEX(Data!$E$2:$E$750,SMALL(Data!$S$2:$S$750,85))=0,"",INDEX(Data!$E$2:$E$750,SMALL(Data!$S$2:$S$750,85))),"")</f>
        <v>255</v>
      </c>
      <c r="G191" s="54">
        <f t="array" ref="G191">IFERROR(INDEX(Data!$F$2:$F$750,SMALL(Data!$S$2:$S$750,85)),"")</f>
        <v>255</v>
      </c>
      <c r="H191" s="55">
        <f t="array" ref="H191">IFERROR(IF(INDEX(Data!$G$2:$G$750,SMALL(Data!$S$2:$S$750,85))=0,"",INDEX(Data!$G$2:$G$750,SMALL(Data!$S$2:$S$750,85))),"")</f>
        <v>46228</v>
      </c>
      <c r="I191" s="53">
        <f t="array" ref="I191">IFERROR(IF(INDEX(Data!$H$2:$H$750,SMALL(Data!$S$2:$S$750,85))=0,"",INDEX(Data!$H$2:$H$750,SMALL(Data!$S$2:$S$750,85))),"")</f>
        <v>21</v>
      </c>
      <c r="J191" s="55">
        <f t="array" ref="J191">IFERROR(INDEX(Data!$I$2:$I$750,SMALL(Data!$S$2:$S$750,85)),"")</f>
        <v>46375</v>
      </c>
      <c r="K191" s="53" t="str">
        <f t="array" ref="K191">IFERROR(INDEX(Data!$J$2:$J$750,SMALL(Data!$S$2:$S$750,85)),"")</f>
        <v>Not Paid</v>
      </c>
      <c r="L191" s="53" t="str">
        <f t="array" ref="L191">IFERROR(INDEX(Data!$K$2:$K$750,SMALL(Data!$S$2:$S$750,85)),"")</f>
        <v>Pending</v>
      </c>
      <c r="M191" s="48" t="s">
        <v>585</v>
      </c>
      <c r="N191" s="48">
        <f>SUMIFS(Data!D2:D750,Data!C2:C750,M191,Data!N2:N750,1)</f>
        <v>4</v>
      </c>
    </row>
    <row r="192" ht="15.75" customHeight="1">
      <c r="B192" s="56" t="str">
        <f t="array" ref="B192">IFERROR(INDEX(Data!$A$2:$A$750,SMALL(Data!$S$2:$S$750,86)),"")</f>
        <v>Select</v>
      </c>
      <c r="C192" s="56" t="str">
        <f t="array" ref="C192">IFERROR(IF(INDEX(Data!$B$2:$B$750,SMALL(Data!$S$2:$S$750,86))=0,"",INDEX(Data!$B$2:$B$750,SMALL(Data!$S$2:$S$750,86))),"")</f>
        <v>SATO</v>
      </c>
      <c r="D192" s="56" t="str">
        <f t="array" ref="D192">IFERROR(INDEX(Data!$C$2:$C$750,SMALL(Data!$S$2:$S$750,86)),"")</f>
        <v>Ribbons</v>
      </c>
      <c r="E192" s="56">
        <f t="array" ref="E192">IFERROR(IF(INDEX(Data!$D$2:$D$750,SMALL(Data!$S$2:$S$750,86))=0,"",INDEX(Data!$D$2:$D$750,SMALL(Data!$S$2:$S$750,86))),"")</f>
        <v>2</v>
      </c>
      <c r="F192" s="57">
        <f t="array" ref="F192">IFERROR(IF(INDEX(Data!$E$2:$E$750,SMALL(Data!$S$2:$S$750,86))=0,"",INDEX(Data!$E$2:$E$750,SMALL(Data!$S$2:$S$750,86))),"")</f>
        <v>45</v>
      </c>
      <c r="G192" s="57">
        <f t="array" ref="G192">IFERROR(INDEX(Data!$F$2:$F$750,SMALL(Data!$S$2:$S$750,86)),"")</f>
        <v>90</v>
      </c>
      <c r="H192" s="58">
        <f t="array" ref="H192">IFERROR(IF(INDEX(Data!$G$2:$G$750,SMALL(Data!$S$2:$S$750,86))=0,"",INDEX(Data!$G$2:$G$750,SMALL(Data!$S$2:$S$750,86))),"")</f>
        <v>46229</v>
      </c>
      <c r="I192" s="56">
        <f t="array" ref="I192">IFERROR(IF(INDEX(Data!$H$2:$H$750,SMALL(Data!$S$2:$S$750,86))=0,"",INDEX(Data!$H$2:$H$750,SMALL(Data!$S$2:$S$750,86))),"")</f>
        <v>24</v>
      </c>
      <c r="J192" s="58">
        <f t="array" ref="J192">IFERROR(INDEX(Data!$I$2:$I$750,SMALL(Data!$S$2:$S$750,86)),"")</f>
        <v>46397</v>
      </c>
      <c r="K192" s="56" t="str">
        <f t="array" ref="K192">IFERROR(INDEX(Data!$J$2:$J$750,SMALL(Data!$S$2:$S$750,86)),"")</f>
        <v>Not Paid</v>
      </c>
      <c r="L192" s="56" t="str">
        <f t="array" ref="L192">IFERROR(INDEX(Data!$K$2:$K$750,SMALL(Data!$S$2:$S$750,86)),"")</f>
        <v>Pending</v>
      </c>
      <c r="M192" s="48" t="s">
        <v>587</v>
      </c>
      <c r="N192" s="48">
        <f>SUMIFS(Data!D2:D750,Data!C2:C750,M192,Data!N2:N750,1)</f>
        <v>1</v>
      </c>
    </row>
    <row r="193" ht="15.75" customHeight="1">
      <c r="B193" s="53" t="str">
        <f t="array" ref="B193">IFERROR(INDEX(Data!$A$2:$A$750,SMALL(Data!$S$2:$S$750,87)),"")</f>
        <v>Select</v>
      </c>
      <c r="C193" s="53" t="str">
        <f t="array" ref="C193">IFERROR(IF(INDEX(Data!$B$2:$B$750,SMALL(Data!$S$2:$S$750,87))=0,"",INDEX(Data!$B$2:$B$750,SMALL(Data!$S$2:$S$750,87))),"")</f>
        <v>ATID</v>
      </c>
      <c r="D193" s="53" t="str">
        <f t="array" ref="D193">IFERROR(INDEX(Data!$C$2:$C$750,SMALL(Data!$S$2:$S$750,87)),"")</f>
        <v>AT907</v>
      </c>
      <c r="E193" s="53">
        <f t="array" ref="E193">IFERROR(IF(INDEX(Data!$D$2:$D$750,SMALL(Data!$S$2:$S$750,87))=0,"",INDEX(Data!$D$2:$D$750,SMALL(Data!$S$2:$S$750,87))),"")</f>
        <v>1</v>
      </c>
      <c r="F193" s="54">
        <f t="array" ref="F193">IFERROR(IF(INDEX(Data!$E$2:$E$750,SMALL(Data!$S$2:$S$750,87))=0,"",INDEX(Data!$E$2:$E$750,SMALL(Data!$S$2:$S$750,87))),"")</f>
        <v>36</v>
      </c>
      <c r="G193" s="54">
        <f t="array" ref="G193">IFERROR(INDEX(Data!$F$2:$F$750,SMALL(Data!$S$2:$S$750,87)),"")</f>
        <v>36</v>
      </c>
      <c r="H193" s="55">
        <f t="array" ref="H193">IFERROR(IF(INDEX(Data!$G$2:$G$750,SMALL(Data!$S$2:$S$750,87))=0,"",INDEX(Data!$G$2:$G$750,SMALL(Data!$S$2:$S$750,87))),"")</f>
        <v>46230</v>
      </c>
      <c r="I193" s="53">
        <f t="array" ref="I193">IFERROR(IF(INDEX(Data!$H$2:$H$750,SMALL(Data!$S$2:$S$750,87))=0,"",INDEX(Data!$H$2:$H$750,SMALL(Data!$S$2:$S$750,87))),"")</f>
        <v>22</v>
      </c>
      <c r="J193" s="55">
        <f t="array" ref="J193">IFERROR(INDEX(Data!$I$2:$I$750,SMALL(Data!$S$2:$S$750,87)),"")</f>
        <v>46384</v>
      </c>
      <c r="K193" s="53" t="str">
        <f t="array" ref="K193">IFERROR(INDEX(Data!$J$2:$J$750,SMALL(Data!$S$2:$S$750,87)),"")</f>
        <v>Not Paid</v>
      </c>
      <c r="L193" s="53" t="str">
        <f t="array" ref="L193">IFERROR(INDEX(Data!$K$2:$K$750,SMALL(Data!$S$2:$S$750,87)),"")</f>
        <v>Pending</v>
      </c>
      <c r="M193" s="48" t="s">
        <v>588</v>
      </c>
      <c r="N193" s="48">
        <f>SUMIFS(Data!D2:D750,Data!C2:C750,M193,Data!N2:N750,1)</f>
        <v>31500</v>
      </c>
    </row>
    <row r="194" ht="15.75" customHeight="1">
      <c r="B194" s="56" t="str">
        <f t="array" ref="B194">IFERROR(INDEX(Data!$A$2:$A$750,SMALL(Data!$S$2:$S$750,88)),"")</f>
        <v>LoutesTex</v>
      </c>
      <c r="C194" s="56" t="str">
        <f t="array" ref="C194">IFERROR(IF(INDEX(Data!$B$2:$B$750,SMALL(Data!$S$2:$S$750,88))=0,"",INDEX(Data!$B$2:$B$750,SMALL(Data!$S$2:$S$750,88))),"")</f>
        <v>SATO</v>
      </c>
      <c r="D194" s="56" t="str">
        <f t="array" ref="D194">IFERROR(INDEX(Data!$C$2:$C$750,SMALL(Data!$S$2:$S$750,88)),"")</f>
        <v>Head Sub for Cl4NX Plus</v>
      </c>
      <c r="E194" s="56">
        <f t="array" ref="E194">IFERROR(IF(INDEX(Data!$D$2:$D$750,SMALL(Data!$S$2:$S$750,88))=0,"",INDEX(Data!$D$2:$D$750,SMALL(Data!$S$2:$S$750,88))),"")</f>
        <v>2</v>
      </c>
      <c r="F194" s="57">
        <f t="array" ref="F194">IFERROR(IF(INDEX(Data!$E$2:$E$750,SMALL(Data!$S$2:$S$750,88))=0,"",INDEX(Data!$E$2:$E$750,SMALL(Data!$S$2:$S$750,88))),"")</f>
        <v>96</v>
      </c>
      <c r="G194" s="57">
        <f t="array" ref="G194">IFERROR(INDEX(Data!$F$2:$F$750,SMALL(Data!$S$2:$S$750,88)),"")</f>
        <v>192</v>
      </c>
      <c r="H194" s="58">
        <f t="array" ref="H194">IFERROR(IF(INDEX(Data!$G$2:$G$750,SMALL(Data!$S$2:$S$750,88))=0,"",INDEX(Data!$G$2:$G$750,SMALL(Data!$S$2:$S$750,88))),"")</f>
        <v>46231</v>
      </c>
      <c r="I194" s="56">
        <f t="array" ref="I194">IFERROR(IF(INDEX(Data!$H$2:$H$750,SMALL(Data!$S$2:$S$750,88))=0,"",INDEX(Data!$H$2:$H$750,SMALL(Data!$S$2:$S$750,88))),"")</f>
        <v>23</v>
      </c>
      <c r="J194" s="58">
        <f t="array" ref="J194">IFERROR(INDEX(Data!$I$2:$I$750,SMALL(Data!$S$2:$S$750,88)),"")</f>
        <v>46392</v>
      </c>
      <c r="K194" s="56" t="str">
        <f t="array" ref="K194">IFERROR(INDEX(Data!$J$2:$J$750,SMALL(Data!$S$2:$S$750,88)),"")</f>
        <v>Not Paid</v>
      </c>
      <c r="L194" s="56" t="str">
        <f t="array" ref="L194">IFERROR(INDEX(Data!$K$2:$K$750,SMALL(Data!$S$2:$S$750,88)),"")</f>
        <v>Pending</v>
      </c>
      <c r="M194" s="48" t="s">
        <v>589</v>
      </c>
      <c r="N194" s="48">
        <f>SUMIFS(Data!D2:D750,Data!C2:C750,M194,Data!N2:N750,1)</f>
        <v>20000</v>
      </c>
    </row>
    <row r="195" ht="15.75" customHeight="1">
      <c r="B195" s="53" t="str">
        <f t="array" ref="B195">IFERROR(INDEX(Data!$A$2:$A$750,SMALL(Data!$S$2:$S$750,89)),"")</f>
        <v>LoutesTex</v>
      </c>
      <c r="C195" s="53" t="str">
        <f t="array" ref="C195">IFERROR(IF(INDEX(Data!$B$2:$B$750,SMALL(Data!$S$2:$S$750,89))=0,"",INDEX(Data!$B$2:$B$750,SMALL(Data!$S$2:$S$750,89))),"")</f>
        <v>SATO</v>
      </c>
      <c r="D195" s="53" t="str">
        <f t="array" ref="D195">IFERROR(INDEX(Data!$C$2:$C$750,SMALL(Data!$S$2:$S$750,89)),"")</f>
        <v>Platen for Cl4NX Plus</v>
      </c>
      <c r="E195" s="53">
        <f t="array" ref="E195">IFERROR(IF(INDEX(Data!$D$2:$D$750,SMALL(Data!$S$2:$S$750,89))=0,"",INDEX(Data!$D$2:$D$750,SMALL(Data!$S$2:$S$750,89))),"")</f>
        <v>2</v>
      </c>
      <c r="F195" s="54">
        <f t="array" ref="F195">IFERROR(IF(INDEX(Data!$E$2:$E$750,SMALL(Data!$S$2:$S$750,89))=0,"",INDEX(Data!$E$2:$E$750,SMALL(Data!$S$2:$S$750,89))),"")</f>
        <v>8</v>
      </c>
      <c r="G195" s="54">
        <f t="array" ref="G195">IFERROR(INDEX(Data!$F$2:$F$750,SMALL(Data!$S$2:$S$750,89)),"")</f>
        <v>16</v>
      </c>
      <c r="H195" s="55">
        <f t="array" ref="H195">IFERROR(IF(INDEX(Data!$G$2:$G$750,SMALL(Data!$S$2:$S$750,89))=0,"",INDEX(Data!$G$2:$G$750,SMALL(Data!$S$2:$S$750,89))),"")</f>
        <v>46232</v>
      </c>
      <c r="I195" s="53">
        <f t="array" ref="I195">IFERROR(IF(INDEX(Data!$H$2:$H$750,SMALL(Data!$S$2:$S$750,89))=0,"",INDEX(Data!$H$2:$H$750,SMALL(Data!$S$2:$S$750,89))),"")</f>
        <v>21</v>
      </c>
      <c r="J195" s="55">
        <f t="array" ref="J195">IFERROR(INDEX(Data!$I$2:$I$750,SMALL(Data!$S$2:$S$750,89)),"")</f>
        <v>46379</v>
      </c>
      <c r="K195" s="53" t="str">
        <f t="array" ref="K195">IFERROR(INDEX(Data!$J$2:$J$750,SMALL(Data!$S$2:$S$750,89)),"")</f>
        <v>Not Paid</v>
      </c>
      <c r="L195" s="53" t="str">
        <f t="array" ref="L195">IFERROR(INDEX(Data!$K$2:$K$750,SMALL(Data!$S$2:$S$750,89)),"")</f>
        <v>Completed</v>
      </c>
      <c r="M195" s="48" t="s">
        <v>591</v>
      </c>
      <c r="N195" s="48">
        <f>SUMIFS(Data!D2:D750,Data!C2:C750,M195,Data!N2:N750,1)</f>
        <v>12</v>
      </c>
    </row>
    <row r="196" ht="15.75" customHeight="1">
      <c r="B196" s="56" t="str">
        <f t="array" ref="B196">IFERROR(INDEX(Data!$A$2:$A$750,SMALL(Data!$S$2:$S$750,90)),"")</f>
        <v>El Nakheel</v>
      </c>
      <c r="C196" s="56" t="str">
        <f t="array" ref="C196">IFERROR(IF(INDEX(Data!$B$2:$B$750,SMALL(Data!$S$2:$S$750,90))=0,"",INDEX(Data!$B$2:$B$750,SMALL(Data!$S$2:$S$750,90))),"")</f>
        <v/>
      </c>
      <c r="D196" s="56" t="str">
        <f t="array" ref="D196">IFERROR(INDEX(Data!$C$2:$C$750,SMALL(Data!$S$2:$S$750,90)),"")</f>
        <v>GDS410</v>
      </c>
      <c r="E196" s="56">
        <f t="array" ref="E196">IFERROR(IF(INDEX(Data!$D$2:$D$750,SMALL(Data!$S$2:$S$750,90))=0,"",INDEX(Data!$D$2:$D$750,SMALL(Data!$S$2:$S$750,90))),"")</f>
        <v>2</v>
      </c>
      <c r="F196" s="57">
        <f t="array" ref="F196">IFERROR(IF(INDEX(Data!$E$2:$E$750,SMALL(Data!$S$2:$S$750,90))=0,"",INDEX(Data!$E$2:$E$750,SMALL(Data!$S$2:$S$750,90))),"")</f>
        <v>5</v>
      </c>
      <c r="G196" s="57">
        <f t="array" ref="G196">IFERROR(INDEX(Data!$F$2:$F$750,SMALL(Data!$S$2:$S$750,90)),"")</f>
        <v>10</v>
      </c>
      <c r="H196" s="58">
        <f t="array" ref="H196">IFERROR(IF(INDEX(Data!$G$2:$G$750,SMALL(Data!$S$2:$S$750,90))=0,"",INDEX(Data!$G$2:$G$750,SMALL(Data!$S$2:$S$750,90))),"")</f>
        <v>46233</v>
      </c>
      <c r="I196" s="56">
        <f t="array" ref="I196">IFERROR(IF(INDEX(Data!$H$2:$H$750,SMALL(Data!$S$2:$S$750,90))=0,"",INDEX(Data!$H$2:$H$750,SMALL(Data!$S$2:$S$750,90))),"")</f>
        <v>24</v>
      </c>
      <c r="J196" s="58">
        <f t="array" ref="J196">IFERROR(INDEX(Data!$I$2:$I$750,SMALL(Data!$S$2:$S$750,90)),"")</f>
        <v>46401</v>
      </c>
      <c r="K196" s="56" t="str">
        <f t="array" ref="K196">IFERROR(INDEX(Data!$J$2:$J$750,SMALL(Data!$S$2:$S$750,90)),"")</f>
        <v>Not Paid</v>
      </c>
      <c r="L196" s="56" t="str">
        <f t="array" ref="L196">IFERROR(INDEX(Data!$K$2:$K$750,SMALL(Data!$S$2:$S$750,90)),"")</f>
        <v>Pending</v>
      </c>
      <c r="M196" s="48" t="s">
        <v>575</v>
      </c>
      <c r="N196" s="48">
        <f>SUMIFS(Data!D2:D750,Data!C2:C750,M196,Data!N2:N750,1)</f>
        <v>0</v>
      </c>
    </row>
    <row r="197" ht="15.75" customHeight="1">
      <c r="B197" s="53" t="str">
        <f t="array" ref="B197">IFERROR(INDEX(Data!$A$2:$A$750,SMALL(Data!$S$2:$S$750,91)),"")</f>
        <v>El Nakheel</v>
      </c>
      <c r="C197" s="53" t="str">
        <f t="array" ref="C197">IFERROR(IF(INDEX(Data!$B$2:$B$750,SMALL(Data!$S$2:$S$750,91))=0,"",INDEX(Data!$B$2:$B$750,SMALL(Data!$S$2:$S$750,91))),"")</f>
        <v>Local</v>
      </c>
      <c r="D197" s="53" t="str">
        <f t="array" ref="D197">IFERROR(INDEX(Data!$C$2:$C$750,SMALL(Data!$S$2:$S$750,91)),"")</f>
        <v>QR Stands</v>
      </c>
      <c r="E197" s="53">
        <f t="array" ref="E197">IFERROR(IF(INDEX(Data!$D$2:$D$750,SMALL(Data!$S$2:$S$750,91))=0,"",INDEX(Data!$D$2:$D$750,SMALL(Data!$S$2:$S$750,91))),"")</f>
        <v>2</v>
      </c>
      <c r="F197" s="54">
        <f t="array" ref="F197">IFERROR(IF(INDEX(Data!$E$2:$E$750,SMALL(Data!$S$2:$S$750,91))=0,"",INDEX(Data!$E$2:$E$750,SMALL(Data!$S$2:$S$750,91))),"")</f>
        <v>4</v>
      </c>
      <c r="G197" s="54">
        <f t="array" ref="G197">IFERROR(INDEX(Data!$F$2:$F$750,SMALL(Data!$S$2:$S$750,91)),"")</f>
        <v>8</v>
      </c>
      <c r="H197" s="55">
        <f t="array" ref="H197">IFERROR(IF(INDEX(Data!$G$2:$G$750,SMALL(Data!$S$2:$S$750,91))=0,"",INDEX(Data!$G$2:$G$750,SMALL(Data!$S$2:$S$750,91))),"")</f>
        <v>46234</v>
      </c>
      <c r="I197" s="53">
        <f t="array" ref="I197">IFERROR(IF(INDEX(Data!$H$2:$H$750,SMALL(Data!$S$2:$S$750,91))=0,"",INDEX(Data!$H$2:$H$750,SMALL(Data!$S$2:$S$750,91))),"")</f>
        <v>20</v>
      </c>
      <c r="J197" s="55">
        <f t="array" ref="J197">IFERROR(INDEX(Data!$I$2:$I$750,SMALL(Data!$S$2:$S$750,91)),"")</f>
        <v>46374</v>
      </c>
      <c r="K197" s="53" t="str">
        <f t="array" ref="K197">IFERROR(INDEX(Data!$J$2:$J$750,SMALL(Data!$S$2:$S$750,91)),"")</f>
        <v>Not Paid</v>
      </c>
      <c r="L197" s="53" t="str">
        <f t="array" ref="L197">IFERROR(INDEX(Data!$K$2:$K$750,SMALL(Data!$S$2:$S$750,91)),"")</f>
        <v>In Progress</v>
      </c>
      <c r="M197" s="48" t="s">
        <v>551</v>
      </c>
      <c r="N197" s="48">
        <f>SUMIFS(Data!D2:D750,Data!C2:C750,M197,Data!N2:N750,1)</f>
        <v>3</v>
      </c>
    </row>
    <row r="198" ht="15.75" customHeight="1">
      <c r="B198" s="56" t="str">
        <f t="array" ref="B198">IFERROR(INDEX(Data!$A$2:$A$750,SMALL(Data!$S$2:$S$750,92)),"")</f>
        <v>Stone Park</v>
      </c>
      <c r="C198" s="56" t="str">
        <f t="array" ref="C198">IFERROR(IF(INDEX(Data!$B$2:$B$750,SMALL(Data!$S$2:$S$750,92))=0,"",INDEX(Data!$B$2:$B$750,SMALL(Data!$S$2:$S$750,92))),"")</f>
        <v>Metalcraft</v>
      </c>
      <c r="D198" s="56" t="str">
        <f t="array" ref="D198">IFERROR(INDEX(Data!$C$2:$C$750,SMALL(Data!$S$2:$S$750,92)),"")</f>
        <v>Dest windshield tags</v>
      </c>
      <c r="E198" s="56">
        <f t="array" ref="E198">IFERROR(IF(INDEX(Data!$D$2:$D$750,SMALL(Data!$S$2:$S$750,92))=0,"",INDEX(Data!$D$2:$D$750,SMALL(Data!$S$2:$S$750,92))),"")</f>
        <v>3000</v>
      </c>
      <c r="F198" s="57">
        <f t="array" ref="F198">IFERROR(IF(INDEX(Data!$E$2:$E$750,SMALL(Data!$S$2:$S$750,92))=0,"",INDEX(Data!$E$2:$E$750,SMALL(Data!$S$2:$S$750,92))),"")</f>
        <v>2</v>
      </c>
      <c r="G198" s="57">
        <f t="array" ref="G198">IFERROR(INDEX(Data!$F$2:$F$750,SMALL(Data!$S$2:$S$750,92)),"")</f>
        <v>6000</v>
      </c>
      <c r="H198" s="58">
        <f t="array" ref="H198">IFERROR(IF(INDEX(Data!$G$2:$G$750,SMALL(Data!$S$2:$S$750,92))=0,"",INDEX(Data!$G$2:$G$750,SMALL(Data!$S$2:$S$750,92))),"")</f>
        <v>46235</v>
      </c>
      <c r="I198" s="56">
        <f t="array" ref="I198">IFERROR(IF(INDEX(Data!$H$2:$H$750,SMALL(Data!$S$2:$S$750,92))=0,"",INDEX(Data!$H$2:$H$750,SMALL(Data!$S$2:$S$750,92))),"")</f>
        <v>16</v>
      </c>
      <c r="J198" s="58">
        <f t="array" ref="J198">IFERROR(INDEX(Data!$I$2:$I$750,SMALL(Data!$S$2:$S$750,92)),"")</f>
        <v>46347</v>
      </c>
      <c r="K198" s="56" t="str">
        <f t="array" ref="K198">IFERROR(INDEX(Data!$J$2:$J$750,SMALL(Data!$S$2:$S$750,92)),"")</f>
        <v>Not Paid</v>
      </c>
      <c r="L198" s="56" t="str">
        <f t="array" ref="L198">IFERROR(INDEX(Data!$K$2:$K$750,SMALL(Data!$S$2:$S$750,92)),"")</f>
        <v>Completed</v>
      </c>
      <c r="M198" s="48" t="s">
        <v>595</v>
      </c>
      <c r="N198" s="48">
        <f>SUMIFS(Data!D2:D750,Data!C2:C750,M198,Data!N2:N750,1)</f>
        <v>1</v>
      </c>
    </row>
    <row r="199" ht="15.75" customHeight="1">
      <c r="B199" s="53" t="str">
        <f t="array" ref="B199">IFERROR(INDEX(Data!$A$2:$A$750,SMALL(Data!$S$2:$S$750,93)),"")</f>
        <v>TMG</v>
      </c>
      <c r="C199" s="53" t="str">
        <f t="array" ref="C199">IFERROR(IF(INDEX(Data!$B$2:$B$750,SMALL(Data!$S$2:$S$750,93))=0,"",INDEX(Data!$B$2:$B$750,SMALL(Data!$S$2:$S$750,93))),"")</f>
        <v>Metalcraft</v>
      </c>
      <c r="D199" s="53" t="str">
        <f t="array" ref="D199">IFERROR(INDEX(Data!$C$2:$C$750,SMALL(Data!$S$2:$S$750,93)),"")</f>
        <v>Dest windshield tags</v>
      </c>
      <c r="E199" s="53">
        <f t="array" ref="E199">IFERROR(IF(INDEX(Data!$D$2:$D$750,SMALL(Data!$S$2:$S$750,93))=0,"",INDEX(Data!$D$2:$D$750,SMALL(Data!$S$2:$S$750,93))),"")</f>
        <v>25000</v>
      </c>
      <c r="F199" s="54">
        <f t="array" ref="F199">IFERROR(IF(INDEX(Data!$E$2:$E$750,SMALL(Data!$S$2:$S$750,93))=0,"",INDEX(Data!$E$2:$E$750,SMALL(Data!$S$2:$S$750,93))),"")</f>
        <v>36</v>
      </c>
      <c r="G199" s="54">
        <f t="array" ref="G199">IFERROR(INDEX(Data!$F$2:$F$750,SMALL(Data!$S$2:$S$750,93)),"")</f>
        <v>900000</v>
      </c>
      <c r="H199" s="55">
        <f t="array" ref="H199">IFERROR(IF(INDEX(Data!$G$2:$G$750,SMALL(Data!$S$2:$S$750,93))=0,"",INDEX(Data!$G$2:$G$750,SMALL(Data!$S$2:$S$750,93))),"")</f>
        <v>46236</v>
      </c>
      <c r="I199" s="53">
        <f t="array" ref="I199">IFERROR(IF(INDEX(Data!$H$2:$H$750,SMALL(Data!$S$2:$S$750,93))=0,"",INDEX(Data!$H$2:$H$750,SMALL(Data!$S$2:$S$750,93))),"")</f>
        <v>16</v>
      </c>
      <c r="J199" s="55">
        <f t="array" ref="J199">IFERROR(INDEX(Data!$I$2:$I$750,SMALL(Data!$S$2:$S$750,93)),"")</f>
        <v>46348</v>
      </c>
      <c r="K199" s="53" t="str">
        <f t="array" ref="K199">IFERROR(INDEX(Data!$J$2:$J$750,SMALL(Data!$S$2:$S$750,93)),"")</f>
        <v>Not Paid</v>
      </c>
      <c r="L199" s="53" t="str">
        <f t="array" ref="L199">IFERROR(INDEX(Data!$K$2:$K$750,SMALL(Data!$S$2:$S$750,93)),"")</f>
        <v>Delayed</v>
      </c>
      <c r="M199" s="48" t="s">
        <v>148</v>
      </c>
      <c r="N199" s="48">
        <f>SUMIFS(Data!D2:D750,Data!C2:C750,M199,Data!N2:N750,1)</f>
        <v>11</v>
      </c>
    </row>
    <row r="200" ht="15.75" customHeight="1">
      <c r="B200" s="56" t="str">
        <f t="array" ref="B200">IFERROR(INDEX(Data!$A$2:$A$750,SMALL(Data!$S$2:$S$750,94)),"")</f>
        <v>El-Marwa</v>
      </c>
      <c r="C200" s="56" t="str">
        <f t="array" ref="C200">IFERROR(IF(INDEX(Data!$B$2:$B$750,SMALL(Data!$S$2:$S$750,94))=0,"",INDEX(Data!$B$2:$B$750,SMALL(Data!$S$2:$S$750,94))),"")</f>
        <v>RIB</v>
      </c>
      <c r="D200" s="56" t="str">
        <f t="array" ref="D200">IFERROR(INDEX(Data!$C$2:$C$750,SMALL(Data!$S$2:$S$750,94)),"")</f>
        <v>Rapid N-5m</v>
      </c>
      <c r="E200" s="56">
        <f t="array" ref="E200">IFERROR(IF(INDEX(Data!$D$2:$D$750,SMALL(Data!$S$2:$S$750,94))=0,"",INDEX(Data!$D$2:$D$750,SMALL(Data!$S$2:$S$750,94))),"")</f>
        <v>2</v>
      </c>
      <c r="F200" s="57">
        <f t="array" ref="F200">IFERROR(IF(INDEX(Data!$E$2:$E$750,SMALL(Data!$S$2:$S$750,94))=0,"",INDEX(Data!$E$2:$E$750,SMALL(Data!$S$2:$S$750,94))),"")</f>
        <v>2</v>
      </c>
      <c r="G200" s="57">
        <f t="array" ref="G200">IFERROR(INDEX(Data!$F$2:$F$750,SMALL(Data!$S$2:$S$750,94)),"")</f>
        <v>4</v>
      </c>
      <c r="H200" s="58">
        <f t="array" ref="H200">IFERROR(IF(INDEX(Data!$G$2:$G$750,SMALL(Data!$S$2:$S$750,94))=0,"",INDEX(Data!$G$2:$G$750,SMALL(Data!$S$2:$S$750,94))),"")</f>
        <v>46237</v>
      </c>
      <c r="I200" s="56">
        <f t="array" ref="I200">IFERROR(IF(INDEX(Data!$H$2:$H$750,SMALL(Data!$S$2:$S$750,94))=0,"",INDEX(Data!$H$2:$H$750,SMALL(Data!$S$2:$S$750,94))),"")</f>
        <v>19</v>
      </c>
      <c r="J200" s="58">
        <f t="array" ref="J200">IFERROR(INDEX(Data!$I$2:$I$750,SMALL(Data!$S$2:$S$750,94)),"")</f>
        <v>46370</v>
      </c>
      <c r="K200" s="56" t="str">
        <f t="array" ref="K200">IFERROR(INDEX(Data!$J$2:$J$750,SMALL(Data!$S$2:$S$750,94)),"")</f>
        <v>Not Paid</v>
      </c>
      <c r="L200" s="56" t="str">
        <f t="array" ref="L200">IFERROR(INDEX(Data!$K$2:$K$750,SMALL(Data!$S$2:$S$750,94)),"")</f>
        <v>Pending</v>
      </c>
      <c r="M200" s="48" t="s">
        <v>597</v>
      </c>
      <c r="N200" s="48">
        <f>SUMIFS(Data!D2:D750,Data!C2:C750,M200,Data!N2:N750,1)</f>
        <v>1</v>
      </c>
    </row>
    <row r="201" ht="15.75" customHeight="1">
      <c r="B201" s="53" t="str">
        <f t="array" ref="B201">IFERROR(INDEX(Data!$A$2:$A$750,SMALL(Data!$S$2:$S$750,95)),"")</f>
        <v>El-Marwa</v>
      </c>
      <c r="C201" s="53" t="str">
        <f t="array" ref="C201">IFERROR(IF(INDEX(Data!$B$2:$B$750,SMALL(Data!$S$2:$S$750,95))=0,"",INDEX(Data!$B$2:$B$750,SMALL(Data!$S$2:$S$750,95))),"")</f>
        <v>Stock</v>
      </c>
      <c r="D201" s="53" t="str">
        <f t="array" ref="D201">IFERROR(INDEX(Data!$C$2:$C$750,SMALL(Data!$S$2:$S$750,95)),"")</f>
        <v>GDS410</v>
      </c>
      <c r="E201" s="53">
        <f t="array" ref="E201">IFERROR(IF(INDEX(Data!$D$2:$D$750,SMALL(Data!$S$2:$S$750,95))=0,"",INDEX(Data!$D$2:$D$750,SMALL(Data!$S$2:$S$750,95))),"")</f>
        <v>6</v>
      </c>
      <c r="F201" s="54">
        <f t="array" ref="F201">IFERROR(IF(INDEX(Data!$E$2:$E$750,SMALL(Data!$S$2:$S$750,95))=0,"",INDEX(Data!$E$2:$E$750,SMALL(Data!$S$2:$S$750,95))),"")</f>
        <v>5</v>
      </c>
      <c r="G201" s="54">
        <f t="array" ref="G201">IFERROR(INDEX(Data!$F$2:$F$750,SMALL(Data!$S$2:$S$750,95)),"")</f>
        <v>30</v>
      </c>
      <c r="H201" s="55">
        <f t="array" ref="H201">IFERROR(IF(INDEX(Data!$G$2:$G$750,SMALL(Data!$S$2:$S$750,95))=0,"",INDEX(Data!$G$2:$G$750,SMALL(Data!$S$2:$S$750,95))),"")</f>
        <v>46238</v>
      </c>
      <c r="I201" s="53">
        <f t="array" ref="I201">IFERROR(IF(INDEX(Data!$H$2:$H$750,SMALL(Data!$S$2:$S$750,95))=0,"",INDEX(Data!$H$2:$H$750,SMALL(Data!$S$2:$S$750,95))),"")</f>
        <v>20</v>
      </c>
      <c r="J201" s="55">
        <f t="array" ref="J201">IFERROR(INDEX(Data!$I$2:$I$750,SMALL(Data!$S$2:$S$750,95)),"")</f>
        <v>46378</v>
      </c>
      <c r="K201" s="53" t="str">
        <f t="array" ref="K201">IFERROR(INDEX(Data!$J$2:$J$750,SMALL(Data!$S$2:$S$750,95)),"")</f>
        <v>Not Paid</v>
      </c>
      <c r="L201" s="53" t="str">
        <f t="array" ref="L201">IFERROR(INDEX(Data!$K$2:$K$750,SMALL(Data!$S$2:$S$750,95)),"")</f>
        <v>Pending</v>
      </c>
      <c r="M201" s="48" t="s">
        <v>520</v>
      </c>
      <c r="N201" s="48">
        <f>SUMIFS(Data!D2:D750,Data!C2:C750,M201,Data!N2:N750,1)</f>
        <v>4</v>
      </c>
    </row>
    <row r="202" ht="15.75" customHeight="1">
      <c r="B202" s="56" t="str">
        <f t="array" ref="B202">IFERROR(INDEX(Data!$A$2:$A$750,SMALL(Data!$S$2:$S$750,96)),"")</f>
        <v>Nissan</v>
      </c>
      <c r="C202" s="56" t="str">
        <f t="array" ref="C202">IFERROR(IF(INDEX(Data!$B$2:$B$750,SMALL(Data!$S$2:$S$750,96))=0,"",INDEX(Data!$B$2:$B$750,SMALL(Data!$S$2:$S$750,96))),"")</f>
        <v/>
      </c>
      <c r="D202" s="56" t="str">
        <f t="array" ref="D202">IFERROR(INDEX(Data!$C$2:$C$750,SMALL(Data!$S$2:$S$750,96)),"")</f>
        <v>Magnetic Lock</v>
      </c>
      <c r="E202" s="56">
        <f t="array" ref="E202">IFERROR(IF(INDEX(Data!$D$2:$D$750,SMALL(Data!$S$2:$S$750,96))=0,"",INDEX(Data!$D$2:$D$750,SMALL(Data!$S$2:$S$750,96))),"")</f>
        <v>1</v>
      </c>
      <c r="F202" s="57">
        <f t="array" ref="F202">IFERROR(IF(INDEX(Data!$E$2:$E$750,SMALL(Data!$S$2:$S$750,96))=0,"",INDEX(Data!$E$2:$E$750,SMALL(Data!$S$2:$S$750,96))),"")</f>
        <v>6</v>
      </c>
      <c r="G202" s="57">
        <f t="array" ref="G202">IFERROR(INDEX(Data!$F$2:$F$750,SMALL(Data!$S$2:$S$750,96)),"")</f>
        <v>6</v>
      </c>
      <c r="H202" s="58">
        <f t="array" ref="H202">IFERROR(IF(INDEX(Data!$G$2:$G$750,SMALL(Data!$S$2:$S$750,96))=0,"",INDEX(Data!$G$2:$G$750,SMALL(Data!$S$2:$S$750,96))),"")</f>
        <v>46239</v>
      </c>
      <c r="I202" s="56">
        <f t="array" ref="I202">IFERROR(IF(INDEX(Data!$H$2:$H$750,SMALL(Data!$S$2:$S$750,96))=0,"",INDEX(Data!$H$2:$H$750,SMALL(Data!$S$2:$S$750,96))),"")</f>
        <v>17</v>
      </c>
      <c r="J202" s="58">
        <f t="array" ref="J202">IFERROR(INDEX(Data!$I$2:$I$750,SMALL(Data!$S$2:$S$750,96)),"")</f>
        <v>46358</v>
      </c>
      <c r="K202" s="56" t="str">
        <f t="array" ref="K202">IFERROR(INDEX(Data!$J$2:$J$750,SMALL(Data!$S$2:$S$750,96)),"")</f>
        <v>Not Paid</v>
      </c>
      <c r="L202" s="56" t="str">
        <f t="array" ref="L202">IFERROR(INDEX(Data!$K$2:$K$750,SMALL(Data!$S$2:$S$750,96)),"")</f>
        <v>Pending</v>
      </c>
      <c r="M202" s="48" t="s">
        <v>599</v>
      </c>
      <c r="N202" s="48">
        <f>SUMIFS(Data!D2:D750,Data!C2:C750,M202,Data!N2:N750,1)</f>
        <v>2</v>
      </c>
    </row>
    <row r="203" ht="15.75" customHeight="1">
      <c r="B203" s="53" t="str">
        <f t="array" ref="B203">IFERROR(INDEX(Data!$A$2:$A$750,SMALL(Data!$S$2:$S$750,97)),"")</f>
        <v>Nissan</v>
      </c>
      <c r="C203" s="53" t="str">
        <f t="array" ref="C203">IFERROR(IF(INDEX(Data!$B$2:$B$750,SMALL(Data!$S$2:$S$750,97))=0,"",INDEX(Data!$B$2:$B$750,SMALL(Data!$S$2:$S$750,97))),"")</f>
        <v/>
      </c>
      <c r="D203" s="53" t="str">
        <f t="array" ref="D203">IFERROR(INDEX(Data!$C$2:$C$750,SMALL(Data!$S$2:$S$750,97)),"")</f>
        <v>ZL Bracket</v>
      </c>
      <c r="E203" s="53">
        <f t="array" ref="E203">IFERROR(IF(INDEX(Data!$D$2:$D$750,SMALL(Data!$S$2:$S$750,97))=0,"",INDEX(Data!$D$2:$D$750,SMALL(Data!$S$2:$S$750,97))),"")</f>
        <v>1</v>
      </c>
      <c r="F203" s="54">
        <f t="array" ref="F203">IFERROR(IF(INDEX(Data!$E$2:$E$750,SMALL(Data!$S$2:$S$750,97))=0,"",INDEX(Data!$E$2:$E$750,SMALL(Data!$S$2:$S$750,97))),"")</f>
        <v>7</v>
      </c>
      <c r="G203" s="54">
        <f t="array" ref="G203">IFERROR(INDEX(Data!$F$2:$F$750,SMALL(Data!$S$2:$S$750,97)),"")</f>
        <v>7</v>
      </c>
      <c r="H203" s="55">
        <f t="array" ref="H203">IFERROR(IF(INDEX(Data!$G$2:$G$750,SMALL(Data!$S$2:$S$750,97))=0,"",INDEX(Data!$G$2:$G$750,SMALL(Data!$S$2:$S$750,97))),"")</f>
        <v>46240</v>
      </c>
      <c r="I203" s="53">
        <f t="array" ref="I203">IFERROR(IF(INDEX(Data!$H$2:$H$750,SMALL(Data!$S$2:$S$750,97))=0,"",INDEX(Data!$H$2:$H$750,SMALL(Data!$S$2:$S$750,97))),"")</f>
        <v>20</v>
      </c>
      <c r="J203" s="55">
        <f t="array" ref="J203">IFERROR(INDEX(Data!$I$2:$I$750,SMALL(Data!$S$2:$S$750,97)),"")</f>
        <v>46380</v>
      </c>
      <c r="K203" s="53" t="str">
        <f t="array" ref="K203">IFERROR(INDEX(Data!$J$2:$J$750,SMALL(Data!$S$2:$S$750,97)),"")</f>
        <v>Not Paid</v>
      </c>
      <c r="L203" s="53" t="str">
        <f t="array" ref="L203">IFERROR(INDEX(Data!$K$2:$K$750,SMALL(Data!$S$2:$S$750,97)),"")</f>
        <v>Pending</v>
      </c>
      <c r="M203" s="48" t="s">
        <v>601</v>
      </c>
      <c r="N203" s="48">
        <f>SUMIFS(Data!D2:D750,Data!C2:C750,M203,Data!N2:N750,1)</f>
        <v>300</v>
      </c>
    </row>
    <row r="204" ht="15.75" customHeight="1">
      <c r="B204" s="56" t="str">
        <f t="array" ref="B204">IFERROR(INDEX(Data!$A$2:$A$750,SMALL(Data!$S$2:$S$750,98)),"")</f>
        <v>SIDC</v>
      </c>
      <c r="C204" s="56" t="str">
        <f t="array" ref="C204">IFERROR(IF(INDEX(Data!$B$2:$B$750,SMALL(Data!$S$2:$S$750,98))=0,"",INDEX(Data!$B$2:$B$750,SMALL(Data!$S$2:$S$750,98))),"")</f>
        <v>RIB</v>
      </c>
      <c r="D204" s="56" t="str">
        <f t="array" ref="D204">IFERROR(INDEX(Data!$C$2:$C$750,SMALL(Data!$S$2:$S$750,98)),"")</f>
        <v>Boom-5m</v>
      </c>
      <c r="E204" s="56">
        <f t="array" ref="E204">IFERROR(IF(INDEX(Data!$D$2:$D$750,SMALL(Data!$S$2:$S$750,98))=0,"",INDEX(Data!$D$2:$D$750,SMALL(Data!$S$2:$S$750,98))),"")</f>
        <v>1</v>
      </c>
      <c r="F204" s="57">
        <f t="array" ref="F204">IFERROR(IF(INDEX(Data!$E$2:$E$750,SMALL(Data!$S$2:$S$750,98))=0,"",INDEX(Data!$E$2:$E$750,SMALL(Data!$S$2:$S$750,98))),"")</f>
        <v>8</v>
      </c>
      <c r="G204" s="57">
        <f t="array" ref="G204">IFERROR(INDEX(Data!$F$2:$F$750,SMALL(Data!$S$2:$S$750,98)),"")</f>
        <v>8</v>
      </c>
      <c r="H204" s="58">
        <f t="array" ref="H204">IFERROR(IF(INDEX(Data!$G$2:$G$750,SMALL(Data!$S$2:$S$750,98))=0,"",INDEX(Data!$G$2:$G$750,SMALL(Data!$S$2:$S$750,98))),"")</f>
        <v>46241</v>
      </c>
      <c r="I204" s="56">
        <f t="array" ref="I204">IFERROR(IF(INDEX(Data!$H$2:$H$750,SMALL(Data!$S$2:$S$750,98))=0,"",INDEX(Data!$H$2:$H$750,SMALL(Data!$S$2:$S$750,98))),"")</f>
        <v>18</v>
      </c>
      <c r="J204" s="58">
        <f t="array" ref="J204">IFERROR(INDEX(Data!$I$2:$I$750,SMALL(Data!$S$2:$S$750,98)),"")</f>
        <v>46367</v>
      </c>
      <c r="K204" s="56" t="str">
        <f t="array" ref="K204">IFERROR(INDEX(Data!$J$2:$J$750,SMALL(Data!$S$2:$S$750,98)),"")</f>
        <v>Not Paid</v>
      </c>
      <c r="L204" s="56" t="str">
        <f t="array" ref="L204">IFERROR(INDEX(Data!$K$2:$K$750,SMALL(Data!$S$2:$S$750,98)),"")</f>
        <v>Pending</v>
      </c>
      <c r="M204" s="48" t="s">
        <v>603</v>
      </c>
      <c r="N204" s="48">
        <f>SUMIFS(Data!D2:D750,Data!C2:C750,M204,Data!N2:N750,1)</f>
        <v>22000</v>
      </c>
    </row>
    <row r="205" ht="15.75" customHeight="1">
      <c r="B205" s="53" t="str">
        <f t="array" ref="B205">IFERROR(INDEX(Data!$A$2:$A$750,SMALL(Data!$S$2:$S$750,99)),"")</f>
        <v>Hadayek El Ferdous</v>
      </c>
      <c r="C205" s="53" t="str">
        <f t="array" ref="C205">IFERROR(IF(INDEX(Data!$B$2:$B$750,SMALL(Data!$S$2:$S$750,99))=0,"",INDEX(Data!$B$2:$B$750,SMALL(Data!$S$2:$S$750,99))),"")</f>
        <v>FEIG</v>
      </c>
      <c r="D205" s="53" t="str">
        <f t="array" ref="D205">IFERROR(INDEX(Data!$C$2:$C$750,SMALL(Data!$S$2:$S$750,99)),"")</f>
        <v>MRU102-POE</v>
      </c>
      <c r="E205" s="53">
        <f t="array" ref="E205">IFERROR(IF(INDEX(Data!$D$2:$D$750,SMALL(Data!$S$2:$S$750,99))=0,"",INDEX(Data!$D$2:$D$750,SMALL(Data!$S$2:$S$750,99))),"")</f>
        <v>1</v>
      </c>
      <c r="F205" s="54">
        <f t="array" ref="F205">IFERROR(IF(INDEX(Data!$E$2:$E$750,SMALL(Data!$S$2:$S$750,99))=0,"",INDEX(Data!$E$2:$E$750,SMALL(Data!$S$2:$S$750,99))),"")</f>
        <v>2</v>
      </c>
      <c r="G205" s="54">
        <f t="array" ref="G205">IFERROR(INDEX(Data!$F$2:$F$750,SMALL(Data!$S$2:$S$750,99)),"")</f>
        <v>2</v>
      </c>
      <c r="H205" s="55">
        <f t="array" ref="H205">IFERROR(IF(INDEX(Data!$G$2:$G$750,SMALL(Data!$S$2:$S$750,99))=0,"",INDEX(Data!$G$2:$G$750,SMALL(Data!$S$2:$S$750,99))),"")</f>
        <v>46242</v>
      </c>
      <c r="I205" s="53">
        <f t="array" ref="I205">IFERROR(IF(INDEX(Data!$H$2:$H$750,SMALL(Data!$S$2:$S$750,99))=0,"",INDEX(Data!$H$2:$H$750,SMALL(Data!$S$2:$S$750,99))),"")</f>
        <v>20</v>
      </c>
      <c r="J205" s="55">
        <f t="array" ref="J205">IFERROR(INDEX(Data!$I$2:$I$750,SMALL(Data!$S$2:$S$750,99)),"")</f>
        <v>46382</v>
      </c>
      <c r="K205" s="53" t="str">
        <f t="array" ref="K205">IFERROR(INDEX(Data!$J$2:$J$750,SMALL(Data!$S$2:$S$750,99)),"")</f>
        <v>Not Paid</v>
      </c>
      <c r="L205" s="53" t="str">
        <f t="array" ref="L205">IFERROR(INDEX(Data!$K$2:$K$750,SMALL(Data!$S$2:$S$750,99)),"")</f>
        <v>Completed</v>
      </c>
      <c r="M205" s="48" t="s">
        <v>234</v>
      </c>
      <c r="N205" s="48">
        <f>SUMIFS(Data!D2:D750,Data!C2:C750,M205,Data!N2:N750,1)</f>
        <v>20</v>
      </c>
    </row>
    <row r="206" ht="15.75" customHeight="1">
      <c r="B206" s="56" t="str">
        <f t="array" ref="B206">IFERROR(INDEX(Data!$A$2:$A$750,SMALL(Data!$S$2:$S$750,100)),"")</f>
        <v>Obour institute</v>
      </c>
      <c r="C206" s="56" t="str">
        <f t="array" ref="C206">IFERROR(IF(INDEX(Data!$B$2:$B$750,SMALL(Data!$S$2:$S$750,100))=0,"",INDEX(Data!$B$2:$B$750,SMALL(Data!$S$2:$S$750,100))),"")</f>
        <v>ATC</v>
      </c>
      <c r="D206" s="56" t="str">
        <f t="array" ref="D206">IFERROR(INDEX(Data!$C$2:$C$750,SMALL(Data!$S$2:$S$750,100)),"")</f>
        <v>Tripod Turnstile SINGLE UNIT (LTT303A)</v>
      </c>
      <c r="E206" s="56">
        <f t="array" ref="E206">IFERROR(IF(INDEX(Data!$D$2:$D$750,SMALL(Data!$S$2:$S$750,100))=0,"",INDEX(Data!$D$2:$D$750,SMALL(Data!$S$2:$S$750,100))),"")</f>
        <v>1</v>
      </c>
      <c r="F206" s="57">
        <f t="array" ref="F206">IFERROR(IF(INDEX(Data!$E$2:$E$750,SMALL(Data!$S$2:$S$750,100))=0,"",INDEX(Data!$E$2:$E$750,SMALL(Data!$S$2:$S$750,100))),"")</f>
        <v>15</v>
      </c>
      <c r="G206" s="57">
        <f t="array" ref="G206">IFERROR(INDEX(Data!$F$2:$F$750,SMALL(Data!$S$2:$S$750,100)),"")</f>
        <v>15</v>
      </c>
      <c r="H206" s="58">
        <f t="array" ref="H206">IFERROR(IF(INDEX(Data!$G$2:$G$750,SMALL(Data!$S$2:$S$750,100))=0,"",INDEX(Data!$G$2:$G$750,SMALL(Data!$S$2:$S$750,100))),"")</f>
        <v>46243</v>
      </c>
      <c r="I206" s="56">
        <f t="array" ref="I206">IFERROR(IF(INDEX(Data!$H$2:$H$750,SMALL(Data!$S$2:$S$750,100))=0,"",INDEX(Data!$H$2:$H$750,SMALL(Data!$S$2:$S$750,100))),"")</f>
        <v>19</v>
      </c>
      <c r="J206" s="58">
        <f t="array" ref="J206">IFERROR(INDEX(Data!$I$2:$I$750,SMALL(Data!$S$2:$S$750,100)),"")</f>
        <v>46376</v>
      </c>
      <c r="K206" s="56" t="str">
        <f t="array" ref="K206">IFERROR(INDEX(Data!$J$2:$J$750,SMALL(Data!$S$2:$S$750,100)),"")</f>
        <v>Not Paid</v>
      </c>
      <c r="L206" s="56" t="str">
        <f t="array" ref="L206">IFERROR(INDEX(Data!$K$2:$K$750,SMALL(Data!$S$2:$S$750,100)),"")</f>
        <v>Pending</v>
      </c>
      <c r="M206" s="48" t="s">
        <v>522</v>
      </c>
      <c r="N206" s="48">
        <f>SUMIFS(Data!D2:D750,Data!C2:C750,M206,Data!N2:N750,1)</f>
        <v>2</v>
      </c>
    </row>
    <row r="207" ht="15.75" customHeight="1">
      <c r="B207" s="53" t="str">
        <f t="array" ref="B207">IFERROR(INDEX(Data!$A$2:$A$750,SMALL(Data!$S$2:$S$750,101)),"")</f>
        <v>Obour institute</v>
      </c>
      <c r="C207" s="53" t="str">
        <f t="array" ref="C207">IFERROR(IF(INDEX(Data!$B$2:$B$750,SMALL(Data!$S$2:$S$750,101))=0,"",INDEX(Data!$B$2:$B$750,SMALL(Data!$S$2:$S$750,101))),"")</f>
        <v>FEIG</v>
      </c>
      <c r="D207" s="53" t="str">
        <f t="array" ref="D207">IFERROR(INDEX(Data!$C$2:$C$750,SMALL(Data!$S$2:$S$750,101)),"")</f>
        <v>MAX50.10-RE</v>
      </c>
      <c r="E207" s="53">
        <f t="array" ref="E207">IFERROR(IF(INDEX(Data!$D$2:$D$750,SMALL(Data!$S$2:$S$750,101))=0,"",INDEX(Data!$D$2:$D$750,SMALL(Data!$S$2:$S$750,101))),"")</f>
        <v>2</v>
      </c>
      <c r="F207" s="54">
        <f t="array" ref="F207">IFERROR(IF(INDEX(Data!$E$2:$E$750,SMALL(Data!$S$2:$S$750,101))=0,"",INDEX(Data!$E$2:$E$750,SMALL(Data!$S$2:$S$750,101))),"")</f>
        <v>45</v>
      </c>
      <c r="G207" s="54">
        <f t="array" ref="G207">IFERROR(INDEX(Data!$F$2:$F$750,SMALL(Data!$S$2:$S$750,101)),"")</f>
        <v>90</v>
      </c>
      <c r="H207" s="55">
        <f t="array" ref="H207">IFERROR(IF(INDEX(Data!$G$2:$G$750,SMALL(Data!$S$2:$S$750,101))=0,"",INDEX(Data!$G$2:$G$750,SMALL(Data!$S$2:$S$750,101))),"")</f>
        <v>46244</v>
      </c>
      <c r="I207" s="53">
        <f t="array" ref="I207">IFERROR(IF(INDEX(Data!$H$2:$H$750,SMALL(Data!$S$2:$S$750,101))=0,"",INDEX(Data!$H$2:$H$750,SMALL(Data!$S$2:$S$750,101))),"")</f>
        <v>19</v>
      </c>
      <c r="J207" s="55">
        <f t="array" ref="J207">IFERROR(INDEX(Data!$I$2:$I$750,SMALL(Data!$S$2:$S$750,101)),"")</f>
        <v>46377</v>
      </c>
      <c r="K207" s="53" t="str">
        <f t="array" ref="K207">IFERROR(INDEX(Data!$J$2:$J$750,SMALL(Data!$S$2:$S$750,101)),"")</f>
        <v>Not Paid</v>
      </c>
      <c r="L207" s="53" t="str">
        <f t="array" ref="L207">IFERROR(INDEX(Data!$K$2:$K$750,SMALL(Data!$S$2:$S$750,101)),"")</f>
        <v>In Progress</v>
      </c>
      <c r="M207" s="48" t="s">
        <v>333</v>
      </c>
      <c r="N207" s="48">
        <f>SUMIFS(Data!D2:D750,Data!C2:C750,M207,Data!N2:N750,1)</f>
        <v>20</v>
      </c>
    </row>
    <row r="208" ht="15.75" customHeight="1">
      <c r="B208" s="56" t="str">
        <f t="array" ref="B208">IFERROR(INDEX(Data!$A$2:$A$750,SMALL(Data!$S$2:$S$750,102)),"")</f>
        <v>Obour university</v>
      </c>
      <c r="C208" s="56" t="str">
        <f t="array" ref="C208">IFERROR(IF(INDEX(Data!$B$2:$B$750,SMALL(Data!$S$2:$S$750,102))=0,"",INDEX(Data!$B$2:$B$750,SMALL(Data!$S$2:$S$750,102))),"")</f>
        <v>ATC</v>
      </c>
      <c r="D208" s="56" t="str">
        <f t="array" ref="D208">IFERROR(INDEX(Data!$C$2:$C$750,SMALL(Data!$S$2:$S$750,102)),"")</f>
        <v>Swing Gate (SG 212)</v>
      </c>
      <c r="E208" s="56">
        <f t="array" ref="E208">IFERROR(IF(INDEX(Data!$D$2:$D$750,SMALL(Data!$S$2:$S$750,102))=0,"",INDEX(Data!$D$2:$D$750,SMALL(Data!$S$2:$S$750,102))),"")</f>
        <v>2</v>
      </c>
      <c r="F208" s="57">
        <f t="array" ref="F208">IFERROR(IF(INDEX(Data!$E$2:$E$750,SMALL(Data!$S$2:$S$750,102))=0,"",INDEX(Data!$E$2:$E$750,SMALL(Data!$S$2:$S$750,102))),"")</f>
        <v>24</v>
      </c>
      <c r="G208" s="57">
        <f t="array" ref="G208">IFERROR(INDEX(Data!$F$2:$F$750,SMALL(Data!$S$2:$S$750,102)),"")</f>
        <v>48</v>
      </c>
      <c r="H208" s="58">
        <f t="array" ref="H208">IFERROR(IF(INDEX(Data!$G$2:$G$750,SMALL(Data!$S$2:$S$750,102))=0,"",INDEX(Data!$G$2:$G$750,SMALL(Data!$S$2:$S$750,102))),"")</f>
        <v>46245</v>
      </c>
      <c r="I208" s="56">
        <f t="array" ref="I208">IFERROR(IF(INDEX(Data!$H$2:$H$750,SMALL(Data!$S$2:$S$750,102))=0,"",INDEX(Data!$H$2:$H$750,SMALL(Data!$S$2:$S$750,102))),"")</f>
        <v>20</v>
      </c>
      <c r="J208" s="58">
        <f t="array" ref="J208">IFERROR(INDEX(Data!$I$2:$I$750,SMALL(Data!$S$2:$S$750,102)),"")</f>
        <v>46385</v>
      </c>
      <c r="K208" s="56" t="str">
        <f t="array" ref="K208">IFERROR(INDEX(Data!$J$2:$J$750,SMALL(Data!$S$2:$S$750,102)),"")</f>
        <v>Not Paid</v>
      </c>
      <c r="L208" s="56" t="str">
        <f t="array" ref="L208">IFERROR(INDEX(Data!$K$2:$K$750,SMALL(Data!$S$2:$S$750,102)),"")</f>
        <v>Completed</v>
      </c>
      <c r="M208" s="48" t="s">
        <v>476</v>
      </c>
      <c r="N208" s="48">
        <f>SUMIFS(Data!D2:D750,Data!C2:C750,M208,Data!N2:N750,1)</f>
        <v>30</v>
      </c>
    </row>
    <row r="209" ht="15.75" customHeight="1">
      <c r="B209" s="53" t="str">
        <f t="array" ref="B209">IFERROR(INDEX(Data!$A$2:$A$750,SMALL(Data!$S$2:$S$750,103)),"")</f>
        <v>Obour university</v>
      </c>
      <c r="C209" s="53" t="str">
        <f t="array" ref="C209">IFERROR(IF(INDEX(Data!$B$2:$B$750,SMALL(Data!$S$2:$S$750,103))=0,"",INDEX(Data!$B$2:$B$750,SMALL(Data!$S$2:$S$750,103))),"")</f>
        <v>FEIG</v>
      </c>
      <c r="D209" s="53" t="str">
        <f t="array" ref="D209">IFERROR(INDEX(Data!$C$2:$C$750,SMALL(Data!$S$2:$S$750,103)),"")</f>
        <v>MAX50.10-RE</v>
      </c>
      <c r="E209" s="53">
        <f t="array" ref="E209">IFERROR(IF(INDEX(Data!$D$2:$D$750,SMALL(Data!$S$2:$S$750,103))=0,"",INDEX(Data!$D$2:$D$750,SMALL(Data!$S$2:$S$750,103))),"")</f>
        <v>4</v>
      </c>
      <c r="F209" s="54">
        <f t="array" ref="F209">IFERROR(IF(INDEX(Data!$E$2:$E$750,SMALL(Data!$S$2:$S$750,103))=0,"",INDEX(Data!$E$2:$E$750,SMALL(Data!$S$2:$S$750,103))),"")</f>
        <v>25</v>
      </c>
      <c r="G209" s="54">
        <f t="array" ref="G209">IFERROR(INDEX(Data!$F$2:$F$750,SMALL(Data!$S$2:$S$750,103)),"")</f>
        <v>100</v>
      </c>
      <c r="H209" s="55">
        <f t="array" ref="H209">IFERROR(IF(INDEX(Data!$G$2:$G$750,SMALL(Data!$S$2:$S$750,103))=0,"",INDEX(Data!$G$2:$G$750,SMALL(Data!$S$2:$S$750,103))),"")</f>
        <v>46246</v>
      </c>
      <c r="I209" s="53">
        <f t="array" ref="I209">IFERROR(IF(INDEX(Data!$H$2:$H$750,SMALL(Data!$S$2:$S$750,103))=0,"",INDEX(Data!$H$2:$H$750,SMALL(Data!$S$2:$S$750,103))),"")</f>
        <v>21</v>
      </c>
      <c r="J209" s="55">
        <f t="array" ref="J209">IFERROR(INDEX(Data!$I$2:$I$750,SMALL(Data!$S$2:$S$750,103)),"")</f>
        <v>46393</v>
      </c>
      <c r="K209" s="53" t="str">
        <f t="array" ref="K209">IFERROR(INDEX(Data!$J$2:$J$750,SMALL(Data!$S$2:$S$750,103)),"")</f>
        <v>Not Paid</v>
      </c>
      <c r="L209" s="53" t="str">
        <f t="array" ref="L209">IFERROR(INDEX(Data!$K$2:$K$750,SMALL(Data!$S$2:$S$750,103)),"")</f>
        <v>Delayed</v>
      </c>
      <c r="M209" s="48" t="s">
        <v>443</v>
      </c>
      <c r="N209" s="48">
        <f>SUMIFS(Data!D2:D750,Data!C2:C750,M209,Data!N2:N750,1)</f>
        <v>1200</v>
      </c>
    </row>
    <row r="210" ht="15.75" customHeight="1">
      <c r="B210" s="56" t="str">
        <f t="array" ref="B210">IFERROR(INDEX(Data!$A$2:$A$750,SMALL(Data!$S$2:$S$750,104)),"")</f>
        <v>Tanmyah</v>
      </c>
      <c r="C210" s="56" t="str">
        <f t="array" ref="C210">IFERROR(IF(INDEX(Data!$B$2:$B$750,SMALL(Data!$S$2:$S$750,104))=0,"",INDEX(Data!$B$2:$B$750,SMALL(Data!$S$2:$S$750,104))),"")</f>
        <v/>
      </c>
      <c r="D210" s="56" t="str">
        <f t="array" ref="D210">IFERROR(INDEX(Data!$C$2:$C$750,SMALL(Data!$S$2:$S$750,104)),"")</f>
        <v>Dogbone- printed&amp;encoded</v>
      </c>
      <c r="E210" s="56">
        <f t="array" ref="E210">IFERROR(IF(INDEX(Data!$D$2:$D$750,SMALL(Data!$S$2:$S$750,104))=0,"",INDEX(Data!$D$2:$D$750,SMALL(Data!$S$2:$S$750,104))),"")</f>
        <v>3000</v>
      </c>
      <c r="F210" s="57">
        <f t="array" ref="F210">IFERROR(IF(INDEX(Data!$E$2:$E$750,SMALL(Data!$S$2:$S$750,104))=0,"",INDEX(Data!$E$2:$E$750,SMALL(Data!$S$2:$S$750,104))),"")</f>
        <v>36</v>
      </c>
      <c r="G210" s="57">
        <f t="array" ref="G210">IFERROR(INDEX(Data!$F$2:$F$750,SMALL(Data!$S$2:$S$750,104)),"")</f>
        <v>108000</v>
      </c>
      <c r="H210" s="58">
        <f t="array" ref="H210">IFERROR(IF(INDEX(Data!$G$2:$G$750,SMALL(Data!$S$2:$S$750,104))=0,"",INDEX(Data!$G$2:$G$750,SMALL(Data!$S$2:$S$750,104))),"")</f>
        <v>46247</v>
      </c>
      <c r="I210" s="56">
        <f t="array" ref="I210">IFERROR(IF(INDEX(Data!$H$2:$H$750,SMALL(Data!$S$2:$S$750,104))=0,"",INDEX(Data!$H$2:$H$750,SMALL(Data!$S$2:$S$750,104))),"")</f>
        <v>24</v>
      </c>
      <c r="J210" s="58">
        <f t="array" ref="J210">IFERROR(INDEX(Data!$I$2:$I$750,SMALL(Data!$S$2:$S$750,104)),"")</f>
        <v>46415</v>
      </c>
      <c r="K210" s="56" t="str">
        <f t="array" ref="K210">IFERROR(INDEX(Data!$J$2:$J$750,SMALL(Data!$S$2:$S$750,104)),"")</f>
        <v>Not Paid</v>
      </c>
      <c r="L210" s="56" t="str">
        <f t="array" ref="L210">IFERROR(INDEX(Data!$K$2:$K$750,SMALL(Data!$S$2:$S$750,104)),"")</f>
        <v>Pending</v>
      </c>
      <c r="M210" s="48" t="s">
        <v>606</v>
      </c>
      <c r="N210" s="48">
        <f>SUMIFS(Data!D2:D750,Data!C2:C750,M210,Data!N2:N750,1)</f>
        <v>100</v>
      </c>
    </row>
    <row r="211" ht="15.75" customHeight="1">
      <c r="B211" s="53" t="str">
        <f t="array" ref="B211">IFERROR(INDEX(Data!$A$2:$A$750,SMALL(Data!$S$2:$S$750,105)),"")</f>
        <v>Tanmyah</v>
      </c>
      <c r="C211" s="53" t="str">
        <f t="array" ref="C211">IFERROR(IF(INDEX(Data!$B$2:$B$750,SMALL(Data!$S$2:$S$750,105))=0,"",INDEX(Data!$B$2:$B$750,SMALL(Data!$S$2:$S$750,105))),"")</f>
        <v>RICH RFID</v>
      </c>
      <c r="D211" s="53" t="str">
        <f t="array" ref="D211">IFERROR(INDEX(Data!$C$2:$C$750,SMALL(Data!$S$2:$S$750,105)),"")</f>
        <v>On metal tags- (RCO7012)- printed&amp;encoded</v>
      </c>
      <c r="E211" s="53">
        <f t="array" ref="E211">IFERROR(IF(INDEX(Data!$D$2:$D$750,SMALL(Data!$S$2:$S$750,105))=0,"",INDEX(Data!$D$2:$D$750,SMALL(Data!$S$2:$S$750,105))),"")</f>
        <v>1500</v>
      </c>
      <c r="F211" s="54">
        <f t="array" ref="F211">IFERROR(IF(INDEX(Data!$E$2:$E$750,SMALL(Data!$S$2:$S$750,105))=0,"",INDEX(Data!$E$2:$E$750,SMALL(Data!$S$2:$S$750,105))),"")</f>
        <v>95</v>
      </c>
      <c r="G211" s="54">
        <f t="array" ref="G211">IFERROR(INDEX(Data!$F$2:$F$750,SMALL(Data!$S$2:$S$750,105)),"")</f>
        <v>142500</v>
      </c>
      <c r="H211" s="55">
        <f t="array" ref="H211">IFERROR(IF(INDEX(Data!$G$2:$G$750,SMALL(Data!$S$2:$S$750,105))=0,"",INDEX(Data!$G$2:$G$750,SMALL(Data!$S$2:$S$750,105))),"")</f>
        <v>46248</v>
      </c>
      <c r="I211" s="53">
        <f t="array" ref="I211">IFERROR(IF(INDEX(Data!$H$2:$H$750,SMALL(Data!$S$2:$S$750,105))=0,"",INDEX(Data!$H$2:$H$750,SMALL(Data!$S$2:$S$750,105))),"")</f>
        <v>24</v>
      </c>
      <c r="J211" s="55">
        <f t="array" ref="J211">IFERROR(INDEX(Data!$I$2:$I$750,SMALL(Data!$S$2:$S$750,105)),"")</f>
        <v>46416</v>
      </c>
      <c r="K211" s="53" t="str">
        <f t="array" ref="K211">IFERROR(INDEX(Data!$J$2:$J$750,SMALL(Data!$S$2:$S$750,105)),"")</f>
        <v>Not Paid</v>
      </c>
      <c r="L211" s="53" t="str">
        <f t="array" ref="L211">IFERROR(INDEX(Data!$K$2:$K$750,SMALL(Data!$S$2:$S$750,105)),"")</f>
        <v>Completed</v>
      </c>
      <c r="M211" s="48" t="s">
        <v>609</v>
      </c>
      <c r="N211" s="48">
        <f>SUMIFS(Data!D2:D750,Data!C2:C750,M211,Data!N2:N750,1)</f>
        <v>8</v>
      </c>
    </row>
    <row r="212" ht="15.75" customHeight="1">
      <c r="B212" s="56" t="str">
        <f t="array" ref="B212">IFERROR(INDEX(Data!$A$2:$A$750,SMALL(Data!$S$2:$S$750,106)),"")</f>
        <v>La Hacienda</v>
      </c>
      <c r="C212" s="56" t="str">
        <f t="array" ref="C212">IFERROR(IF(INDEX(Data!$B$2:$B$750,SMALL(Data!$S$2:$S$750,106))=0,"",INDEX(Data!$B$2:$B$750,SMALL(Data!$S$2:$S$750,106))),"")</f>
        <v>Minamark</v>
      </c>
      <c r="D212" s="56" t="str">
        <f t="array" ref="D212">IFERROR(INDEX(Data!$C$2:$C$750,SMALL(Data!$S$2:$S$750,106)),"")</f>
        <v>HF Cards</v>
      </c>
      <c r="E212" s="56">
        <f t="array" ref="E212">IFERROR(IF(INDEX(Data!$D$2:$D$750,SMALL(Data!$S$2:$S$750,106))=0,"",INDEX(Data!$D$2:$D$750,SMALL(Data!$S$2:$S$750,106))),"")</f>
        <v>500</v>
      </c>
      <c r="F212" s="57">
        <f t="array" ref="F212">IFERROR(IF(INDEX(Data!$E$2:$E$750,SMALL(Data!$S$2:$S$750,106))=0,"",INDEX(Data!$E$2:$E$750,SMALL(Data!$S$2:$S$750,106))),"")</f>
        <v>574</v>
      </c>
      <c r="G212" s="57">
        <f t="array" ref="G212">IFERROR(INDEX(Data!$F$2:$F$750,SMALL(Data!$S$2:$S$750,106)),"")</f>
        <v>287000</v>
      </c>
      <c r="H212" s="58">
        <f t="array" ref="H212">IFERROR(IF(INDEX(Data!$G$2:$G$750,SMALL(Data!$S$2:$S$750,106))=0,"",INDEX(Data!$G$2:$G$750,SMALL(Data!$S$2:$S$750,106))),"")</f>
        <v>46249</v>
      </c>
      <c r="I212" s="56">
        <f t="array" ref="I212">IFERROR(IF(INDEX(Data!$H$2:$H$750,SMALL(Data!$S$2:$S$750,106))=0,"",INDEX(Data!$H$2:$H$750,SMALL(Data!$S$2:$S$750,106))),"")</f>
        <v>24</v>
      </c>
      <c r="J212" s="58">
        <f t="array" ref="J212">IFERROR(INDEX(Data!$I$2:$I$750,SMALL(Data!$S$2:$S$750,106)),"")</f>
        <v>46417</v>
      </c>
      <c r="K212" s="56" t="str">
        <f t="array" ref="K212">IFERROR(INDEX(Data!$J$2:$J$750,SMALL(Data!$S$2:$S$750,106)),"")</f>
        <v>Not Paid</v>
      </c>
      <c r="L212" s="56" t="str">
        <f t="array" ref="L212">IFERROR(INDEX(Data!$K$2:$K$750,SMALL(Data!$S$2:$S$750,106)),"")</f>
        <v>Pending</v>
      </c>
      <c r="M212" s="48" t="s">
        <v>612</v>
      </c>
      <c r="N212" s="48">
        <f>SUMIFS(Data!D2:D750,Data!C2:C750,M212,Data!N2:N750,1)</f>
        <v>12000</v>
      </c>
    </row>
    <row r="213" ht="15.75" customHeight="1">
      <c r="B213" s="53" t="str">
        <f t="array" ref="B213">IFERROR(INDEX(Data!$A$2:$A$750,SMALL(Data!$S$2:$S$750,107)),"")</f>
        <v>Marina</v>
      </c>
      <c r="C213" s="53" t="str">
        <f t="array" ref="C213">IFERROR(IF(INDEX(Data!$B$2:$B$750,SMALL(Data!$S$2:$S$750,107))=0,"",INDEX(Data!$B$2:$B$750,SMALL(Data!$S$2:$S$750,107))),"")</f>
        <v/>
      </c>
      <c r="D213" s="53" t="str">
        <f t="array" ref="D213">IFERROR(INDEX(Data!$C$2:$C$750,SMALL(Data!$S$2:$S$750,107)),"")</f>
        <v>UHF Cards- one side printed</v>
      </c>
      <c r="E213" s="53">
        <f t="array" ref="E213">IFERROR(IF(INDEX(Data!$D$2:$D$750,SMALL(Data!$S$2:$S$750,107))=0,"",INDEX(Data!$D$2:$D$750,SMALL(Data!$S$2:$S$750,107))),"")</f>
        <v>1000</v>
      </c>
      <c r="F213" s="54">
        <f t="array" ref="F213">IFERROR(IF(INDEX(Data!$E$2:$E$750,SMALL(Data!$S$2:$S$750,107))=0,"",INDEX(Data!$E$2:$E$750,SMALL(Data!$S$2:$S$750,107))),"")</f>
        <v>558</v>
      </c>
      <c r="G213" s="54">
        <f t="array" ref="G213">IFERROR(INDEX(Data!$F$2:$F$750,SMALL(Data!$S$2:$S$750,107)),"")</f>
        <v>558000</v>
      </c>
      <c r="H213" s="55">
        <f t="array" ref="H213">IFERROR(IF(INDEX(Data!$G$2:$G$750,SMALL(Data!$S$2:$S$750,107))=0,"",INDEX(Data!$G$2:$G$750,SMALL(Data!$S$2:$S$750,107))),"")</f>
        <v>46250</v>
      </c>
      <c r="I213" s="53">
        <f t="array" ref="I213">IFERROR(IF(INDEX(Data!$H$2:$H$750,SMALL(Data!$S$2:$S$750,107))=0,"",INDEX(Data!$H$2:$H$750,SMALL(Data!$S$2:$S$750,107))),"")</f>
        <v>21</v>
      </c>
      <c r="J213" s="55">
        <f t="array" ref="J213">IFERROR(INDEX(Data!$I$2:$I$750,SMALL(Data!$S$2:$S$750,107)),"")</f>
        <v>46397</v>
      </c>
      <c r="K213" s="53" t="str">
        <f t="array" ref="K213">IFERROR(INDEX(Data!$J$2:$J$750,SMALL(Data!$S$2:$S$750,107)),"")</f>
        <v>Not Paid</v>
      </c>
      <c r="L213" s="53" t="str">
        <f t="array" ref="L213">IFERROR(INDEX(Data!$K$2:$K$750,SMALL(Data!$S$2:$S$750,107)),"")</f>
        <v>In Progress</v>
      </c>
      <c r="M213" s="48" t="s">
        <v>613</v>
      </c>
      <c r="N213" s="48">
        <f>SUMIFS(Data!D2:D750,Data!C2:C750,M213,Data!N2:N750,1)</f>
        <v>23500</v>
      </c>
    </row>
    <row r="214" ht="15.75" customHeight="1">
      <c r="B214" s="56" t="str">
        <f t="array" ref="B214">IFERROR(INDEX(Data!$A$2:$A$750,SMALL(Data!$S$2:$S$750,108)),"")</f>
        <v>Marbella</v>
      </c>
      <c r="C214" s="56" t="str">
        <f t="array" ref="C214">IFERROR(IF(INDEX(Data!$B$2:$B$750,SMALL(Data!$S$2:$S$750,108))=0,"",INDEX(Data!$B$2:$B$750,SMALL(Data!$S$2:$S$750,108))),"")</f>
        <v/>
      </c>
      <c r="D214" s="56" t="str">
        <f t="array" ref="D214">IFERROR(INDEX(Data!$C$2:$C$750,SMALL(Data!$S$2:$S$750,108)),"")</f>
        <v>Rapid S- 3m</v>
      </c>
      <c r="E214" s="56">
        <f t="array" ref="E214">IFERROR(IF(INDEX(Data!$D$2:$D$750,SMALL(Data!$S$2:$S$750,108))=0,"",INDEX(Data!$D$2:$D$750,SMALL(Data!$S$2:$S$750,108))),"")</f>
        <v>2</v>
      </c>
      <c r="F214" s="57">
        <f t="array" ref="F214">IFERROR(IF(INDEX(Data!$E$2:$E$750,SMALL(Data!$S$2:$S$750,108))=0,"",INDEX(Data!$E$2:$E$750,SMALL(Data!$S$2:$S$750,108))),"")</f>
        <v>2265</v>
      </c>
      <c r="G214" s="57">
        <f t="array" ref="G214">IFERROR(INDEX(Data!$F$2:$F$750,SMALL(Data!$S$2:$S$750,108)),"")</f>
        <v>4530</v>
      </c>
      <c r="H214" s="58">
        <f t="array" ref="H214">IFERROR(IF(INDEX(Data!$G$2:$G$750,SMALL(Data!$S$2:$S$750,108))=0,"",INDEX(Data!$G$2:$G$750,SMALL(Data!$S$2:$S$750,108))),"")</f>
        <v>46251</v>
      </c>
      <c r="I214" s="56">
        <f t="array" ref="I214">IFERROR(IF(INDEX(Data!$H$2:$H$750,SMALL(Data!$S$2:$S$750,108))=0,"",INDEX(Data!$H$2:$H$750,SMALL(Data!$S$2:$S$750,108))),"")</f>
        <v>20</v>
      </c>
      <c r="J214" s="58">
        <f t="array" ref="J214">IFERROR(INDEX(Data!$I$2:$I$750,SMALL(Data!$S$2:$S$750,108)),"")</f>
        <v>46391</v>
      </c>
      <c r="K214" s="56" t="str">
        <f t="array" ref="K214">IFERROR(INDEX(Data!$J$2:$J$750,SMALL(Data!$S$2:$S$750,108)),"")</f>
        <v>Not Paid</v>
      </c>
      <c r="L214" s="56" t="str">
        <f t="array" ref="L214">IFERROR(INDEX(Data!$K$2:$K$750,SMALL(Data!$S$2:$S$750,108)),"")</f>
        <v>Completed</v>
      </c>
      <c r="M214" s="48" t="s">
        <v>422</v>
      </c>
      <c r="N214" s="48">
        <f>SUMIFS(Data!D2:D750,Data!C2:C750,M214,Data!N2:N750,1)</f>
        <v>1</v>
      </c>
    </row>
    <row r="215" ht="15.75" customHeight="1">
      <c r="B215" s="53" t="str">
        <f t="array" ref="B215">IFERROR(INDEX(Data!$A$2:$A$750,SMALL(Data!$S$2:$S$750,109)),"")</f>
        <v>Marbella</v>
      </c>
      <c r="C215" s="53" t="str">
        <f t="array" ref="C215">IFERROR(IF(INDEX(Data!$B$2:$B$750,SMALL(Data!$S$2:$S$750,109))=0,"",INDEX(Data!$B$2:$B$750,SMALL(Data!$S$2:$S$750,109))),"")</f>
        <v/>
      </c>
      <c r="D215" s="53" t="str">
        <f t="array" ref="D215">IFERROR(INDEX(Data!$C$2:$C$750,SMALL(Data!$S$2:$S$750,109)),"")</f>
        <v>GDS410</v>
      </c>
      <c r="E215" s="53">
        <f t="array" ref="E215">IFERROR(IF(INDEX(Data!$D$2:$D$750,SMALL(Data!$S$2:$S$750,109))=0,"",INDEX(Data!$D$2:$D$750,SMALL(Data!$S$2:$S$750,109))),"")</f>
        <v>2</v>
      </c>
      <c r="F215" s="54">
        <f t="array" ref="F215">IFERROR(IF(INDEX(Data!$E$2:$E$750,SMALL(Data!$S$2:$S$750,109))=0,"",INDEX(Data!$E$2:$E$750,SMALL(Data!$S$2:$S$750,109))),"")</f>
        <v>45</v>
      </c>
      <c r="G215" s="54">
        <f t="array" ref="G215">IFERROR(INDEX(Data!$F$2:$F$750,SMALL(Data!$S$2:$S$750,109)),"")</f>
        <v>90</v>
      </c>
      <c r="H215" s="55">
        <f t="array" ref="H215">IFERROR(IF(INDEX(Data!$G$2:$G$750,SMALL(Data!$S$2:$S$750,109))=0,"",INDEX(Data!$G$2:$G$750,SMALL(Data!$S$2:$S$750,109))),"")</f>
        <v>46252</v>
      </c>
      <c r="I215" s="53">
        <f t="array" ref="I215">IFERROR(IF(INDEX(Data!$H$2:$H$750,SMALL(Data!$S$2:$S$750,109))=0,"",INDEX(Data!$H$2:$H$750,SMALL(Data!$S$2:$S$750,109))),"")</f>
        <v>20</v>
      </c>
      <c r="J215" s="55">
        <f t="array" ref="J215">IFERROR(INDEX(Data!$I$2:$I$750,SMALL(Data!$S$2:$S$750,109)),"")</f>
        <v>46392</v>
      </c>
      <c r="K215" s="53" t="str">
        <f t="array" ref="K215">IFERROR(INDEX(Data!$J$2:$J$750,SMALL(Data!$S$2:$S$750,109)),"")</f>
        <v>Not Paid</v>
      </c>
      <c r="L215" s="53" t="str">
        <f t="array" ref="L215">IFERROR(INDEX(Data!$K$2:$K$750,SMALL(Data!$S$2:$S$750,109)),"")</f>
        <v>Delayed</v>
      </c>
      <c r="M215" s="48" t="s">
        <v>111</v>
      </c>
      <c r="N215" s="48">
        <f>SUMIFS(Data!D2:D750,Data!C2:C750,M215,Data!N2:N750,1)</f>
        <v>1</v>
      </c>
    </row>
    <row r="216" ht="15.75" customHeight="1">
      <c r="B216" s="56" t="str">
        <f t="array" ref="B216">IFERROR(INDEX(Data!$A$2:$A$750,SMALL(Data!$S$2:$S$750,110)),"")</f>
        <v>Marbella</v>
      </c>
      <c r="C216" s="56" t="str">
        <f t="array" ref="C216">IFERROR(IF(INDEX(Data!$B$2:$B$750,SMALL(Data!$S$2:$S$750,110))=0,"",INDEX(Data!$B$2:$B$750,SMALL(Data!$S$2:$S$750,110))),"")</f>
        <v/>
      </c>
      <c r="D216" s="56" t="str">
        <f t="array" ref="D216">IFERROR(INDEX(Data!$C$2:$C$750,SMALL(Data!$S$2:$S$750,110)),"")</f>
        <v>MRU102-POE</v>
      </c>
      <c r="E216" s="56">
        <f t="array" ref="E216">IFERROR(IF(INDEX(Data!$D$2:$D$750,SMALL(Data!$S$2:$S$750,110))=0,"",INDEX(Data!$D$2:$D$750,SMALL(Data!$S$2:$S$750,110))),"")</f>
        <v>1</v>
      </c>
      <c r="F216" s="57">
        <f t="array" ref="F216">IFERROR(IF(INDEX(Data!$E$2:$E$750,SMALL(Data!$S$2:$S$750,110))=0,"",INDEX(Data!$E$2:$E$750,SMALL(Data!$S$2:$S$750,110))),"")</f>
        <v>5554</v>
      </c>
      <c r="G216" s="57">
        <f t="array" ref="G216">IFERROR(INDEX(Data!$F$2:$F$750,SMALL(Data!$S$2:$S$750,110)),"")</f>
        <v>5554</v>
      </c>
      <c r="H216" s="58">
        <f t="array" ref="H216">IFERROR(IF(INDEX(Data!$G$2:$G$750,SMALL(Data!$S$2:$S$750,110))=0,"",INDEX(Data!$G$2:$G$750,SMALL(Data!$S$2:$S$750,110))),"")</f>
        <v>46253</v>
      </c>
      <c r="I216" s="56">
        <f t="array" ref="I216">IFERROR(IF(INDEX(Data!$H$2:$H$750,SMALL(Data!$S$2:$S$750,110))=0,"",INDEX(Data!$H$2:$H$750,SMALL(Data!$S$2:$S$750,110))),"")</f>
        <v>21</v>
      </c>
      <c r="J216" s="58">
        <f t="array" ref="J216">IFERROR(INDEX(Data!$I$2:$I$750,SMALL(Data!$S$2:$S$750,110)),"")</f>
        <v>46400</v>
      </c>
      <c r="K216" s="56" t="str">
        <f t="array" ref="K216">IFERROR(INDEX(Data!$J$2:$J$750,SMALL(Data!$S$2:$S$750,110)),"")</f>
        <v>Not Paid</v>
      </c>
      <c r="L216" s="56" t="str">
        <f t="array" ref="L216">IFERROR(INDEX(Data!$K$2:$K$750,SMALL(Data!$S$2:$S$750,110)),"")</f>
        <v>Pending</v>
      </c>
      <c r="M216" s="48" t="s">
        <v>616</v>
      </c>
      <c r="N216" s="48">
        <f>SUMIFS(Data!D2:D750,Data!C2:C750,M216,Data!N2:N750,1)</f>
        <v>2</v>
      </c>
    </row>
    <row r="217" ht="15.75" customHeight="1">
      <c r="B217" s="53" t="str">
        <f t="array" ref="B217">IFERROR(INDEX(Data!$A$2:$A$750,SMALL(Data!$S$2:$S$750,111)),"")</f>
        <v>Marbella</v>
      </c>
      <c r="C217" s="53" t="str">
        <f t="array" ref="C217">IFERROR(IF(INDEX(Data!$B$2:$B$750,SMALL(Data!$S$2:$S$750,111))=0,"",INDEX(Data!$B$2:$B$750,SMALL(Data!$S$2:$S$750,111))),"")</f>
        <v/>
      </c>
      <c r="D217" s="53" t="str">
        <f t="array" ref="D217">IFERROR(INDEX(Data!$C$2:$C$750,SMALL(Data!$S$2:$S$750,111)),"")</f>
        <v>Antenna</v>
      </c>
      <c r="E217" s="53">
        <f t="array" ref="E217">IFERROR(IF(INDEX(Data!$D$2:$D$750,SMALL(Data!$S$2:$S$750,111))=0,"",INDEX(Data!$D$2:$D$750,SMALL(Data!$S$2:$S$750,111))),"")</f>
        <v>1</v>
      </c>
      <c r="F217" s="54">
        <f t="array" ref="F217">IFERROR(IF(INDEX(Data!$E$2:$E$750,SMALL(Data!$S$2:$S$750,111))=0,"",INDEX(Data!$E$2:$E$750,SMALL(Data!$S$2:$S$750,111))),"")</f>
        <v>41</v>
      </c>
      <c r="G217" s="54">
        <f t="array" ref="G217">IFERROR(INDEX(Data!$F$2:$F$750,SMALL(Data!$S$2:$S$750,111)),"")</f>
        <v>41</v>
      </c>
      <c r="H217" s="55">
        <f t="array" ref="H217">IFERROR(IF(INDEX(Data!$G$2:$G$750,SMALL(Data!$S$2:$S$750,111))=0,"",INDEX(Data!$G$2:$G$750,SMALL(Data!$S$2:$S$750,111))),"")</f>
        <v>46254</v>
      </c>
      <c r="I217" s="53">
        <f t="array" ref="I217">IFERROR(IF(INDEX(Data!$H$2:$H$750,SMALL(Data!$S$2:$S$750,111))=0,"",INDEX(Data!$H$2:$H$750,SMALL(Data!$S$2:$S$750,111))),"")</f>
        <v>21</v>
      </c>
      <c r="J217" s="55">
        <f t="array" ref="J217">IFERROR(INDEX(Data!$I$2:$I$750,SMALL(Data!$S$2:$S$750,111)),"")</f>
        <v>46401</v>
      </c>
      <c r="K217" s="53" t="str">
        <f t="array" ref="K217">IFERROR(INDEX(Data!$J$2:$J$750,SMALL(Data!$S$2:$S$750,111)),"")</f>
        <v>Not Paid</v>
      </c>
      <c r="L217" s="53" t="str">
        <f t="array" ref="L217">IFERROR(INDEX(Data!$K$2:$K$750,SMALL(Data!$S$2:$S$750,111)),"")</f>
        <v>Pending</v>
      </c>
      <c r="M217" s="48" t="s">
        <v>166</v>
      </c>
      <c r="N217" s="48">
        <f>SUMIFS(Data!D2:D750,Data!C2:C750,M217,Data!N2:N750,1)</f>
        <v>2</v>
      </c>
    </row>
    <row r="218" ht="15.75" customHeight="1">
      <c r="B218" s="56" t="str">
        <f t="array" ref="B218">IFERROR(INDEX(Data!$A$2:$A$750,SMALL(Data!$S$2:$S$750,112)),"")</f>
        <v>Marbella</v>
      </c>
      <c r="C218" s="56" t="str">
        <f t="array" ref="C218">IFERROR(IF(INDEX(Data!$B$2:$B$750,SMALL(Data!$S$2:$S$750,112))=0,"",INDEX(Data!$B$2:$B$750,SMALL(Data!$S$2:$S$750,112))),"")</f>
        <v/>
      </c>
      <c r="D218" s="56" t="str">
        <f t="array" ref="D218">IFERROR(INDEX(Data!$C$2:$C$750,SMALL(Data!$S$2:$S$750,112)),"")</f>
        <v>Dest windshield tags- Blank</v>
      </c>
      <c r="E218" s="56">
        <f t="array" ref="E218">IFERROR(IF(INDEX(Data!$D$2:$D$750,SMALL(Data!$S$2:$S$750,112))=0,"",INDEX(Data!$D$2:$D$750,SMALL(Data!$S$2:$S$750,112))),"")</f>
        <v>100</v>
      </c>
      <c r="F218" s="57">
        <f t="array" ref="F218">IFERROR(IF(INDEX(Data!$E$2:$E$750,SMALL(Data!$S$2:$S$750,112))=0,"",INDEX(Data!$E$2:$E$750,SMALL(Data!$S$2:$S$750,112))),"")</f>
        <v>231</v>
      </c>
      <c r="G218" s="57">
        <f t="array" ref="G218">IFERROR(INDEX(Data!$F$2:$F$750,SMALL(Data!$S$2:$S$750,112)),"")</f>
        <v>23100</v>
      </c>
      <c r="H218" s="58">
        <f t="array" ref="H218">IFERROR(IF(INDEX(Data!$G$2:$G$750,SMALL(Data!$S$2:$S$750,112))=0,"",INDEX(Data!$G$2:$G$750,SMALL(Data!$S$2:$S$750,112))),"")</f>
        <v>46255</v>
      </c>
      <c r="I218" s="56">
        <f t="array" ref="I218">IFERROR(IF(INDEX(Data!$H$2:$H$750,SMALL(Data!$S$2:$S$750,112))=0,"",INDEX(Data!$H$2:$H$750,SMALL(Data!$S$2:$S$750,112))),"")</f>
        <v>14</v>
      </c>
      <c r="J218" s="58">
        <f t="array" ref="J218">IFERROR(INDEX(Data!$I$2:$I$750,SMALL(Data!$S$2:$S$750,112)),"")</f>
        <v>46353</v>
      </c>
      <c r="K218" s="56" t="str">
        <f t="array" ref="K218">IFERROR(INDEX(Data!$J$2:$J$750,SMALL(Data!$S$2:$S$750,112)),"")</f>
        <v>Not Paid</v>
      </c>
      <c r="L218" s="56" t="str">
        <f t="array" ref="L218">IFERROR(INDEX(Data!$K$2:$K$750,SMALL(Data!$S$2:$S$750,112)),"")</f>
        <v>Pending</v>
      </c>
      <c r="M218" s="48" t="s">
        <v>618</v>
      </c>
      <c r="N218" s="48">
        <f>SUMIFS(Data!D2:D750,Data!C2:C750,M218,Data!N2:N750,1)</f>
        <v>2</v>
      </c>
    </row>
    <row r="219" ht="15.75" customHeight="1">
      <c r="B219" s="53" t="str">
        <f t="array" ref="B219">IFERROR(INDEX(Data!$A$2:$A$750,SMALL(Data!$S$2:$S$750,113)),"")</f>
        <v>El-Shorouk</v>
      </c>
      <c r="C219" s="53" t="str">
        <f t="array" ref="C219">IFERROR(IF(INDEX(Data!$B$2:$B$750,SMALL(Data!$S$2:$S$750,113))=0,"",INDEX(Data!$B$2:$B$750,SMALL(Data!$S$2:$S$750,113))),"")</f>
        <v/>
      </c>
      <c r="D219" s="53" t="str">
        <f t="array" ref="D219">IFERROR(INDEX(Data!$C$2:$C$750,SMALL(Data!$S$2:$S$750,113)),"")</f>
        <v>Cleaning Kit- Smart 1</v>
      </c>
      <c r="E219" s="53">
        <f t="array" ref="E219">IFERROR(IF(INDEX(Data!$D$2:$D$750,SMALL(Data!$S$2:$S$750,113))=0,"",INDEX(Data!$D$2:$D$750,SMALL(Data!$S$2:$S$750,113))),"")</f>
        <v>1</v>
      </c>
      <c r="F219" s="54">
        <f t="array" ref="F219">IFERROR(IF(INDEX(Data!$E$2:$E$750,SMALL(Data!$S$2:$S$750,113))=0,"",INDEX(Data!$E$2:$E$750,SMALL(Data!$S$2:$S$750,113))),"")</f>
        <v>25</v>
      </c>
      <c r="G219" s="54">
        <f t="array" ref="G219">IFERROR(INDEX(Data!$F$2:$F$750,SMALL(Data!$S$2:$S$750,113)),"")</f>
        <v>25</v>
      </c>
      <c r="H219" s="55">
        <f t="array" ref="H219">IFERROR(IF(INDEX(Data!$G$2:$G$750,SMALL(Data!$S$2:$S$750,113))=0,"",INDEX(Data!$G$2:$G$750,SMALL(Data!$S$2:$S$750,113))),"")</f>
        <v>46256</v>
      </c>
      <c r="I219" s="53">
        <f t="array" ref="I219">IFERROR(IF(INDEX(Data!$H$2:$H$750,SMALL(Data!$S$2:$S$750,113))=0,"",INDEX(Data!$H$2:$H$750,SMALL(Data!$S$2:$S$750,113))),"")</f>
        <v>14</v>
      </c>
      <c r="J219" s="55">
        <f t="array" ref="J219">IFERROR(INDEX(Data!$I$2:$I$750,SMALL(Data!$S$2:$S$750,113)),"")</f>
        <v>46354</v>
      </c>
      <c r="K219" s="53" t="str">
        <f t="array" ref="K219">IFERROR(INDEX(Data!$J$2:$J$750,SMALL(Data!$S$2:$S$750,113)),"")</f>
        <v>Not Paid</v>
      </c>
      <c r="L219" s="53" t="str">
        <f t="array" ref="L219">IFERROR(INDEX(Data!$K$2:$K$750,SMALL(Data!$S$2:$S$750,113)),"")</f>
        <v>Pending</v>
      </c>
      <c r="M219" s="48" t="s">
        <v>217</v>
      </c>
      <c r="N219" s="48">
        <f>SUMIFS(Data!D2:D750,Data!C2:C750,M219,Data!N2:N750,1)</f>
        <v>1</v>
      </c>
    </row>
    <row r="220" ht="15.75" customHeight="1">
      <c r="B220" s="56" t="str">
        <f t="array" ref="B220">IFERROR(INDEX(Data!$A$2:$A$750,SMALL(Data!$S$2:$S$750,114)),"")</f>
        <v>Diamond Palace</v>
      </c>
      <c r="C220" s="56" t="str">
        <f t="array" ref="C220">IFERROR(IF(INDEX(Data!$B$2:$B$750,SMALL(Data!$S$2:$S$750,114))=0,"",INDEX(Data!$B$2:$B$750,SMALL(Data!$S$2:$S$750,114))),"")</f>
        <v/>
      </c>
      <c r="D220" s="56" t="str">
        <f t="array" ref="D220">IFERROR(INDEX(Data!$C$2:$C$750,SMALL(Data!$S$2:$S$750,114)),"")</f>
        <v>Jewelry tags</v>
      </c>
      <c r="E220" s="56">
        <f t="array" ref="E220">IFERROR(IF(INDEX(Data!$D$2:$D$750,SMALL(Data!$S$2:$S$750,114))=0,"",INDEX(Data!$D$2:$D$750,SMALL(Data!$S$2:$S$750,114))),"")</f>
        <v>5000</v>
      </c>
      <c r="F220" s="57">
        <f t="array" ref="F220">IFERROR(IF(INDEX(Data!$E$2:$E$750,SMALL(Data!$S$2:$S$750,114))=0,"",INDEX(Data!$E$2:$E$750,SMALL(Data!$S$2:$S$750,114))),"")</f>
        <v>245</v>
      </c>
      <c r="G220" s="57">
        <f t="array" ref="G220">IFERROR(INDEX(Data!$F$2:$F$750,SMALL(Data!$S$2:$S$750,114)),"")</f>
        <v>1225000</v>
      </c>
      <c r="H220" s="58">
        <f t="array" ref="H220">IFERROR(IF(INDEX(Data!$G$2:$G$750,SMALL(Data!$S$2:$S$750,114))=0,"",INDEX(Data!$G$2:$G$750,SMALL(Data!$S$2:$S$750,114))),"")</f>
        <v>46257</v>
      </c>
      <c r="I220" s="56">
        <f t="array" ref="I220">IFERROR(IF(INDEX(Data!$H$2:$H$750,SMALL(Data!$S$2:$S$750,114))=0,"",INDEX(Data!$H$2:$H$750,SMALL(Data!$S$2:$S$750,114))),"")</f>
        <v>12</v>
      </c>
      <c r="J220" s="58">
        <f t="array" ref="J220">IFERROR(INDEX(Data!$I$2:$I$750,SMALL(Data!$S$2:$S$750,114)),"")</f>
        <v>46341</v>
      </c>
      <c r="K220" s="56" t="str">
        <f t="array" ref="K220">IFERROR(INDEX(Data!$J$2:$J$750,SMALL(Data!$S$2:$S$750,114)),"")</f>
        <v>Not Paid</v>
      </c>
      <c r="L220" s="56" t="str">
        <f t="array" ref="L220">IFERROR(INDEX(Data!$K$2:$K$750,SMALL(Data!$S$2:$S$750,114)),"")</f>
        <v>Pending</v>
      </c>
      <c r="M220" s="48" t="s">
        <v>508</v>
      </c>
      <c r="N220" s="48">
        <f>SUMIFS(Data!D2:D750,Data!C2:C750,M220,Data!N2:N750,1)</f>
        <v>1</v>
      </c>
    </row>
    <row r="221" ht="15.75" customHeight="1">
      <c r="B221" s="53" t="str">
        <f t="array" ref="B221">IFERROR(INDEX(Data!$A$2:$A$750,SMALL(Data!$S$2:$S$750,115)),"")</f>
        <v>Diamond Palace</v>
      </c>
      <c r="C221" s="53" t="str">
        <f t="array" ref="C221">IFERROR(IF(INDEX(Data!$B$2:$B$750,SMALL(Data!$S$2:$S$750,115))=0,"",INDEX(Data!$B$2:$B$750,SMALL(Data!$S$2:$S$750,115))),"")</f>
        <v/>
      </c>
      <c r="D221" s="53" t="str">
        <f t="array" ref="D221">IFERROR(INDEX(Data!$C$2:$C$750,SMALL(Data!$S$2:$S$750,115)),"")</f>
        <v>Ribbons</v>
      </c>
      <c r="E221" s="53">
        <f t="array" ref="E221">IFERROR(IF(INDEX(Data!$D$2:$D$750,SMALL(Data!$S$2:$S$750,115))=0,"",INDEX(Data!$D$2:$D$750,SMALL(Data!$S$2:$S$750,115))),"")</f>
        <v>2</v>
      </c>
      <c r="F221" s="54">
        <f t="array" ref="F221">IFERROR(IF(INDEX(Data!$E$2:$E$750,SMALL(Data!$S$2:$S$750,115))=0,"",INDEX(Data!$E$2:$E$750,SMALL(Data!$S$2:$S$750,115))),"")</f>
        <v>2555</v>
      </c>
      <c r="G221" s="54">
        <f t="array" ref="G221">IFERROR(INDEX(Data!$F$2:$F$750,SMALL(Data!$S$2:$S$750,115)),"")</f>
        <v>5110</v>
      </c>
      <c r="H221" s="55">
        <f t="array" ref="H221">IFERROR(IF(INDEX(Data!$G$2:$G$750,SMALL(Data!$S$2:$S$750,115))=0,"",INDEX(Data!$G$2:$G$750,SMALL(Data!$S$2:$S$750,115))),"")</f>
        <v>46258</v>
      </c>
      <c r="I221" s="53">
        <f t="array" ref="I221">IFERROR(IF(INDEX(Data!$H$2:$H$750,SMALL(Data!$S$2:$S$750,115))=0,"",INDEX(Data!$H$2:$H$750,SMALL(Data!$S$2:$S$750,115))),"")</f>
        <v>11</v>
      </c>
      <c r="J221" s="55">
        <f t="array" ref="J221">IFERROR(INDEX(Data!$I$2:$I$750,SMALL(Data!$S$2:$S$750,115)),"")</f>
        <v>46335</v>
      </c>
      <c r="K221" s="53" t="str">
        <f t="array" ref="K221">IFERROR(INDEX(Data!$J$2:$J$750,SMALL(Data!$S$2:$S$750,115)),"")</f>
        <v>Not Paid</v>
      </c>
      <c r="L221" s="53" t="str">
        <f t="array" ref="L221">IFERROR(INDEX(Data!$K$2:$K$750,SMALL(Data!$S$2:$S$750,115)),"")</f>
        <v>Pending</v>
      </c>
      <c r="M221" s="48" t="s">
        <v>195</v>
      </c>
      <c r="N221" s="48">
        <f>SUMIFS(Data!D2:D750,Data!C2:C750,M221,Data!N2:N750,1)</f>
        <v>2</v>
      </c>
    </row>
    <row r="222" ht="15.75" customHeight="1">
      <c r="B222" s="56" t="str">
        <f t="array" ref="B222">IFERROR(INDEX(Data!$A$2:$A$750,SMALL(Data!$S$2:$S$750,116)),"")</f>
        <v>Dreamland</v>
      </c>
      <c r="C222" s="56" t="str">
        <f t="array" ref="C222">IFERROR(IF(INDEX(Data!$B$2:$B$750,SMALL(Data!$S$2:$S$750,116))=0,"",INDEX(Data!$B$2:$B$750,SMALL(Data!$S$2:$S$750,116))),"")</f>
        <v/>
      </c>
      <c r="D222" s="56" t="str">
        <f t="array" ref="D222">IFERROR(INDEX(Data!$C$2:$C$750,SMALL(Data!$S$2:$S$750,116)),"")</f>
        <v>LRU1002</v>
      </c>
      <c r="E222" s="56">
        <f t="array" ref="E222">IFERROR(IF(INDEX(Data!$D$2:$D$750,SMALL(Data!$S$2:$S$750,116))=0,"",INDEX(Data!$D$2:$D$750,SMALL(Data!$S$2:$S$750,116))),"")</f>
        <v>1</v>
      </c>
      <c r="F222" s="57">
        <f t="array" ref="F222">IFERROR(IF(INDEX(Data!$E$2:$E$750,SMALL(Data!$S$2:$S$750,116))=0,"",INDEX(Data!$E$2:$E$750,SMALL(Data!$S$2:$S$750,116))),"")</f>
        <v>255</v>
      </c>
      <c r="G222" s="57">
        <f t="array" ref="G222">IFERROR(INDEX(Data!$F$2:$F$750,SMALL(Data!$S$2:$S$750,116)),"")</f>
        <v>255</v>
      </c>
      <c r="H222" s="58">
        <f t="array" ref="H222">IFERROR(IF(INDEX(Data!$G$2:$G$750,SMALL(Data!$S$2:$S$750,116))=0,"",INDEX(Data!$G$2:$G$750,SMALL(Data!$S$2:$S$750,116))),"")</f>
        <v>46259</v>
      </c>
      <c r="I222" s="56">
        <f t="array" ref="I222">IFERROR(IF(INDEX(Data!$H$2:$H$750,SMALL(Data!$S$2:$S$750,116))=0,"",INDEX(Data!$H$2:$H$750,SMALL(Data!$S$2:$S$750,116))),"")</f>
        <v>15</v>
      </c>
      <c r="J222" s="58">
        <f t="array" ref="J222">IFERROR(INDEX(Data!$I$2:$I$750,SMALL(Data!$S$2:$S$750,116)),"")</f>
        <v>46364</v>
      </c>
      <c r="K222" s="56" t="str">
        <f t="array" ref="K222">IFERROR(INDEX(Data!$J$2:$J$750,SMALL(Data!$S$2:$S$750,116)),"")</f>
        <v>Not Paid</v>
      </c>
      <c r="L222" s="56" t="str">
        <f t="array" ref="L222">IFERROR(INDEX(Data!$K$2:$K$750,SMALL(Data!$S$2:$S$750,116)),"")</f>
        <v>Completed</v>
      </c>
      <c r="M222" s="48" t="s">
        <v>560</v>
      </c>
      <c r="N222" s="48">
        <f>SUMIFS(Data!D2:D750,Data!C2:C750,M222,Data!N2:N750,1)</f>
        <v>1</v>
      </c>
    </row>
    <row r="223" ht="15.75" customHeight="1">
      <c r="B223" s="53" t="str">
        <f t="array" ref="B223">IFERROR(INDEX(Data!$A$2:$A$750,SMALL(Data!$S$2:$S$750,117)),"")</f>
        <v>Maraqia</v>
      </c>
      <c r="C223" s="53" t="str">
        <f t="array" ref="C223">IFERROR(IF(INDEX(Data!$B$2:$B$750,SMALL(Data!$S$2:$S$750,117))=0,"",INDEX(Data!$B$2:$B$750,SMALL(Data!$S$2:$S$750,117))),"")</f>
        <v/>
      </c>
      <c r="D223" s="53" t="str">
        <f t="array" ref="D223">IFERROR(INDEX(Data!$C$2:$C$750,SMALL(Data!$S$2:$S$750,117)),"")</f>
        <v>Mini web tags</v>
      </c>
      <c r="E223" s="53">
        <f t="array" ref="E223">IFERROR(IF(INDEX(Data!$D$2:$D$750,SMALL(Data!$S$2:$S$750,117))=0,"",INDEX(Data!$D$2:$D$750,SMALL(Data!$S$2:$S$750,117))),"")</f>
        <v>2000</v>
      </c>
      <c r="F223" s="54">
        <f t="array" ref="F223">IFERROR(IF(INDEX(Data!$E$2:$E$750,SMALL(Data!$S$2:$S$750,117))=0,"",INDEX(Data!$E$2:$E$750,SMALL(Data!$S$2:$S$750,117))),"")</f>
        <v>45</v>
      </c>
      <c r="G223" s="54">
        <f t="array" ref="G223">IFERROR(INDEX(Data!$F$2:$F$750,SMALL(Data!$S$2:$S$750,117)),"")</f>
        <v>90000</v>
      </c>
      <c r="H223" s="55">
        <f t="array" ref="H223">IFERROR(IF(INDEX(Data!$G$2:$G$750,SMALL(Data!$S$2:$S$750,117))=0,"",INDEX(Data!$G$2:$G$750,SMALL(Data!$S$2:$S$750,117))),"")</f>
        <v>46260</v>
      </c>
      <c r="I223" s="53">
        <f t="array" ref="I223">IFERROR(IF(INDEX(Data!$H$2:$H$750,SMALL(Data!$S$2:$S$750,117))=0,"",INDEX(Data!$H$2:$H$750,SMALL(Data!$S$2:$S$750,117))),"")</f>
        <v>12</v>
      </c>
      <c r="J223" s="55">
        <f t="array" ref="J223">IFERROR(INDEX(Data!$I$2:$I$750,SMALL(Data!$S$2:$S$750,117)),"")</f>
        <v>46344</v>
      </c>
      <c r="K223" s="53" t="str">
        <f t="array" ref="K223">IFERROR(INDEX(Data!$J$2:$J$750,SMALL(Data!$S$2:$S$750,117)),"")</f>
        <v>Not Paid</v>
      </c>
      <c r="L223" s="53" t="str">
        <f t="array" ref="L223">IFERROR(INDEX(Data!$K$2:$K$750,SMALL(Data!$S$2:$S$750,117)),"")</f>
        <v>Pending</v>
      </c>
      <c r="M223" s="48" t="s">
        <v>365</v>
      </c>
      <c r="N223" s="48">
        <f>SUMIFS(Data!D2:D750,Data!C2:C750,M223,Data!N2:N750,1)</f>
        <v>1</v>
      </c>
    </row>
    <row r="224" ht="15.75" customHeight="1">
      <c r="B224" s="56" t="str">
        <f t="array" ref="B224">IFERROR(INDEX(Data!$A$2:$A$750,SMALL(Data!$S$2:$S$750,118)),"")</f>
        <v>July</v>
      </c>
      <c r="C224" s="56" t="str">
        <f t="array" ref="C224">IFERROR(IF(INDEX(Data!$B$2:$B$750,SMALL(Data!$S$2:$S$750,118))=0,"",INDEX(Data!$B$2:$B$750,SMALL(Data!$S$2:$S$750,118))),"")</f>
        <v/>
      </c>
      <c r="D224" s="56" t="str">
        <f t="array" ref="D224">IFERROR(INDEX(Data!$C$2:$C$750,SMALL(Data!$S$2:$S$750,118)),"")</f>
        <v/>
      </c>
      <c r="E224" s="56" t="str">
        <f t="array" ref="E224">IFERROR(IF(INDEX(Data!$D$2:$D$750,SMALL(Data!$S$2:$S$750,118))=0,"",INDEX(Data!$D$2:$D$750,SMALL(Data!$S$2:$S$750,118))),"")</f>
        <v/>
      </c>
      <c r="F224" s="57">
        <f t="array" ref="F224">IFERROR(IF(INDEX(Data!$E$2:$E$750,SMALL(Data!$S$2:$S$750,118))=0,"",INDEX(Data!$E$2:$E$750,SMALL(Data!$S$2:$S$750,118))),"")</f>
        <v>36</v>
      </c>
      <c r="G224" s="57">
        <f t="array" ref="G224">IFERROR(INDEX(Data!$F$2:$F$750,SMALL(Data!$S$2:$S$750,118)),"")</f>
        <v>0</v>
      </c>
      <c r="H224" s="58">
        <f t="array" ref="H224">IFERROR(IF(INDEX(Data!$G$2:$G$750,SMALL(Data!$S$2:$S$750,118))=0,"",INDEX(Data!$G$2:$G$750,SMALL(Data!$S$2:$S$750,118))),"")</f>
        <v>46261</v>
      </c>
      <c r="I224" s="56">
        <f t="array" ref="I224">IFERROR(IF(INDEX(Data!$H$2:$H$750,SMALL(Data!$S$2:$S$750,118))=0,"",INDEX(Data!$H$2:$H$750,SMALL(Data!$S$2:$S$750,118))),"")</f>
        <v>13</v>
      </c>
      <c r="J224" s="58">
        <f t="array" ref="J224">IFERROR(INDEX(Data!$I$2:$I$750,SMALL(Data!$S$2:$S$750,118)),"")</f>
        <v>46352</v>
      </c>
      <c r="K224" s="56" t="str">
        <f t="array" ref="K224">IFERROR(INDEX(Data!$J$2:$J$750,SMALL(Data!$S$2:$S$750,118)),"")</f>
        <v>Not Paid</v>
      </c>
      <c r="L224" s="56" t="str">
        <f t="array" ref="L224">IFERROR(INDEX(Data!$K$2:$K$750,SMALL(Data!$S$2:$S$750,118)),"")</f>
        <v>In Progress</v>
      </c>
      <c r="M224" s="48" t="s">
        <v>623</v>
      </c>
      <c r="N224" s="48">
        <f>SUMIFS(Data!D2:D750,Data!C2:C750,M224,Data!N2:N750,1)</f>
        <v>20</v>
      </c>
    </row>
    <row r="225" ht="15.75" customHeight="1">
      <c r="B225" s="53" t="str">
        <f t="array" ref="B225">IFERROR(INDEX(Data!$A$2:$A$750,SMALL(Data!$S$2:$S$750,119)),"")</f>
        <v>DANLESCO</v>
      </c>
      <c r="C225" s="53" t="str">
        <f t="array" ref="C225">IFERROR(IF(INDEX(Data!$B$2:$B$750,SMALL(Data!$S$2:$S$750,119))=0,"",INDEX(Data!$B$2:$B$750,SMALL(Data!$S$2:$S$750,119))),"")</f>
        <v/>
      </c>
      <c r="D225" s="53" t="str">
        <f t="array" ref="D225">IFERROR(INDEX(Data!$C$2:$C$750,SMALL(Data!$S$2:$S$750,119)),"")</f>
        <v>LF Cards blank- serial</v>
      </c>
      <c r="E225" s="53">
        <f t="array" ref="E225">IFERROR(IF(INDEX(Data!$D$2:$D$750,SMALL(Data!$S$2:$S$750,119))=0,"",INDEX(Data!$D$2:$D$750,SMALL(Data!$S$2:$S$750,119))),"")</f>
        <v>300</v>
      </c>
      <c r="F225" s="54">
        <f t="array" ref="F225">IFERROR(IF(INDEX(Data!$E$2:$E$750,SMALL(Data!$S$2:$S$750,119))=0,"",INDEX(Data!$E$2:$E$750,SMALL(Data!$S$2:$S$750,119))),"")</f>
        <v>96</v>
      </c>
      <c r="G225" s="54">
        <f t="array" ref="G225">IFERROR(INDEX(Data!$F$2:$F$750,SMALL(Data!$S$2:$S$750,119)),"")</f>
        <v>28800</v>
      </c>
      <c r="H225" s="55">
        <f t="array" ref="H225">IFERROR(IF(INDEX(Data!$G$2:$G$750,SMALL(Data!$S$2:$S$750,119))=0,"",INDEX(Data!$G$2:$G$750,SMALL(Data!$S$2:$S$750,119))),"")</f>
        <v>46262</v>
      </c>
      <c r="I225" s="53">
        <f t="array" ref="I225">IFERROR(IF(INDEX(Data!$H$2:$H$750,SMALL(Data!$S$2:$S$750,119))=0,"",INDEX(Data!$H$2:$H$750,SMALL(Data!$S$2:$S$750,119))),"")</f>
        <v>11</v>
      </c>
      <c r="J225" s="55">
        <f t="array" ref="J225">IFERROR(INDEX(Data!$I$2:$I$750,SMALL(Data!$S$2:$S$750,119)),"")</f>
        <v>46339</v>
      </c>
      <c r="K225" s="53" t="str">
        <f t="array" ref="K225">IFERROR(INDEX(Data!$J$2:$J$750,SMALL(Data!$S$2:$S$750,119)),"")</f>
        <v>Not Paid</v>
      </c>
      <c r="L225" s="53" t="str">
        <f t="array" ref="L225">IFERROR(INDEX(Data!$K$2:$K$750,SMALL(Data!$S$2:$S$750,119)),"")</f>
        <v>Completed</v>
      </c>
      <c r="M225" s="48" t="s">
        <v>586</v>
      </c>
      <c r="N225" s="48">
        <f>SUMIFS(Data!D2:D750,Data!C2:C750,M225,Data!N2:N750,1)</f>
        <v>1</v>
      </c>
    </row>
    <row r="226" ht="15.75" customHeight="1">
      <c r="B226" s="56" t="str">
        <f t="array" ref="B226">IFERROR(INDEX(Data!$A$2:$A$750,SMALL(Data!$S$2:$S$750,120)),"")</f>
        <v>Marina</v>
      </c>
      <c r="C226" s="56" t="str">
        <f t="array" ref="C226">IFERROR(IF(INDEX(Data!$B$2:$B$750,SMALL(Data!$S$2:$S$750,120))=0,"",INDEX(Data!$B$2:$B$750,SMALL(Data!$S$2:$S$750,120))),"")</f>
        <v/>
      </c>
      <c r="D226" s="56" t="str">
        <f t="array" ref="D226">IFERROR(INDEX(Data!$C$2:$C$750,SMALL(Data!$S$2:$S$750,120)),"")</f>
        <v>UHF Cards- one side printed</v>
      </c>
      <c r="E226" s="56">
        <f t="array" ref="E226">IFERROR(IF(INDEX(Data!$D$2:$D$750,SMALL(Data!$S$2:$S$750,120))=0,"",INDEX(Data!$D$2:$D$750,SMALL(Data!$S$2:$S$750,120))),"")</f>
        <v>300</v>
      </c>
      <c r="F226" s="57">
        <f t="array" ref="F226">IFERROR(IF(INDEX(Data!$E$2:$E$750,SMALL(Data!$S$2:$S$750,120))=0,"",INDEX(Data!$E$2:$E$750,SMALL(Data!$S$2:$S$750,120))),"")</f>
        <v>8</v>
      </c>
      <c r="G226" s="57">
        <f t="array" ref="G226">IFERROR(INDEX(Data!$F$2:$F$750,SMALL(Data!$S$2:$S$750,120)),"")</f>
        <v>2400</v>
      </c>
      <c r="H226" s="58">
        <f t="array" ref="H226">IFERROR(IF(INDEX(Data!$G$2:$G$750,SMALL(Data!$S$2:$S$750,120))=0,"",INDEX(Data!$G$2:$G$750,SMALL(Data!$S$2:$S$750,120))),"")</f>
        <v>46263</v>
      </c>
      <c r="I226" s="56">
        <f t="array" ref="I226">IFERROR(IF(INDEX(Data!$H$2:$H$750,SMALL(Data!$S$2:$S$750,120))=0,"",INDEX(Data!$H$2:$H$750,SMALL(Data!$S$2:$S$750,120))),"")</f>
        <v>11</v>
      </c>
      <c r="J226" s="58">
        <f t="array" ref="J226">IFERROR(INDEX(Data!$I$2:$I$750,SMALL(Data!$S$2:$S$750,120)),"")</f>
        <v>46340</v>
      </c>
      <c r="K226" s="56" t="str">
        <f t="array" ref="K226">IFERROR(INDEX(Data!$J$2:$J$750,SMALL(Data!$S$2:$S$750,120)),"")</f>
        <v>Not Paid</v>
      </c>
      <c r="L226" s="56" t="str">
        <f t="array" ref="L226">IFERROR(INDEX(Data!$K$2:$K$750,SMALL(Data!$S$2:$S$750,120)),"")</f>
        <v>Delayed</v>
      </c>
      <c r="M226" s="48" t="s">
        <v>625</v>
      </c>
      <c r="N226" s="48">
        <f>SUMIFS(Data!D2:D750,Data!C2:C750,M226,Data!N2:N750,1)</f>
        <v>1</v>
      </c>
    </row>
    <row r="227" ht="15.75" customHeight="1">
      <c r="B227" s="53" t="str">
        <f t="array" ref="B227">IFERROR(INDEX(Data!$A$2:$A$750,SMALL(Data!$S$2:$S$750,121)),"")</f>
        <v>Al Borouj</v>
      </c>
      <c r="C227" s="53" t="str">
        <f t="array" ref="C227">IFERROR(IF(INDEX(Data!$B$2:$B$750,SMALL(Data!$S$2:$S$750,121))=0,"",INDEX(Data!$B$2:$B$750,SMALL(Data!$S$2:$S$750,121))),"")</f>
        <v/>
      </c>
      <c r="D227" s="53" t="str">
        <f t="array" ref="D227">IFERROR(INDEX(Data!$C$2:$C$750,SMALL(Data!$S$2:$S$750,121)),"")</f>
        <v>LRU1002</v>
      </c>
      <c r="E227" s="53">
        <f t="array" ref="E227">IFERROR(IF(INDEX(Data!$D$2:$D$750,SMALL(Data!$S$2:$S$750,121))=0,"",INDEX(Data!$D$2:$D$750,SMALL(Data!$S$2:$S$750,121))),"")</f>
        <v>2</v>
      </c>
      <c r="F227" s="54">
        <f t="array" ref="F227">IFERROR(IF(INDEX(Data!$E$2:$E$750,SMALL(Data!$S$2:$S$750,121))=0,"",INDEX(Data!$E$2:$E$750,SMALL(Data!$S$2:$S$750,121))),"")</f>
        <v>5</v>
      </c>
      <c r="G227" s="54">
        <f t="array" ref="G227">IFERROR(INDEX(Data!$F$2:$F$750,SMALL(Data!$S$2:$S$750,121)),"")</f>
        <v>10</v>
      </c>
      <c r="H227" s="55">
        <f t="array" ref="H227">IFERROR(IF(INDEX(Data!$G$2:$G$750,SMALL(Data!$S$2:$S$750,121))=0,"",INDEX(Data!$G$2:$G$750,SMALL(Data!$S$2:$S$750,121))),"")</f>
        <v>46264</v>
      </c>
      <c r="I227" s="53">
        <f t="array" ref="I227">IFERROR(IF(INDEX(Data!$H$2:$H$750,SMALL(Data!$S$2:$S$750,121))=0,"",INDEX(Data!$H$2:$H$750,SMALL(Data!$S$2:$S$750,121))),"")</f>
        <v>12</v>
      </c>
      <c r="J227" s="55">
        <f t="array" ref="J227">IFERROR(INDEX(Data!$I$2:$I$750,SMALL(Data!$S$2:$S$750,121)),"")</f>
        <v>46348</v>
      </c>
      <c r="K227" s="53" t="str">
        <f t="array" ref="K227">IFERROR(INDEX(Data!$J$2:$J$750,SMALL(Data!$S$2:$S$750,121)),"")</f>
        <v>Not Paid</v>
      </c>
      <c r="L227" s="53" t="str">
        <f t="array" ref="L227">IFERROR(INDEX(Data!$K$2:$K$750,SMALL(Data!$S$2:$S$750,121)),"")</f>
        <v>Pending</v>
      </c>
      <c r="M227" s="48" t="s">
        <v>626</v>
      </c>
      <c r="N227" s="48">
        <f>SUMIFS(Data!D2:D750,Data!C2:C750,M227,Data!N2:N750,1)</f>
        <v>1</v>
      </c>
    </row>
    <row r="228" ht="15.75" customHeight="1">
      <c r="B228" s="56" t="str">
        <f t="array" ref="B228">IFERROR(INDEX(Data!$A$2:$A$750,SMALL(Data!$S$2:$S$750,122)),"")</f>
        <v>Al Borouj</v>
      </c>
      <c r="C228" s="56" t="str">
        <f t="array" ref="C228">IFERROR(IF(INDEX(Data!$B$2:$B$750,SMALL(Data!$S$2:$S$750,122))=0,"",INDEX(Data!$B$2:$B$750,SMALL(Data!$S$2:$S$750,122))),"")</f>
        <v/>
      </c>
      <c r="D228" s="56" t="str">
        <f t="array" ref="D228">IFERROR(INDEX(Data!$C$2:$C$750,SMALL(Data!$S$2:$S$750,122)),"")</f>
        <v>Antenna</v>
      </c>
      <c r="E228" s="56">
        <f t="array" ref="E228">IFERROR(IF(INDEX(Data!$D$2:$D$750,SMALL(Data!$S$2:$S$750,122))=0,"",INDEX(Data!$D$2:$D$750,SMALL(Data!$S$2:$S$750,122))),"")</f>
        <v>4</v>
      </c>
      <c r="F228" s="57">
        <f t="array" ref="F228">IFERROR(IF(INDEX(Data!$E$2:$E$750,SMALL(Data!$S$2:$S$750,122))=0,"",INDEX(Data!$E$2:$E$750,SMALL(Data!$S$2:$S$750,122))),"")</f>
        <v>4</v>
      </c>
      <c r="G228" s="57">
        <f t="array" ref="G228">IFERROR(INDEX(Data!$F$2:$F$750,SMALL(Data!$S$2:$S$750,122)),"")</f>
        <v>16</v>
      </c>
      <c r="H228" s="58">
        <f t="array" ref="H228">IFERROR(IF(INDEX(Data!$G$2:$G$750,SMALL(Data!$S$2:$S$750,122))=0,"",INDEX(Data!$G$2:$G$750,SMALL(Data!$S$2:$S$750,122))),"")</f>
        <v>46265</v>
      </c>
      <c r="I228" s="56">
        <f t="array" ref="I228">IFERROR(IF(INDEX(Data!$H$2:$H$750,SMALL(Data!$S$2:$S$750,122))=0,"",INDEX(Data!$H$2:$H$750,SMALL(Data!$S$2:$S$750,122))),"")</f>
        <v>16</v>
      </c>
      <c r="J228" s="58">
        <f t="array" ref="J228">IFERROR(INDEX(Data!$I$2:$I$750,SMALL(Data!$S$2:$S$750,122)),"")</f>
        <v>46377</v>
      </c>
      <c r="K228" s="56" t="str">
        <f t="array" ref="K228">IFERROR(INDEX(Data!$J$2:$J$750,SMALL(Data!$S$2:$S$750,122)),"")</f>
        <v>Not Paid</v>
      </c>
      <c r="L228" s="56" t="str">
        <f t="array" ref="L228">IFERROR(INDEX(Data!$K$2:$K$750,SMALL(Data!$S$2:$S$750,122)),"")</f>
        <v>Completed</v>
      </c>
      <c r="M228" s="48" t="s">
        <v>627</v>
      </c>
      <c r="N228" s="48">
        <f>SUMIFS(Data!D2:D750,Data!C2:C750,M228,Data!N2:N750,1)</f>
        <v>1</v>
      </c>
    </row>
    <row r="229" ht="15.75" customHeight="1">
      <c r="B229" s="53" t="str">
        <f t="array" ref="B229">IFERROR(INDEX(Data!$A$2:$A$750,SMALL(Data!$S$2:$S$750,123)),"")</f>
        <v>Marina</v>
      </c>
      <c r="C229" s="53" t="str">
        <f t="array" ref="C229">IFERROR(IF(INDEX(Data!$B$2:$B$750,SMALL(Data!$S$2:$S$750,123))=0,"",INDEX(Data!$B$2:$B$750,SMALL(Data!$S$2:$S$750,123))),"")</f>
        <v/>
      </c>
      <c r="D229" s="53" t="str">
        <f t="array" ref="D229">IFERROR(INDEX(Data!$C$2:$C$750,SMALL(Data!$S$2:$S$750,123)),"")</f>
        <v>GDS410 with stand</v>
      </c>
      <c r="E229" s="53">
        <f t="array" ref="E229">IFERROR(IF(INDEX(Data!$D$2:$D$750,SMALL(Data!$S$2:$S$750,123))=0,"",INDEX(Data!$D$2:$D$750,SMALL(Data!$S$2:$S$750,123))),"")</f>
        <v>2</v>
      </c>
      <c r="F229" s="54">
        <f t="array" ref="F229">IFERROR(IF(INDEX(Data!$E$2:$E$750,SMALL(Data!$S$2:$S$750,123))=0,"",INDEX(Data!$E$2:$E$750,SMALL(Data!$S$2:$S$750,123))),"")</f>
        <v>2</v>
      </c>
      <c r="G229" s="54">
        <f t="array" ref="G229">IFERROR(INDEX(Data!$F$2:$F$750,SMALL(Data!$S$2:$S$750,123)),"")</f>
        <v>4</v>
      </c>
      <c r="H229" s="55">
        <f t="array" ref="H229">IFERROR(IF(INDEX(Data!$G$2:$G$750,SMALL(Data!$S$2:$S$750,123))=0,"",INDEX(Data!$G$2:$G$750,SMALL(Data!$S$2:$S$750,123))),"")</f>
        <v>46266</v>
      </c>
      <c r="I229" s="53">
        <f t="array" ref="I229">IFERROR(IF(INDEX(Data!$H$2:$H$750,SMALL(Data!$S$2:$S$750,123))=0,"",INDEX(Data!$H$2:$H$750,SMALL(Data!$S$2:$S$750,123))),"")</f>
        <v>17</v>
      </c>
      <c r="J229" s="55">
        <f t="array" ref="J229">IFERROR(INDEX(Data!$I$2:$I$750,SMALL(Data!$S$2:$S$750,123)),"")</f>
        <v>46385</v>
      </c>
      <c r="K229" s="53" t="str">
        <f t="array" ref="K229">IFERROR(INDEX(Data!$J$2:$J$750,SMALL(Data!$S$2:$S$750,123)),"")</f>
        <v>Not Paid</v>
      </c>
      <c r="L229" s="53" t="str">
        <f t="array" ref="L229">IFERROR(INDEX(Data!$K$2:$K$750,SMALL(Data!$S$2:$S$750,123)),"")</f>
        <v>Pending</v>
      </c>
      <c r="M229" s="48" t="s">
        <v>68</v>
      </c>
      <c r="N229" s="48">
        <f>SUMIFS(Data!D2:D750,Data!C2:C750,M229,Data!N2:N750,1)</f>
        <v>1</v>
      </c>
    </row>
    <row r="230" ht="15.75" customHeight="1">
      <c r="B230" s="56" t="str">
        <f t="array" ref="B230">IFERROR(INDEX(Data!$A$2:$A$750,SMALL(Data!$S$2:$S$750,124)),"")</f>
        <v>Marina</v>
      </c>
      <c r="C230" s="56" t="str">
        <f t="array" ref="C230">IFERROR(IF(INDEX(Data!$B$2:$B$750,SMALL(Data!$S$2:$S$750,124))=0,"",INDEX(Data!$B$2:$B$750,SMALL(Data!$S$2:$S$750,124))),"")</f>
        <v/>
      </c>
      <c r="D230" s="56" t="str">
        <f t="array" ref="D230">IFERROR(INDEX(Data!$C$2:$C$750,SMALL(Data!$S$2:$S$750,124)),"")</f>
        <v>LRU1002</v>
      </c>
      <c r="E230" s="56">
        <f t="array" ref="E230">IFERROR(IF(INDEX(Data!$D$2:$D$750,SMALL(Data!$S$2:$S$750,124))=0,"",INDEX(Data!$D$2:$D$750,SMALL(Data!$S$2:$S$750,124))),"")</f>
        <v>2</v>
      </c>
      <c r="F230" s="57">
        <f t="array" ref="F230">IFERROR(IF(INDEX(Data!$E$2:$E$750,SMALL(Data!$S$2:$S$750,124))=0,"",INDEX(Data!$E$2:$E$750,SMALL(Data!$S$2:$S$750,124))),"")</f>
        <v>36</v>
      </c>
      <c r="G230" s="57">
        <f t="array" ref="G230">IFERROR(INDEX(Data!$F$2:$F$750,SMALL(Data!$S$2:$S$750,124)),"")</f>
        <v>72</v>
      </c>
      <c r="H230" s="58">
        <f t="array" ref="H230">IFERROR(IF(INDEX(Data!$G$2:$G$750,SMALL(Data!$S$2:$S$750,124))=0,"",INDEX(Data!$G$2:$G$750,SMALL(Data!$S$2:$S$750,124))),"")</f>
        <v>46267</v>
      </c>
      <c r="I230" s="56">
        <f t="array" ref="I230">IFERROR(IF(INDEX(Data!$H$2:$H$750,SMALL(Data!$S$2:$S$750,124))=0,"",INDEX(Data!$H$2:$H$750,SMALL(Data!$S$2:$S$750,124))),"")</f>
        <v>16</v>
      </c>
      <c r="J230" s="58">
        <f t="array" ref="J230">IFERROR(INDEX(Data!$I$2:$I$750,SMALL(Data!$S$2:$S$750,124)),"")</f>
        <v>46379</v>
      </c>
      <c r="K230" s="56" t="str">
        <f t="array" ref="K230">IFERROR(INDEX(Data!$J$2:$J$750,SMALL(Data!$S$2:$S$750,124)),"")</f>
        <v>Not Paid</v>
      </c>
      <c r="L230" s="56" t="str">
        <f t="array" ref="L230">IFERROR(INDEX(Data!$K$2:$K$750,SMALL(Data!$S$2:$S$750,124)),"")</f>
        <v>In Progress</v>
      </c>
      <c r="M230" s="48" t="s">
        <v>96</v>
      </c>
      <c r="N230" s="48">
        <f>SUMIFS(Data!D2:D750,Data!C2:C750,M230,Data!N2:N750,1)</f>
        <v>1</v>
      </c>
    </row>
    <row r="231" ht="15.75" customHeight="1">
      <c r="B231" s="53" t="str">
        <f t="array" ref="B231">IFERROR(INDEX(Data!$A$2:$A$750,SMALL(Data!$S$2:$S$750,125)),"")</f>
        <v>Marina</v>
      </c>
      <c r="C231" s="53" t="str">
        <f t="array" ref="C231">IFERROR(IF(INDEX(Data!$B$2:$B$750,SMALL(Data!$S$2:$S$750,125))=0,"",INDEX(Data!$B$2:$B$750,SMALL(Data!$S$2:$S$750,125))),"")</f>
        <v/>
      </c>
      <c r="D231" s="53" t="str">
        <f t="array" ref="D231">IFERROR(INDEX(Data!$C$2:$C$750,SMALL(Data!$S$2:$S$750,125)),"")</f>
        <v>Antenna</v>
      </c>
      <c r="E231" s="53">
        <f t="array" ref="E231">IFERROR(IF(INDEX(Data!$D$2:$D$750,SMALL(Data!$S$2:$S$750,125))=0,"",INDEX(Data!$D$2:$D$750,SMALL(Data!$S$2:$S$750,125))),"")</f>
        <v>2</v>
      </c>
      <c r="F231" s="54">
        <f t="array" ref="F231">IFERROR(IF(INDEX(Data!$E$2:$E$750,SMALL(Data!$S$2:$S$750,125))=0,"",INDEX(Data!$E$2:$E$750,SMALL(Data!$S$2:$S$750,125))),"")</f>
        <v>2</v>
      </c>
      <c r="G231" s="54">
        <f t="array" ref="G231">IFERROR(INDEX(Data!$F$2:$F$750,SMALL(Data!$S$2:$S$750,125)),"")</f>
        <v>4</v>
      </c>
      <c r="H231" s="55">
        <f t="array" ref="H231">IFERROR(IF(INDEX(Data!$G$2:$G$750,SMALL(Data!$S$2:$S$750,125))=0,"",INDEX(Data!$G$2:$G$750,SMALL(Data!$S$2:$S$750,125))),"")</f>
        <v>46268</v>
      </c>
      <c r="I231" s="53">
        <f t="array" ref="I231">IFERROR(IF(INDEX(Data!$H$2:$H$750,SMALL(Data!$S$2:$S$750,125))=0,"",INDEX(Data!$H$2:$H$750,SMALL(Data!$S$2:$S$750,125))),"")</f>
        <v>16</v>
      </c>
      <c r="J231" s="55">
        <f t="array" ref="J231">IFERROR(INDEX(Data!$I$2:$I$750,SMALL(Data!$S$2:$S$750,125)),"")</f>
        <v>46380</v>
      </c>
      <c r="K231" s="53" t="str">
        <f t="array" ref="K231">IFERROR(INDEX(Data!$J$2:$J$750,SMALL(Data!$S$2:$S$750,125)),"")</f>
        <v>Not Paid</v>
      </c>
      <c r="L231" s="53" t="str">
        <f t="array" ref="L231">IFERROR(INDEX(Data!$K$2:$K$750,SMALL(Data!$S$2:$S$750,125)),"")</f>
        <v>Completed</v>
      </c>
      <c r="M231" s="48" t="s">
        <v>379</v>
      </c>
      <c r="N231" s="48">
        <f>SUMIFS(Data!D2:D750,Data!C2:C750,M231,Data!N2:N750,1)</f>
        <v>1</v>
      </c>
    </row>
    <row r="232" ht="15.75" customHeight="1">
      <c r="B232" s="56" t="str">
        <f t="array" ref="B232">IFERROR(INDEX(Data!$A$2:$A$750,SMALL(Data!$S$2:$S$750,126)),"")</f>
        <v>AUBE</v>
      </c>
      <c r="C232" s="56" t="str">
        <f t="array" ref="C232">IFERROR(IF(INDEX(Data!$B$2:$B$750,SMALL(Data!$S$2:$S$750,126))=0,"",INDEX(Data!$B$2:$B$750,SMALL(Data!$S$2:$S$750,126))),"")</f>
        <v/>
      </c>
      <c r="D232" s="56" t="str">
        <f t="array" ref="D232">IFERROR(INDEX(Data!$C$2:$C$750,SMALL(Data!$S$2:$S$750,126)),"")</f>
        <v>Dogbone- printed&amp;encoded</v>
      </c>
      <c r="E232" s="56">
        <f t="array" ref="E232">IFERROR(IF(INDEX(Data!$D$2:$D$750,SMALL(Data!$S$2:$S$750,126))=0,"",INDEX(Data!$D$2:$D$750,SMALL(Data!$S$2:$S$750,126))),"")</f>
        <v>10000</v>
      </c>
      <c r="F232" s="57">
        <f t="array" ref="F232">IFERROR(IF(INDEX(Data!$E$2:$E$750,SMALL(Data!$S$2:$S$750,126))=0,"",INDEX(Data!$E$2:$E$750,SMALL(Data!$S$2:$S$750,126))),"")</f>
        <v>5</v>
      </c>
      <c r="G232" s="57">
        <f t="array" ref="G232">IFERROR(INDEX(Data!$F$2:$F$750,SMALL(Data!$S$2:$S$750,126)),"")</f>
        <v>50000</v>
      </c>
      <c r="H232" s="58">
        <f t="array" ref="H232">IFERROR(IF(INDEX(Data!$G$2:$G$750,SMALL(Data!$S$2:$S$750,126))=0,"",INDEX(Data!$G$2:$G$750,SMALL(Data!$S$2:$S$750,126))),"")</f>
        <v>46269</v>
      </c>
      <c r="I232" s="56">
        <f t="array" ref="I232">IFERROR(IF(INDEX(Data!$H$2:$H$750,SMALL(Data!$S$2:$S$750,126))=0,"",INDEX(Data!$H$2:$H$750,SMALL(Data!$S$2:$S$750,126))),"")</f>
        <v>16</v>
      </c>
      <c r="J232" s="58">
        <f t="array" ref="J232">IFERROR(INDEX(Data!$I$2:$I$750,SMALL(Data!$S$2:$S$750,126)),"")</f>
        <v>46381</v>
      </c>
      <c r="K232" s="56" t="str">
        <f t="array" ref="K232">IFERROR(INDEX(Data!$J$2:$J$750,SMALL(Data!$S$2:$S$750,126)),"")</f>
        <v>Not Paid</v>
      </c>
      <c r="L232" s="56" t="str">
        <f t="array" ref="L232">IFERROR(INDEX(Data!$K$2:$K$750,SMALL(Data!$S$2:$S$750,126)),"")</f>
        <v>Delayed</v>
      </c>
      <c r="M232" s="48" t="s">
        <v>381</v>
      </c>
      <c r="N232" s="48">
        <f>SUMIFS(Data!D2:D750,Data!C2:C750,M232,Data!N2:N750,1)</f>
        <v>1</v>
      </c>
    </row>
    <row r="233" ht="15.75" customHeight="1">
      <c r="B233" s="53" t="str">
        <f t="array" ref="B233">IFERROR(INDEX(Data!$A$2:$A$750,SMALL(Data!$S$2:$S$750,127)),"")</f>
        <v>AUBE</v>
      </c>
      <c r="C233" s="53" t="str">
        <f t="array" ref="C233">IFERROR(IF(INDEX(Data!$B$2:$B$750,SMALL(Data!$S$2:$S$750,127))=0,"",INDEX(Data!$B$2:$B$750,SMALL(Data!$S$2:$S$750,127))),"")</f>
        <v/>
      </c>
      <c r="D233" s="53" t="str">
        <f t="array" ref="D233">IFERROR(INDEX(Data!$C$2:$C$750,SMALL(Data!$S$2:$S$750,127)),"")</f>
        <v>EU Universal tags- printed</v>
      </c>
      <c r="E233" s="53">
        <f t="array" ref="E233">IFERROR(IF(INDEX(Data!$D$2:$D$750,SMALL(Data!$S$2:$S$750,127))=0,"",INDEX(Data!$D$2:$D$750,SMALL(Data!$S$2:$S$750,127))),"")</f>
        <v>10000</v>
      </c>
      <c r="F233" s="54">
        <f t="array" ref="F233">IFERROR(IF(INDEX(Data!$E$2:$E$750,SMALL(Data!$S$2:$S$750,127))=0,"",INDEX(Data!$E$2:$E$750,SMALL(Data!$S$2:$S$750,127))),"")</f>
        <v>6</v>
      </c>
      <c r="G233" s="54">
        <f t="array" ref="G233">IFERROR(INDEX(Data!$F$2:$F$750,SMALL(Data!$S$2:$S$750,127)),"")</f>
        <v>60000</v>
      </c>
      <c r="H233" s="55">
        <f t="array" ref="H233">IFERROR(IF(INDEX(Data!$G$2:$G$750,SMALL(Data!$S$2:$S$750,127))=0,"",INDEX(Data!$G$2:$G$750,SMALL(Data!$S$2:$S$750,127))),"")</f>
        <v>46270</v>
      </c>
      <c r="I233" s="53">
        <f t="array" ref="I233">IFERROR(IF(INDEX(Data!$H$2:$H$750,SMALL(Data!$S$2:$S$750,127))=0,"",INDEX(Data!$H$2:$H$750,SMALL(Data!$S$2:$S$750,127))),"")</f>
        <v>16</v>
      </c>
      <c r="J233" s="55">
        <f t="array" ref="J233">IFERROR(INDEX(Data!$I$2:$I$750,SMALL(Data!$S$2:$S$750,127)),"")</f>
        <v>46382</v>
      </c>
      <c r="K233" s="53" t="str">
        <f t="array" ref="K233">IFERROR(INDEX(Data!$J$2:$J$750,SMALL(Data!$S$2:$S$750,127)),"")</f>
        <v>Not Paid</v>
      </c>
      <c r="L233" s="53" t="str">
        <f t="array" ref="L233">IFERROR(INDEX(Data!$K$2:$K$750,SMALL(Data!$S$2:$S$750,127)),"")</f>
        <v>Pending</v>
      </c>
      <c r="M233" s="48" t="s">
        <v>102</v>
      </c>
      <c r="N233" s="48">
        <f>SUMIFS(Data!D2:D750,Data!C2:C750,M233,Data!N2:N750,1)</f>
        <v>1</v>
      </c>
    </row>
    <row r="234" ht="15.75" customHeight="1">
      <c r="B234" s="56" t="str">
        <f t="array" ref="B234">IFERROR(INDEX(Data!$A$2:$A$750,SMALL(Data!$S$2:$S$750,128)),"")</f>
        <v>Al Borouj</v>
      </c>
      <c r="C234" s="56" t="str">
        <f t="array" ref="C234">IFERROR(IF(INDEX(Data!$B$2:$B$750,SMALL(Data!$S$2:$S$750,128))=0,"",INDEX(Data!$B$2:$B$750,SMALL(Data!$S$2:$S$750,128))),"")</f>
        <v/>
      </c>
      <c r="D234" s="56" t="str">
        <f t="array" ref="D234">IFERROR(INDEX(Data!$C$2:$C$750,SMALL(Data!$S$2:$S$750,128)),"")</f>
        <v>LRU1002</v>
      </c>
      <c r="E234" s="56">
        <f t="array" ref="E234">IFERROR(IF(INDEX(Data!$D$2:$D$750,SMALL(Data!$S$2:$S$750,128))=0,"",INDEX(Data!$D$2:$D$750,SMALL(Data!$S$2:$S$750,128))),"")</f>
        <v>8</v>
      </c>
      <c r="F234" s="57">
        <f t="array" ref="F234">IFERROR(IF(INDEX(Data!$E$2:$E$750,SMALL(Data!$S$2:$S$750,128))=0,"",INDEX(Data!$E$2:$E$750,SMALL(Data!$S$2:$S$750,128))),"")</f>
        <v>7</v>
      </c>
      <c r="G234" s="57">
        <f t="array" ref="G234">IFERROR(INDEX(Data!$F$2:$F$750,SMALL(Data!$S$2:$S$750,128)),"")</f>
        <v>56</v>
      </c>
      <c r="H234" s="58">
        <f t="array" ref="H234">IFERROR(IF(INDEX(Data!$G$2:$G$750,SMALL(Data!$S$2:$S$750,128))=0,"",INDEX(Data!$G$2:$G$750,SMALL(Data!$S$2:$S$750,128))),"")</f>
        <v>46271</v>
      </c>
      <c r="I234" s="56">
        <f t="array" ref="I234">IFERROR(IF(INDEX(Data!$H$2:$H$750,SMALL(Data!$S$2:$S$750,128))=0,"",INDEX(Data!$H$2:$H$750,SMALL(Data!$S$2:$S$750,128))),"")</f>
        <v>15</v>
      </c>
      <c r="J234" s="58">
        <f t="array" ref="J234">IFERROR(INDEX(Data!$I$2:$I$750,SMALL(Data!$S$2:$S$750,128)),"")</f>
        <v>46376</v>
      </c>
      <c r="K234" s="56" t="str">
        <f t="array" ref="K234">IFERROR(INDEX(Data!$J$2:$J$750,SMALL(Data!$S$2:$S$750,128)),"")</f>
        <v>Not Paid</v>
      </c>
      <c r="L234" s="56" t="str">
        <f t="array" ref="L234">IFERROR(INDEX(Data!$K$2:$K$750,SMALL(Data!$S$2:$S$750,128)),"")</f>
        <v>Pending</v>
      </c>
      <c r="M234" s="48" t="s">
        <v>75</v>
      </c>
      <c r="N234" s="48">
        <f>SUMIFS(Data!D2:D750,Data!C2:C750,M234,Data!N2:N750,1)</f>
        <v>1</v>
      </c>
    </row>
    <row r="235" ht="15.75" customHeight="1">
      <c r="B235" s="53" t="str">
        <f t="array" ref="B235">IFERROR(INDEX(Data!$A$2:$A$750,SMALL(Data!$S$2:$S$750,129)),"")</f>
        <v>Al Borouj</v>
      </c>
      <c r="C235" s="53" t="str">
        <f t="array" ref="C235">IFERROR(IF(INDEX(Data!$B$2:$B$750,SMALL(Data!$S$2:$S$750,129))=0,"",INDEX(Data!$B$2:$B$750,SMALL(Data!$S$2:$S$750,129))),"")</f>
        <v/>
      </c>
      <c r="D235" s="53" t="str">
        <f t="array" ref="D235">IFERROR(INDEX(Data!$C$2:$C$750,SMALL(Data!$S$2:$S$750,129)),"")</f>
        <v>Protection cap</v>
      </c>
      <c r="E235" s="53">
        <f t="array" ref="E235">IFERROR(IF(INDEX(Data!$D$2:$D$750,SMALL(Data!$S$2:$S$750,129))=0,"",INDEX(Data!$D$2:$D$750,SMALL(Data!$S$2:$S$750,129))),"")</f>
        <v>8</v>
      </c>
      <c r="F235" s="54">
        <f t="array" ref="F235">IFERROR(IF(INDEX(Data!$E$2:$E$750,SMALL(Data!$S$2:$S$750,129))=0,"",INDEX(Data!$E$2:$E$750,SMALL(Data!$S$2:$S$750,129))),"")</f>
        <v>8</v>
      </c>
      <c r="G235" s="54">
        <f t="array" ref="G235">IFERROR(INDEX(Data!$F$2:$F$750,SMALL(Data!$S$2:$S$750,129)),"")</f>
        <v>64</v>
      </c>
      <c r="H235" s="55">
        <f t="array" ref="H235">IFERROR(IF(INDEX(Data!$G$2:$G$750,SMALL(Data!$S$2:$S$750,129))=0,"",INDEX(Data!$G$2:$G$750,SMALL(Data!$S$2:$S$750,129))),"")</f>
        <v>46272</v>
      </c>
      <c r="I235" s="53">
        <f t="array" ref="I235">IFERROR(IF(INDEX(Data!$H$2:$H$750,SMALL(Data!$S$2:$S$750,129))=0,"",INDEX(Data!$H$2:$H$750,SMALL(Data!$S$2:$S$750,129))),"")</f>
        <v>17</v>
      </c>
      <c r="J235" s="55">
        <f t="array" ref="J235">IFERROR(INDEX(Data!$I$2:$I$750,SMALL(Data!$S$2:$S$750,129)),"")</f>
        <v>46391</v>
      </c>
      <c r="K235" s="53" t="str">
        <f t="array" ref="K235">IFERROR(INDEX(Data!$J$2:$J$750,SMALL(Data!$S$2:$S$750,129)),"")</f>
        <v>Not Paid</v>
      </c>
      <c r="L235" s="53" t="str">
        <f t="array" ref="L235">IFERROR(INDEX(Data!$K$2:$K$750,SMALL(Data!$S$2:$S$750,129)),"")</f>
        <v>Pending</v>
      </c>
      <c r="M235" s="48" t="s">
        <v>99</v>
      </c>
      <c r="N235" s="48">
        <f>SUMIFS(Data!D2:D750,Data!C2:C750,M235,Data!N2:N750,1)</f>
        <v>1</v>
      </c>
    </row>
    <row r="236" ht="15.75" customHeight="1">
      <c r="B236" s="56" t="str">
        <f t="array" ref="B236">IFERROR(INDEX(Data!$A$2:$A$750,SMALL(Data!$S$2:$S$750,130)),"")</f>
        <v>Al Borouj</v>
      </c>
      <c r="C236" s="56" t="str">
        <f t="array" ref="C236">IFERROR(IF(INDEX(Data!$B$2:$B$750,SMALL(Data!$S$2:$S$750,130))=0,"",INDEX(Data!$B$2:$B$750,SMALL(Data!$S$2:$S$750,130))),"")</f>
        <v/>
      </c>
      <c r="D236" s="56" t="str">
        <f t="array" ref="D236">IFERROR(INDEX(Data!$C$2:$C$750,SMALL(Data!$S$2:$S$750,130)),"")</f>
        <v>Antenna</v>
      </c>
      <c r="E236" s="56">
        <f t="array" ref="E236">IFERROR(IF(INDEX(Data!$D$2:$D$750,SMALL(Data!$S$2:$S$750,130))=0,"",INDEX(Data!$D$2:$D$750,SMALL(Data!$S$2:$S$750,130))),"")</f>
        <v>22</v>
      </c>
      <c r="F236" s="57">
        <f t="array" ref="F236">IFERROR(IF(INDEX(Data!$E$2:$E$750,SMALL(Data!$S$2:$S$750,130))=0,"",INDEX(Data!$E$2:$E$750,SMALL(Data!$S$2:$S$750,130))),"")</f>
        <v>2</v>
      </c>
      <c r="G236" s="57">
        <f t="array" ref="G236">IFERROR(INDEX(Data!$F$2:$F$750,SMALL(Data!$S$2:$S$750,130)),"")</f>
        <v>44</v>
      </c>
      <c r="H236" s="58">
        <f t="array" ref="H236">IFERROR(IF(INDEX(Data!$G$2:$G$750,SMALL(Data!$S$2:$S$750,130))=0,"",INDEX(Data!$G$2:$G$750,SMALL(Data!$S$2:$S$750,130))),"")</f>
        <v>46273</v>
      </c>
      <c r="I236" s="56">
        <f t="array" ref="I236">IFERROR(IF(INDEX(Data!$H$2:$H$750,SMALL(Data!$S$2:$S$750,130))=0,"",INDEX(Data!$H$2:$H$750,SMALL(Data!$S$2:$S$750,130))),"")</f>
        <v>17</v>
      </c>
      <c r="J236" s="58">
        <f t="array" ref="J236">IFERROR(INDEX(Data!$I$2:$I$750,SMALL(Data!$S$2:$S$750,130)),"")</f>
        <v>46392</v>
      </c>
      <c r="K236" s="56" t="str">
        <f t="array" ref="K236">IFERROR(INDEX(Data!$J$2:$J$750,SMALL(Data!$S$2:$S$750,130)),"")</f>
        <v>Not Paid</v>
      </c>
      <c r="L236" s="56" t="str">
        <f t="array" ref="L236">IFERROR(INDEX(Data!$K$2:$K$750,SMALL(Data!$S$2:$S$750,130)),"")</f>
        <v>Pending</v>
      </c>
      <c r="M236" s="48" t="s">
        <v>290</v>
      </c>
      <c r="N236" s="48">
        <f>SUMIFS(Data!D2:D750,Data!C2:C750,M236,Data!N2:N750,1)</f>
        <v>1</v>
      </c>
    </row>
    <row r="237" ht="15.75" customHeight="1">
      <c r="B237" s="53" t="str">
        <f t="array" ref="B237">IFERROR(INDEX(Data!$A$2:$A$750,SMALL(Data!$S$2:$S$750,131)),"")</f>
        <v>Amigo</v>
      </c>
      <c r="C237" s="53" t="str">
        <f t="array" ref="C237">IFERROR(IF(INDEX(Data!$B$2:$B$750,SMALL(Data!$S$2:$S$750,131))=0,"",INDEX(Data!$B$2:$B$750,SMALL(Data!$S$2:$S$750,131))),"")</f>
        <v/>
      </c>
      <c r="D237" s="53" t="str">
        <f t="array" ref="D237">IFERROR(INDEX(Data!$C$2:$C$750,SMALL(Data!$S$2:$S$750,131)),"")</f>
        <v>Rapid S 3m</v>
      </c>
      <c r="E237" s="53">
        <f t="array" ref="E237">IFERROR(IF(INDEX(Data!$D$2:$D$750,SMALL(Data!$S$2:$S$750,131))=0,"",INDEX(Data!$D$2:$D$750,SMALL(Data!$S$2:$S$750,131))),"")</f>
        <v>1</v>
      </c>
      <c r="F237" s="54">
        <f t="array" ref="F237">IFERROR(IF(INDEX(Data!$E$2:$E$750,SMALL(Data!$S$2:$S$750,131))=0,"",INDEX(Data!$E$2:$E$750,SMALL(Data!$S$2:$S$750,131))),"")</f>
        <v>15</v>
      </c>
      <c r="G237" s="54">
        <f t="array" ref="G237">IFERROR(INDEX(Data!$F$2:$F$750,SMALL(Data!$S$2:$S$750,131)),"")</f>
        <v>15</v>
      </c>
      <c r="H237" s="55">
        <f t="array" ref="H237">IFERROR(IF(INDEX(Data!$G$2:$G$750,SMALL(Data!$S$2:$S$750,131))=0,"",INDEX(Data!$G$2:$G$750,SMALL(Data!$S$2:$S$750,131))),"")</f>
        <v>46274</v>
      </c>
      <c r="I237" s="53">
        <f t="array" ref="I237">IFERROR(IF(INDEX(Data!$H$2:$H$750,SMALL(Data!$S$2:$S$750,131))=0,"",INDEX(Data!$H$2:$H$750,SMALL(Data!$S$2:$S$750,131))),"")</f>
        <v>16</v>
      </c>
      <c r="J237" s="55">
        <f t="array" ref="J237">IFERROR(INDEX(Data!$I$2:$I$750,SMALL(Data!$S$2:$S$750,131)),"")</f>
        <v>46386</v>
      </c>
      <c r="K237" s="53" t="str">
        <f t="array" ref="K237">IFERROR(INDEX(Data!$J$2:$J$750,SMALL(Data!$S$2:$S$750,131)),"")</f>
        <v>Not Paid</v>
      </c>
      <c r="L237" s="53" t="str">
        <f t="array" ref="L237">IFERROR(INDEX(Data!$K$2:$K$750,SMALL(Data!$S$2:$S$750,131)),"")</f>
        <v>Pending</v>
      </c>
      <c r="M237" s="48" t="s">
        <v>598</v>
      </c>
      <c r="N237" s="48">
        <f>SUMIFS(Data!D2:D750,Data!C2:C750,M237,Data!N2:N750,1)</f>
        <v>2</v>
      </c>
    </row>
    <row r="238" ht="15.75" customHeight="1">
      <c r="B238" s="56" t="str">
        <f t="array" ref="B238">IFERROR(INDEX(Data!$A$2:$A$750,SMALL(Data!$S$2:$S$750,132)),"")</f>
        <v>Amigo</v>
      </c>
      <c r="C238" s="56" t="str">
        <f t="array" ref="C238">IFERROR(IF(INDEX(Data!$B$2:$B$750,SMALL(Data!$S$2:$S$750,132))=0,"",INDEX(Data!$B$2:$B$750,SMALL(Data!$S$2:$S$750,132))),"")</f>
        <v/>
      </c>
      <c r="D238" s="56" t="str">
        <f t="array" ref="D238">IFERROR(INDEX(Data!$C$2:$C$750,SMALL(Data!$S$2:$S$750,132)),"")</f>
        <v>MAX50.10-RE</v>
      </c>
      <c r="E238" s="56">
        <f t="array" ref="E238">IFERROR(IF(INDEX(Data!$D$2:$D$750,SMALL(Data!$S$2:$S$750,132))=0,"",INDEX(Data!$D$2:$D$750,SMALL(Data!$S$2:$S$750,132))),"")</f>
        <v>1</v>
      </c>
      <c r="F238" s="57">
        <f t="array" ref="F238">IFERROR(IF(INDEX(Data!$E$2:$E$750,SMALL(Data!$S$2:$S$750,132))=0,"",INDEX(Data!$E$2:$E$750,SMALL(Data!$S$2:$S$750,132))),"")</f>
        <v>45</v>
      </c>
      <c r="G238" s="57">
        <f t="array" ref="G238">IFERROR(INDEX(Data!$F$2:$F$750,SMALL(Data!$S$2:$S$750,132)),"")</f>
        <v>45</v>
      </c>
      <c r="H238" s="58">
        <f t="array" ref="H238">IFERROR(IF(INDEX(Data!$G$2:$G$750,SMALL(Data!$S$2:$S$750,132))=0,"",INDEX(Data!$G$2:$G$750,SMALL(Data!$S$2:$S$750,132))),"")</f>
        <v>46275</v>
      </c>
      <c r="I238" s="56">
        <f t="array" ref="I238">IFERROR(IF(INDEX(Data!$H$2:$H$750,SMALL(Data!$S$2:$S$750,132))=0,"",INDEX(Data!$H$2:$H$750,SMALL(Data!$S$2:$S$750,132))),"")</f>
        <v>24</v>
      </c>
      <c r="J238" s="58">
        <f t="array" ref="J238">IFERROR(INDEX(Data!$I$2:$I$750,SMALL(Data!$S$2:$S$750,132)),"")</f>
        <v>46443</v>
      </c>
      <c r="K238" s="56" t="str">
        <f t="array" ref="K238">IFERROR(INDEX(Data!$J$2:$J$750,SMALL(Data!$S$2:$S$750,132)),"")</f>
        <v>Not Paid</v>
      </c>
      <c r="L238" s="56" t="str">
        <f t="array" ref="L238">IFERROR(INDEX(Data!$K$2:$K$750,SMALL(Data!$S$2:$S$750,132)),"")</f>
        <v>Pending</v>
      </c>
      <c r="M238" s="48" t="s">
        <v>629</v>
      </c>
      <c r="N238" s="48">
        <f>SUMIFS(Data!D2:D750,Data!C2:C750,M238,Data!N2:N750,1)</f>
        <v>2</v>
      </c>
    </row>
    <row r="239" ht="15.75" customHeight="1">
      <c r="B239" s="53" t="str">
        <f t="array" ref="B239">IFERROR(INDEX(Data!$A$2:$A$750,SMALL(Data!$S$2:$S$750,133)),"")</f>
        <v>Amigo</v>
      </c>
      <c r="C239" s="53" t="str">
        <f t="array" ref="C239">IFERROR(IF(INDEX(Data!$B$2:$B$750,SMALL(Data!$S$2:$S$750,133))=0,"",INDEX(Data!$B$2:$B$750,SMALL(Data!$S$2:$S$750,133))),"")</f>
        <v/>
      </c>
      <c r="D239" s="53" t="str">
        <f t="array" ref="D239">IFERROR(INDEX(Data!$C$2:$C$750,SMALL(Data!$S$2:$S$750,133)),"")</f>
        <v>HF Cards- double side printed</v>
      </c>
      <c r="E239" s="53">
        <f t="array" ref="E239">IFERROR(IF(INDEX(Data!$D$2:$D$750,SMALL(Data!$S$2:$S$750,133))=0,"",INDEX(Data!$D$2:$D$750,SMALL(Data!$S$2:$S$750,133))),"")</f>
        <v>700</v>
      </c>
      <c r="F239" s="54">
        <f t="array" ref="F239">IFERROR(IF(INDEX(Data!$E$2:$E$750,SMALL(Data!$S$2:$S$750,133))=0,"",INDEX(Data!$E$2:$E$750,SMALL(Data!$S$2:$S$750,133))),"")</f>
        <v>24</v>
      </c>
      <c r="G239" s="54">
        <f t="array" ref="G239">IFERROR(INDEX(Data!$F$2:$F$750,SMALL(Data!$S$2:$S$750,133)),"")</f>
        <v>16800</v>
      </c>
      <c r="H239" s="55">
        <f t="array" ref="H239">IFERROR(IF(INDEX(Data!$G$2:$G$750,SMALL(Data!$S$2:$S$750,133))=0,"",INDEX(Data!$G$2:$G$750,SMALL(Data!$S$2:$S$750,133))),"")</f>
        <v>46276</v>
      </c>
      <c r="I239" s="53">
        <f t="array" ref="I239">IFERROR(IF(INDEX(Data!$H$2:$H$750,SMALL(Data!$S$2:$S$750,133))=0,"",INDEX(Data!$H$2:$H$750,SMALL(Data!$S$2:$S$750,133))),"")</f>
        <v>24</v>
      </c>
      <c r="J239" s="55">
        <f t="array" ref="J239">IFERROR(INDEX(Data!$I$2:$I$750,SMALL(Data!$S$2:$S$750,133)),"")</f>
        <v>46444</v>
      </c>
      <c r="K239" s="53" t="str">
        <f t="array" ref="K239">IFERROR(INDEX(Data!$J$2:$J$750,SMALL(Data!$S$2:$S$750,133)),"")</f>
        <v>Not Paid</v>
      </c>
      <c r="L239" s="53" t="str">
        <f t="array" ref="L239">IFERROR(INDEX(Data!$K$2:$K$750,SMALL(Data!$S$2:$S$750,133)),"")</f>
        <v>Pending</v>
      </c>
      <c r="M239" s="48" t="s">
        <v>72</v>
      </c>
      <c r="N239" s="48">
        <f>SUMIFS(Data!D2:D750,Data!C2:C750,M239,Data!N2:N750,1)</f>
        <v>2</v>
      </c>
    </row>
    <row r="240" ht="15.75" customHeight="1">
      <c r="B240" s="56" t="str">
        <f t="array" ref="B240">IFERROR(INDEX(Data!$A$2:$A$750,SMALL(Data!$S$2:$S$750,134)),"")</f>
        <v>NASPS</v>
      </c>
      <c r="C240" s="56" t="str">
        <f t="array" ref="C240">IFERROR(IF(INDEX(Data!$B$2:$B$750,SMALL(Data!$S$2:$S$750,134))=0,"",INDEX(Data!$B$2:$B$750,SMALL(Data!$S$2:$S$750,134))),"")</f>
        <v/>
      </c>
      <c r="D240" s="56" t="str">
        <f t="array" ref="D240">IFERROR(INDEX(Data!$C$2:$C$750,SMALL(Data!$S$2:$S$750,134)),"")</f>
        <v>Toshiba B-SX8T Spare Printhead</v>
      </c>
      <c r="E240" s="56">
        <f t="array" ref="E240">IFERROR(IF(INDEX(Data!$D$2:$D$750,SMALL(Data!$S$2:$S$750,134))=0,"",INDEX(Data!$D$2:$D$750,SMALL(Data!$S$2:$S$750,134))),"")</f>
        <v>1</v>
      </c>
      <c r="F240" s="57">
        <f t="array" ref="F240">IFERROR(IF(INDEX(Data!$E$2:$E$750,SMALL(Data!$S$2:$S$750,134))=0,"",INDEX(Data!$E$2:$E$750,SMALL(Data!$S$2:$S$750,134))),"")</f>
        <v>25</v>
      </c>
      <c r="G240" s="57">
        <f t="array" ref="G240">IFERROR(INDEX(Data!$F$2:$F$750,SMALL(Data!$S$2:$S$750,134)),"")</f>
        <v>25</v>
      </c>
      <c r="H240" s="58">
        <f t="array" ref="H240">IFERROR(IF(INDEX(Data!$G$2:$G$750,SMALL(Data!$S$2:$S$750,134))=0,"",INDEX(Data!$G$2:$G$750,SMALL(Data!$S$2:$S$750,134))),"")</f>
        <v>46277</v>
      </c>
      <c r="I240" s="56">
        <f t="array" ref="I240">IFERROR(IF(INDEX(Data!$H$2:$H$750,SMALL(Data!$S$2:$S$750,134))=0,"",INDEX(Data!$H$2:$H$750,SMALL(Data!$S$2:$S$750,134))),"")</f>
        <v>23</v>
      </c>
      <c r="J240" s="58">
        <f t="array" ref="J240">IFERROR(INDEX(Data!$I$2:$I$750,SMALL(Data!$S$2:$S$750,134)),"")</f>
        <v>46438</v>
      </c>
      <c r="K240" s="56" t="str">
        <f t="array" ref="K240">IFERROR(INDEX(Data!$J$2:$J$750,SMALL(Data!$S$2:$S$750,134)),"")</f>
        <v>Not Paid</v>
      </c>
      <c r="L240" s="56" t="str">
        <f t="array" ref="L240">IFERROR(INDEX(Data!$K$2:$K$750,SMALL(Data!$S$2:$S$750,134)),"")</f>
        <v>Pending</v>
      </c>
      <c r="M240" s="48" t="s">
        <v>63</v>
      </c>
      <c r="N240" s="48">
        <f>SUMIFS(Data!D2:D750,Data!C2:C750,M240,Data!N2:N750,1)</f>
        <v>22</v>
      </c>
    </row>
    <row r="241" ht="15.75" customHeight="1">
      <c r="B241" s="53" t="str">
        <f t="array" ref="B241">IFERROR(INDEX(Data!$A$2:$A$750,SMALL(Data!$S$2:$S$750,135)),"")</f>
        <v>Alzad</v>
      </c>
      <c r="C241" s="53" t="str">
        <f t="array" ref="C241">IFERROR(IF(INDEX(Data!$B$2:$B$750,SMALL(Data!$S$2:$S$750,135))=0,"",INDEX(Data!$B$2:$B$750,SMALL(Data!$S$2:$S$750,135))),"")</f>
        <v>RICH RFID</v>
      </c>
      <c r="D241" s="53" t="str">
        <f t="array" ref="D241">IFERROR(INDEX(Data!$C$2:$C$750,SMALL(Data!$S$2:$S$750,135)),"")</f>
        <v>RC2005 Tags</v>
      </c>
      <c r="E241" s="53">
        <f t="array" ref="E241">IFERROR(IF(INDEX(Data!$D$2:$D$750,SMALL(Data!$S$2:$S$750,135))=0,"",INDEX(Data!$D$2:$D$750,SMALL(Data!$S$2:$S$750,135))),"")</f>
        <v>50000</v>
      </c>
      <c r="F241" s="54">
        <f t="array" ref="F241">IFERROR(IF(INDEX(Data!$E$2:$E$750,SMALL(Data!$S$2:$S$750,135))=0,"",INDEX(Data!$E$2:$E$750,SMALL(Data!$S$2:$S$750,135))),"")</f>
        <v>36</v>
      </c>
      <c r="G241" s="54">
        <f t="array" ref="G241">IFERROR(INDEX(Data!$F$2:$F$750,SMALL(Data!$S$2:$S$750,135)),"")</f>
        <v>1800000</v>
      </c>
      <c r="H241" s="55">
        <f t="array" ref="H241">IFERROR(IF(INDEX(Data!$G$2:$G$750,SMALL(Data!$S$2:$S$750,135))=0,"",INDEX(Data!$G$2:$G$750,SMALL(Data!$S$2:$S$750,135))),"")</f>
        <v>46278</v>
      </c>
      <c r="I241" s="53">
        <f t="array" ref="I241">IFERROR(IF(INDEX(Data!$H$2:$H$750,SMALL(Data!$S$2:$S$750,135))=0,"",INDEX(Data!$H$2:$H$750,SMALL(Data!$S$2:$S$750,135))),"")</f>
        <v>23</v>
      </c>
      <c r="J241" s="55">
        <f t="array" ref="J241">IFERROR(INDEX(Data!$I$2:$I$750,SMALL(Data!$S$2:$S$750,135)),"")</f>
        <v>46439</v>
      </c>
      <c r="K241" s="53" t="str">
        <f t="array" ref="K241">IFERROR(INDEX(Data!$J$2:$J$750,SMALL(Data!$S$2:$S$750,135)),"")</f>
        <v>Not Paid</v>
      </c>
      <c r="L241" s="53" t="str">
        <f t="array" ref="L241">IFERROR(INDEX(Data!$K$2:$K$750,SMALL(Data!$S$2:$S$750,135)),"")</f>
        <v>Pending</v>
      </c>
      <c r="M241" s="48" t="s">
        <v>285</v>
      </c>
      <c r="N241" s="48">
        <f>SUMIFS(Data!D2:D750,Data!C2:C750,M241,Data!N2:N750,1)</f>
        <v>0</v>
      </c>
    </row>
    <row r="242" ht="15.75" customHeight="1">
      <c r="B242" s="56" t="str">
        <f t="array" ref="B242">IFERROR(INDEX(Data!$A$2:$A$750,SMALL(Data!$S$2:$S$750,136)),"")</f>
        <v>OGTech Dubai</v>
      </c>
      <c r="C242" s="56" t="str">
        <f t="array" ref="C242">IFERROR(IF(INDEX(Data!$B$2:$B$750,SMALL(Data!$S$2:$S$750,136))=0,"",INDEX(Data!$B$2:$B$750,SMALL(Data!$S$2:$S$750,136))),"")</f>
        <v>Promojet</v>
      </c>
      <c r="D242" s="56" t="str">
        <f t="array" ref="D242">IFERROR(INDEX(Data!$C$2:$C$750,SMALL(Data!$S$2:$S$750,136)),"")</f>
        <v>UHF Cards- Serialized</v>
      </c>
      <c r="E242" s="56">
        <f t="array" ref="E242">IFERROR(IF(INDEX(Data!$D$2:$D$750,SMALL(Data!$S$2:$S$750,136))=0,"",INDEX(Data!$D$2:$D$750,SMALL(Data!$S$2:$S$750,136))),"")</f>
        <v>100</v>
      </c>
      <c r="F242" s="57">
        <f t="array" ref="F242">IFERROR(IF(INDEX(Data!$E$2:$E$750,SMALL(Data!$S$2:$S$750,136))=0,"",INDEX(Data!$E$2:$E$750,SMALL(Data!$S$2:$S$750,136))),"")</f>
        <v>95</v>
      </c>
      <c r="G242" s="57">
        <f t="array" ref="G242">IFERROR(INDEX(Data!$F$2:$F$750,SMALL(Data!$S$2:$S$750,136)),"")</f>
        <v>9500</v>
      </c>
      <c r="H242" s="58">
        <f t="array" ref="H242">IFERROR(IF(INDEX(Data!$G$2:$G$750,SMALL(Data!$S$2:$S$750,136))=0,"",INDEX(Data!$G$2:$G$750,SMALL(Data!$S$2:$S$750,136))),"")</f>
        <v>46279</v>
      </c>
      <c r="I242" s="56">
        <f t="array" ref="I242">IFERROR(IF(INDEX(Data!$H$2:$H$750,SMALL(Data!$S$2:$S$750,136))=0,"",INDEX(Data!$H$2:$H$750,SMALL(Data!$S$2:$S$750,136))),"")</f>
        <v>23</v>
      </c>
      <c r="J242" s="58">
        <f t="array" ref="J242">IFERROR(INDEX(Data!$I$2:$I$750,SMALL(Data!$S$2:$S$750,136)),"")</f>
        <v>46440</v>
      </c>
      <c r="K242" s="56" t="str">
        <f t="array" ref="K242">IFERROR(INDEX(Data!$J$2:$J$750,SMALL(Data!$S$2:$S$750,136)),"")</f>
        <v>Not Paid</v>
      </c>
      <c r="L242" s="56" t="str">
        <f t="array" ref="L242">IFERROR(INDEX(Data!$K$2:$K$750,SMALL(Data!$S$2:$S$750,136)),"")</f>
        <v>Pending</v>
      </c>
      <c r="M242" s="48" t="s">
        <v>292</v>
      </c>
      <c r="N242" s="48">
        <f>SUMIFS(Data!D2:D750,Data!C2:C750,M242,Data!N2:N750,1)</f>
        <v>7</v>
      </c>
    </row>
    <row r="243" ht="15.75" customHeight="1">
      <c r="B243" s="53" t="str">
        <f t="array" ref="B243">IFERROR(INDEX(Data!$A$2:$A$750,SMALL(Data!$S$2:$S$750,137)),"")</f>
        <v>El Nakheel</v>
      </c>
      <c r="C243" s="53" t="str">
        <f t="array" ref="C243">IFERROR(IF(INDEX(Data!$B$2:$B$750,SMALL(Data!$S$2:$S$750,137))=0,"",INDEX(Data!$B$2:$B$750,SMALL(Data!$S$2:$S$750,137))),"")</f>
        <v>FEIG</v>
      </c>
      <c r="D243" s="53" t="str">
        <f t="array" ref="D243">IFERROR(INDEX(Data!$C$2:$C$750,SMALL(Data!$S$2:$S$750,137)),"")</f>
        <v>LRU1002</v>
      </c>
      <c r="E243" s="53">
        <f t="array" ref="E243">IFERROR(IF(INDEX(Data!$D$2:$D$750,SMALL(Data!$S$2:$S$750,137))=0,"",INDEX(Data!$D$2:$D$750,SMALL(Data!$S$2:$S$750,137))),"")</f>
        <v>1</v>
      </c>
      <c r="F243" s="54">
        <f t="array" ref="F243">IFERROR(IF(INDEX(Data!$E$2:$E$750,SMALL(Data!$S$2:$S$750,137))=0,"",INDEX(Data!$E$2:$E$750,SMALL(Data!$S$2:$S$750,137))),"")</f>
        <v>574</v>
      </c>
      <c r="G243" s="54">
        <f t="array" ref="G243">IFERROR(INDEX(Data!$F$2:$F$750,SMALL(Data!$S$2:$S$750,137)),"")</f>
        <v>574</v>
      </c>
      <c r="H243" s="55">
        <f t="array" ref="H243">IFERROR(IF(INDEX(Data!$G$2:$G$750,SMALL(Data!$S$2:$S$750,137))=0,"",INDEX(Data!$G$2:$G$750,SMALL(Data!$S$2:$S$750,137))),"")</f>
        <v>46280</v>
      </c>
      <c r="I243" s="53">
        <f t="array" ref="I243">IFERROR(IF(INDEX(Data!$H$2:$H$750,SMALL(Data!$S$2:$S$750,137))=0,"",INDEX(Data!$H$2:$H$750,SMALL(Data!$S$2:$S$750,137))),"")</f>
        <v>24</v>
      </c>
      <c r="J243" s="55">
        <f t="array" ref="J243">IFERROR(INDEX(Data!$I$2:$I$750,SMALL(Data!$S$2:$S$750,137)),"")</f>
        <v>46448</v>
      </c>
      <c r="K243" s="53" t="str">
        <f t="array" ref="K243">IFERROR(INDEX(Data!$J$2:$J$750,SMALL(Data!$S$2:$S$750,137)),"")</f>
        <v>Not Paid</v>
      </c>
      <c r="L243" s="53" t="str">
        <f t="array" ref="L243">IFERROR(INDEX(Data!$K$2:$K$750,SMALL(Data!$S$2:$S$750,137)),"")</f>
        <v>Pending</v>
      </c>
      <c r="M243" s="48" t="s">
        <v>545</v>
      </c>
      <c r="N243" s="48">
        <f>SUMIFS(Data!D2:D750,Data!C2:C750,M243,Data!N2:N750,1)</f>
        <v>10</v>
      </c>
    </row>
    <row r="244" ht="15.75" customHeight="1">
      <c r="B244" s="56" t="str">
        <f t="array" ref="B244">IFERROR(INDEX(Data!$A$2:$A$750,SMALL(Data!$S$2:$S$750,138)),"")</f>
        <v>The Sovereign Fund Of Egypt</v>
      </c>
      <c r="C244" s="56" t="str">
        <f t="array" ref="C244">IFERROR(IF(INDEX(Data!$B$2:$B$750,SMALL(Data!$S$2:$S$750,138))=0,"",INDEX(Data!$B$2:$B$750,SMALL(Data!$S$2:$S$750,138))),"")</f>
        <v>IPS</v>
      </c>
      <c r="D244" s="56" t="str">
        <f t="array" ref="D244">IFERROR(INDEX(Data!$C$2:$C$750,SMALL(Data!$S$2:$S$750,138)),"")</f>
        <v>LF Cards- Printed</v>
      </c>
      <c r="E244" s="56">
        <f t="array" ref="E244">IFERROR(IF(INDEX(Data!$D$2:$D$750,SMALL(Data!$S$2:$S$750,138))=0,"",INDEX(Data!$D$2:$D$750,SMALL(Data!$S$2:$S$750,138))),"")</f>
        <v>46</v>
      </c>
      <c r="F244" s="57">
        <f t="array" ref="F244">IFERROR(IF(INDEX(Data!$E$2:$E$750,SMALL(Data!$S$2:$S$750,138))=0,"",INDEX(Data!$E$2:$E$750,SMALL(Data!$S$2:$S$750,138))),"")</f>
        <v>558</v>
      </c>
      <c r="G244" s="57">
        <f t="array" ref="G244">IFERROR(INDEX(Data!$F$2:$F$750,SMALL(Data!$S$2:$S$750,138)),"")</f>
        <v>25668</v>
      </c>
      <c r="H244" s="58">
        <f t="array" ref="H244">IFERROR(IF(INDEX(Data!$G$2:$G$750,SMALL(Data!$S$2:$S$750,138))=0,"",INDEX(Data!$G$2:$G$750,SMALL(Data!$S$2:$S$750,138))),"")</f>
        <v>46281</v>
      </c>
      <c r="I244" s="56">
        <f t="array" ref="I244">IFERROR(IF(INDEX(Data!$H$2:$H$750,SMALL(Data!$S$2:$S$750,138))=0,"",INDEX(Data!$H$2:$H$750,SMALL(Data!$S$2:$S$750,138))),"")</f>
        <v>24</v>
      </c>
      <c r="J244" s="58">
        <f t="array" ref="J244">IFERROR(INDEX(Data!$I$2:$I$750,SMALL(Data!$S$2:$S$750,138)),"")</f>
        <v>46449</v>
      </c>
      <c r="K244" s="56" t="str">
        <f t="array" ref="K244">IFERROR(INDEX(Data!$J$2:$J$750,SMALL(Data!$S$2:$S$750,138)),"")</f>
        <v>Not Paid</v>
      </c>
      <c r="L244" s="56" t="str">
        <f t="array" ref="L244">IFERROR(INDEX(Data!$K$2:$K$750,SMALL(Data!$S$2:$S$750,138)),"")</f>
        <v>Pending</v>
      </c>
      <c r="M244" s="48" t="s">
        <v>301</v>
      </c>
      <c r="N244" s="48">
        <f>SUMIFS(Data!D2:D750,Data!C2:C750,M244,Data!N2:N750,1)</f>
        <v>22</v>
      </c>
    </row>
    <row r="245" ht="15.75" customHeight="1">
      <c r="B245" s="53" t="str">
        <f t="array" ref="B245">IFERROR(INDEX(Data!$A$2:$A$750,SMALL(Data!$S$2:$S$750,139)),"")</f>
        <v>Katameya heights</v>
      </c>
      <c r="C245" s="53" t="str">
        <f t="array" ref="C245">IFERROR(IF(INDEX(Data!$B$2:$B$750,SMALL(Data!$S$2:$S$750,139))=0,"",INDEX(Data!$B$2:$B$750,SMALL(Data!$S$2:$S$750,139))),"")</f>
        <v/>
      </c>
      <c r="D245" s="53" t="str">
        <f t="array" ref="D245">IFERROR(INDEX(Data!$C$2:$C$750,SMALL(Data!$S$2:$S$750,139)),"")</f>
        <v>Mechanical stopper</v>
      </c>
      <c r="E245" s="53">
        <f t="array" ref="E245">IFERROR(IF(INDEX(Data!$D$2:$D$750,SMALL(Data!$S$2:$S$750,139))=0,"",INDEX(Data!$D$2:$D$750,SMALL(Data!$S$2:$S$750,139))),"")</f>
        <v>1</v>
      </c>
      <c r="F245" s="54">
        <f t="array" ref="F245">IFERROR(IF(INDEX(Data!$E$2:$E$750,SMALL(Data!$S$2:$S$750,139))=0,"",INDEX(Data!$E$2:$E$750,SMALL(Data!$S$2:$S$750,139))),"")</f>
        <v>2265</v>
      </c>
      <c r="G245" s="54">
        <f t="array" ref="G245">IFERROR(INDEX(Data!$F$2:$F$750,SMALL(Data!$S$2:$S$750,139)),"")</f>
        <v>2265</v>
      </c>
      <c r="H245" s="55">
        <f t="array" ref="H245">IFERROR(IF(INDEX(Data!$G$2:$G$750,SMALL(Data!$S$2:$S$750,139))=0,"",INDEX(Data!$G$2:$G$750,SMALL(Data!$S$2:$S$750,139))),"")</f>
        <v>46282</v>
      </c>
      <c r="I245" s="53">
        <f t="array" ref="I245">IFERROR(IF(INDEX(Data!$H$2:$H$750,SMALL(Data!$S$2:$S$750,139))=0,"",INDEX(Data!$H$2:$H$750,SMALL(Data!$S$2:$S$750,139))),"")</f>
        <v>24</v>
      </c>
      <c r="J245" s="55">
        <f t="array" ref="J245">IFERROR(INDEX(Data!$I$2:$I$750,SMALL(Data!$S$2:$S$750,139)),"")</f>
        <v>46450</v>
      </c>
      <c r="K245" s="53" t="str">
        <f t="array" ref="K245">IFERROR(INDEX(Data!$J$2:$J$750,SMALL(Data!$S$2:$S$750,139)),"")</f>
        <v>Not Paid</v>
      </c>
      <c r="L245" s="53" t="str">
        <f t="array" ref="L245">IFERROR(INDEX(Data!$K$2:$K$750,SMALL(Data!$S$2:$S$750,139)),"")</f>
        <v>Pending</v>
      </c>
      <c r="M245" s="48" t="s">
        <v>145</v>
      </c>
      <c r="N245" s="48">
        <f>SUMIFS(Data!D2:D750,Data!C2:C750,M245,Data!N2:N750,1)</f>
        <v>12</v>
      </c>
    </row>
    <row r="246" ht="15.75" customHeight="1">
      <c r="B246" s="56" t="str">
        <f t="array" ref="B246">IFERROR(INDEX(Data!$A$2:$A$750,SMALL(Data!$S$2:$S$750,140)),"")</f>
        <v>BUE</v>
      </c>
      <c r="C246" s="56" t="str">
        <f t="array" ref="C246">IFERROR(IF(INDEX(Data!$B$2:$B$750,SMALL(Data!$S$2:$S$750,140))=0,"",INDEX(Data!$B$2:$B$750,SMALL(Data!$S$2:$S$750,140))),"")</f>
        <v/>
      </c>
      <c r="D246" s="56" t="str">
        <f t="array" ref="D246">IFERROR(INDEX(Data!$C$2:$C$750,SMALL(Data!$S$2:$S$750,140)),"")</f>
        <v>Suprema XPass 2 MDPB</v>
      </c>
      <c r="E246" s="56">
        <f t="array" ref="E246">IFERROR(IF(INDEX(Data!$D$2:$D$750,SMALL(Data!$S$2:$S$750,140))=0,"",INDEX(Data!$D$2:$D$750,SMALL(Data!$S$2:$S$750,140))),"")</f>
        <v>1</v>
      </c>
      <c r="F246" s="57">
        <f t="array" ref="F246">IFERROR(IF(INDEX(Data!$E$2:$E$750,SMALL(Data!$S$2:$S$750,140))=0,"",INDEX(Data!$E$2:$E$750,SMALL(Data!$S$2:$S$750,140))),"")</f>
        <v>45</v>
      </c>
      <c r="G246" s="57">
        <f t="array" ref="G246">IFERROR(INDEX(Data!$F$2:$F$750,SMALL(Data!$S$2:$S$750,140)),"")</f>
        <v>45</v>
      </c>
      <c r="H246" s="58">
        <f t="array" ref="H246">IFERROR(IF(INDEX(Data!$G$2:$G$750,SMALL(Data!$S$2:$S$750,140))=0,"",INDEX(Data!$G$2:$G$750,SMALL(Data!$S$2:$S$750,140))),"")</f>
        <v>46283</v>
      </c>
      <c r="I246" s="56">
        <f t="array" ref="I246">IFERROR(IF(INDEX(Data!$H$2:$H$750,SMALL(Data!$S$2:$S$750,140))=0,"",INDEX(Data!$H$2:$H$750,SMALL(Data!$S$2:$S$750,140))),"")</f>
        <v>22</v>
      </c>
      <c r="J246" s="58">
        <f t="array" ref="J246">IFERROR(INDEX(Data!$I$2:$I$750,SMALL(Data!$S$2:$S$750,140)),"")</f>
        <v>46437</v>
      </c>
      <c r="K246" s="56" t="str">
        <f t="array" ref="K246">IFERROR(INDEX(Data!$J$2:$J$750,SMALL(Data!$S$2:$S$750,140)),"")</f>
        <v>Not Paid</v>
      </c>
      <c r="L246" s="56" t="str">
        <f t="array" ref="L246">IFERROR(INDEX(Data!$K$2:$K$750,SMALL(Data!$S$2:$S$750,140)),"")</f>
        <v>Pending</v>
      </c>
      <c r="M246" s="48" t="s">
        <v>29</v>
      </c>
      <c r="N246" s="48">
        <f>SUMIFS(Data!D2:D750,Data!C2:C750,M246,Data!N2:N750,1)</f>
        <v>14</v>
      </c>
    </row>
    <row r="247" ht="15.75" customHeight="1">
      <c r="B247" s="53" t="str">
        <f t="array" ref="B247">IFERROR(INDEX(Data!$A$2:$A$750,SMALL(Data!$S$2:$S$750,141)),"")</f>
        <v>Heliopolis Residence</v>
      </c>
      <c r="C247" s="53" t="str">
        <f t="array" ref="C247">IFERROR(IF(INDEX(Data!$B$2:$B$750,SMALL(Data!$S$2:$S$750,141))=0,"",INDEX(Data!$B$2:$B$750,SMALL(Data!$S$2:$S$750,141))),"")</f>
        <v/>
      </c>
      <c r="D247" s="53" t="str">
        <f t="array" ref="D247">IFERROR(INDEX(Data!$C$2:$C$750,SMALL(Data!$S$2:$S$750,141)),"")</f>
        <v>Dest windshield tags- Blank- Encoded</v>
      </c>
      <c r="E247" s="53">
        <f t="array" ref="E247">IFERROR(IF(INDEX(Data!$D$2:$D$750,SMALL(Data!$S$2:$S$750,141))=0,"",INDEX(Data!$D$2:$D$750,SMALL(Data!$S$2:$S$750,141))),"")</f>
        <v>100</v>
      </c>
      <c r="F247" s="54">
        <f t="array" ref="F247">IFERROR(IF(INDEX(Data!$E$2:$E$750,SMALL(Data!$S$2:$S$750,141))=0,"",INDEX(Data!$E$2:$E$750,SMALL(Data!$S$2:$S$750,141))),"")</f>
        <v>5554</v>
      </c>
      <c r="G247" s="54">
        <f t="array" ref="G247">IFERROR(INDEX(Data!$F$2:$F$750,SMALL(Data!$S$2:$S$750,141)),"")</f>
        <v>555400</v>
      </c>
      <c r="H247" s="55">
        <f t="array" ref="H247">IFERROR(IF(INDEX(Data!$G$2:$G$750,SMALL(Data!$S$2:$S$750,141))=0,"",INDEX(Data!$G$2:$G$750,SMALL(Data!$S$2:$S$750,141))),"")</f>
        <v>46284</v>
      </c>
      <c r="I247" s="53">
        <f t="array" ref="I247">IFERROR(IF(INDEX(Data!$H$2:$H$750,SMALL(Data!$S$2:$S$750,141))=0,"",INDEX(Data!$H$2:$H$750,SMALL(Data!$S$2:$S$750,141))),"")</f>
        <v>22</v>
      </c>
      <c r="J247" s="55">
        <f t="array" ref="J247">IFERROR(INDEX(Data!$I$2:$I$750,SMALL(Data!$S$2:$S$750,141)),"")</f>
        <v>46438</v>
      </c>
      <c r="K247" s="53" t="str">
        <f t="array" ref="K247">IFERROR(INDEX(Data!$J$2:$J$750,SMALL(Data!$S$2:$S$750,141)),"")</f>
        <v>Not Paid</v>
      </c>
      <c r="L247" s="53" t="str">
        <f t="array" ref="L247">IFERROR(INDEX(Data!$K$2:$K$750,SMALL(Data!$S$2:$S$750,141)),"")</f>
        <v>Pending</v>
      </c>
      <c r="M247" s="48" t="s">
        <v>590</v>
      </c>
      <c r="N247" s="48">
        <f>SUMIFS(Data!D2:D750,Data!C2:C750,M247,Data!N2:N750,1)</f>
        <v>32</v>
      </c>
    </row>
    <row r="248" ht="15.75" customHeight="1">
      <c r="B248" s="56" t="str">
        <f t="array" ref="B248">IFERROR(INDEX(Data!$A$2:$A$750,SMALL(Data!$S$2:$S$750,142)),"")</f>
        <v>Marina</v>
      </c>
      <c r="C248" s="56" t="str">
        <f t="array" ref="C248">IFERROR(IF(INDEX(Data!$B$2:$B$750,SMALL(Data!$S$2:$S$750,142))=0,"",INDEX(Data!$B$2:$B$750,SMALL(Data!$S$2:$S$750,142))),"")</f>
        <v/>
      </c>
      <c r="D248" s="56" t="str">
        <f t="array" ref="D248">IFERROR(INDEX(Data!$C$2:$C$750,SMALL(Data!$S$2:$S$750,142)),"")</f>
        <v>UHF Cards</v>
      </c>
      <c r="E248" s="56">
        <f t="array" ref="E248">IFERROR(IF(INDEX(Data!$D$2:$D$750,SMALL(Data!$S$2:$S$750,142))=0,"",INDEX(Data!$D$2:$D$750,SMALL(Data!$S$2:$S$750,142))),"")</f>
        <v>100</v>
      </c>
      <c r="F248" s="57">
        <f t="array" ref="F248">IFERROR(IF(INDEX(Data!$E$2:$E$750,SMALL(Data!$S$2:$S$750,142))=0,"",INDEX(Data!$E$2:$E$750,SMALL(Data!$S$2:$S$750,142))),"")</f>
        <v>41</v>
      </c>
      <c r="G248" s="57">
        <f t="array" ref="G248">IFERROR(INDEX(Data!$F$2:$F$750,SMALL(Data!$S$2:$S$750,142)),"")</f>
        <v>4100</v>
      </c>
      <c r="H248" s="58">
        <f t="array" ref="H248">IFERROR(IF(INDEX(Data!$G$2:$G$750,SMALL(Data!$S$2:$S$750,142))=0,"",INDEX(Data!$G$2:$G$750,SMALL(Data!$S$2:$S$750,142))),"")</f>
        <v>46285</v>
      </c>
      <c r="I248" s="56">
        <f t="array" ref="I248">IFERROR(IF(INDEX(Data!$H$2:$H$750,SMALL(Data!$S$2:$S$750,142))=0,"",INDEX(Data!$H$2:$H$750,SMALL(Data!$S$2:$S$750,142))),"")</f>
        <v>22</v>
      </c>
      <c r="J248" s="58">
        <f t="array" ref="J248">IFERROR(INDEX(Data!$I$2:$I$750,SMALL(Data!$S$2:$S$750,142)),"")</f>
        <v>46439</v>
      </c>
      <c r="K248" s="56" t="str">
        <f t="array" ref="K248">IFERROR(INDEX(Data!$J$2:$J$750,SMALL(Data!$S$2:$S$750,142)),"")</f>
        <v>Not Paid</v>
      </c>
      <c r="L248" s="56" t="str">
        <f t="array" ref="L248">IFERROR(INDEX(Data!$K$2:$K$750,SMALL(Data!$S$2:$S$750,142)),"")</f>
        <v>Pending</v>
      </c>
      <c r="M248" s="48" t="s">
        <v>506</v>
      </c>
      <c r="N248" s="48">
        <f>SUMIFS(Data!D2:D750,Data!C2:C750,M248,Data!N2:N750,1)</f>
        <v>12</v>
      </c>
    </row>
    <row r="249" ht="15.75" customHeight="1">
      <c r="B249" s="53" t="str">
        <f t="array" ref="B249">IFERROR(INDEX(Data!$A$2:$A$750,SMALL(Data!$S$2:$S$750,143)),"")</f>
        <v>Jeera, Jewar, Jedar</v>
      </c>
      <c r="C249" s="53" t="str">
        <f t="array" ref="C249">IFERROR(IF(INDEX(Data!$B$2:$B$750,SMALL(Data!$S$2:$S$750,143))=0,"",INDEX(Data!$B$2:$B$750,SMALL(Data!$S$2:$S$750,143))),"")</f>
        <v/>
      </c>
      <c r="D249" s="53" t="str">
        <f t="array" ref="D249">IFERROR(INDEX(Data!$C$2:$C$750,SMALL(Data!$S$2:$S$750,143)),"")</f>
        <v>Pushbutton</v>
      </c>
      <c r="E249" s="53">
        <f t="array" ref="E249">IFERROR(IF(INDEX(Data!$D$2:$D$750,SMALL(Data!$S$2:$S$750,143))=0,"",INDEX(Data!$D$2:$D$750,SMALL(Data!$S$2:$S$750,143))),"")</f>
        <v>1</v>
      </c>
      <c r="F249" s="54">
        <f t="array" ref="F249">IFERROR(IF(INDEX(Data!$E$2:$E$750,SMALL(Data!$S$2:$S$750,143))=0,"",INDEX(Data!$E$2:$E$750,SMALL(Data!$S$2:$S$750,143))),"")</f>
        <v>231</v>
      </c>
      <c r="G249" s="54">
        <f t="array" ref="G249">IFERROR(INDEX(Data!$F$2:$F$750,SMALL(Data!$S$2:$S$750,143)),"")</f>
        <v>231</v>
      </c>
      <c r="H249" s="55">
        <f t="array" ref="H249">IFERROR(IF(INDEX(Data!$G$2:$G$750,SMALL(Data!$S$2:$S$750,143))=0,"",INDEX(Data!$G$2:$G$750,SMALL(Data!$S$2:$S$750,143))),"")</f>
        <v>46286</v>
      </c>
      <c r="I249" s="53">
        <f t="array" ref="I249">IFERROR(IF(INDEX(Data!$H$2:$H$750,SMALL(Data!$S$2:$S$750,143))=0,"",INDEX(Data!$H$2:$H$750,SMALL(Data!$S$2:$S$750,143))),"")</f>
        <v>21</v>
      </c>
      <c r="J249" s="55">
        <f t="array" ref="J249">IFERROR(INDEX(Data!$I$2:$I$750,SMALL(Data!$S$2:$S$750,143)),"")</f>
        <v>46433</v>
      </c>
      <c r="K249" s="53" t="str">
        <f t="array" ref="K249">IFERROR(INDEX(Data!$J$2:$J$750,SMALL(Data!$S$2:$S$750,143)),"")</f>
        <v>Not Paid</v>
      </c>
      <c r="L249" s="53" t="str">
        <f t="array" ref="L249">IFERROR(INDEX(Data!$K$2:$K$750,SMALL(Data!$S$2:$S$750,143)),"")</f>
        <v>Pending</v>
      </c>
      <c r="M249" s="48" t="s">
        <v>620</v>
      </c>
      <c r="N249" s="48">
        <f>SUMIFS(Data!D2:D750,Data!C2:C750,M249,Data!N2:N750,1)</f>
        <v>12</v>
      </c>
    </row>
    <row r="250" ht="15.75" customHeight="1">
      <c r="B250" s="56" t="str">
        <f t="array" ref="B250">IFERROR(INDEX(Data!$A$2:$A$750,SMALL(Data!$S$2:$S$750,144)),"")</f>
        <v>Jeera, Jewar, Jedar</v>
      </c>
      <c r="C250" s="56" t="str">
        <f t="array" ref="C250">IFERROR(IF(INDEX(Data!$B$2:$B$750,SMALL(Data!$S$2:$S$750,144))=0,"",INDEX(Data!$B$2:$B$750,SMALL(Data!$S$2:$S$750,144))),"")</f>
        <v/>
      </c>
      <c r="D250" s="56" t="str">
        <f t="array" ref="D250">IFERROR(INDEX(Data!$C$2:$C$750,SMALL(Data!$S$2:$S$750,144)),"")</f>
        <v>Photocell</v>
      </c>
      <c r="E250" s="56">
        <f t="array" ref="E250">IFERROR(IF(INDEX(Data!$D$2:$D$750,SMALL(Data!$S$2:$S$750,144))=0,"",INDEX(Data!$D$2:$D$750,SMALL(Data!$S$2:$S$750,144))),"")</f>
        <v>2</v>
      </c>
      <c r="F250" s="57">
        <f t="array" ref="F250">IFERROR(IF(INDEX(Data!$E$2:$E$750,SMALL(Data!$S$2:$S$750,144))=0,"",INDEX(Data!$E$2:$E$750,SMALL(Data!$S$2:$S$750,144))),"")</f>
        <v>25</v>
      </c>
      <c r="G250" s="57">
        <f t="array" ref="G250">IFERROR(INDEX(Data!$F$2:$F$750,SMALL(Data!$S$2:$S$750,144)),"")</f>
        <v>50</v>
      </c>
      <c r="H250" s="58">
        <f t="array" ref="H250">IFERROR(IF(INDEX(Data!$G$2:$G$750,SMALL(Data!$S$2:$S$750,144))=0,"",INDEX(Data!$G$2:$G$750,SMALL(Data!$S$2:$S$750,144))),"")</f>
        <v>46287</v>
      </c>
      <c r="I250" s="56">
        <f t="array" ref="I250">IFERROR(IF(INDEX(Data!$H$2:$H$750,SMALL(Data!$S$2:$S$750,144))=0,"",INDEX(Data!$H$2:$H$750,SMALL(Data!$S$2:$S$750,144))),"")</f>
        <v>20</v>
      </c>
      <c r="J250" s="58">
        <f t="array" ref="J250">IFERROR(INDEX(Data!$I$2:$I$750,SMALL(Data!$S$2:$S$750,144)),"")</f>
        <v>46427</v>
      </c>
      <c r="K250" s="56" t="str">
        <f t="array" ref="K250">IFERROR(INDEX(Data!$J$2:$J$750,SMALL(Data!$S$2:$S$750,144)),"")</f>
        <v>Not Paid</v>
      </c>
      <c r="L250" s="56" t="str">
        <f t="array" ref="L250">IFERROR(INDEX(Data!$K$2:$K$750,SMALL(Data!$S$2:$S$750,144)),"")</f>
        <v>Pending</v>
      </c>
      <c r="M250" s="48" t="s">
        <v>156</v>
      </c>
      <c r="N250" s="48">
        <f>SUMIFS(Data!D2:D750,Data!C2:C750,M250,Data!N2:N750,1)</f>
        <v>1</v>
      </c>
    </row>
    <row r="251" ht="15.75" customHeight="1">
      <c r="B251" s="53" t="str">
        <f t="array" ref="B251">IFERROR(INDEX(Data!$A$2:$A$750,SMALL(Data!$S$2:$S$750,145)),"")</f>
        <v>Jeera, Jewar, Jedar</v>
      </c>
      <c r="C251" s="53" t="str">
        <f t="array" ref="C251">IFERROR(IF(INDEX(Data!$B$2:$B$750,SMALL(Data!$S$2:$S$750,145))=0,"",INDEX(Data!$B$2:$B$750,SMALL(Data!$S$2:$S$750,145))),"")</f>
        <v/>
      </c>
      <c r="D251" s="53" t="str">
        <f t="array" ref="D251">IFERROR(INDEX(Data!$C$2:$C$750,SMALL(Data!$S$2:$S$750,145)),"")</f>
        <v>Spring Rubber</v>
      </c>
      <c r="E251" s="53">
        <f t="array" ref="E251">IFERROR(IF(INDEX(Data!$D$2:$D$750,SMALL(Data!$S$2:$S$750,145))=0,"",INDEX(Data!$D$2:$D$750,SMALL(Data!$S$2:$S$750,145))),"")</f>
        <v>1</v>
      </c>
      <c r="F251" s="54">
        <f t="array" ref="F251">IFERROR(IF(INDEX(Data!$E$2:$E$750,SMALL(Data!$S$2:$S$750,145))=0,"",INDEX(Data!$E$2:$E$750,SMALL(Data!$S$2:$S$750,145))),"")</f>
        <v>245</v>
      </c>
      <c r="G251" s="54">
        <f t="array" ref="G251">IFERROR(INDEX(Data!$F$2:$F$750,SMALL(Data!$S$2:$S$750,145)),"")</f>
        <v>245</v>
      </c>
      <c r="H251" s="55">
        <f t="array" ref="H251">IFERROR(IF(INDEX(Data!$G$2:$G$750,SMALL(Data!$S$2:$S$750,145))=0,"",INDEX(Data!$G$2:$G$750,SMALL(Data!$S$2:$S$750,145))),"")</f>
        <v>46288</v>
      </c>
      <c r="I251" s="53">
        <f t="array" ref="I251">IFERROR(IF(INDEX(Data!$H$2:$H$750,SMALL(Data!$S$2:$S$750,145))=0,"",INDEX(Data!$H$2:$H$750,SMALL(Data!$S$2:$S$750,145))),"")</f>
        <v>21</v>
      </c>
      <c r="J251" s="55">
        <f t="array" ref="J251">IFERROR(INDEX(Data!$I$2:$I$750,SMALL(Data!$S$2:$S$750,145)),"")</f>
        <v>46435</v>
      </c>
      <c r="K251" s="53" t="str">
        <f t="array" ref="K251">IFERROR(INDEX(Data!$J$2:$J$750,SMALL(Data!$S$2:$S$750,145)),"")</f>
        <v>Not Paid</v>
      </c>
      <c r="L251" s="53" t="str">
        <f t="array" ref="L251">IFERROR(INDEX(Data!$K$2:$K$750,SMALL(Data!$S$2:$S$750,145)),"")</f>
        <v>Pending</v>
      </c>
      <c r="M251" s="48" t="s">
        <v>638</v>
      </c>
      <c r="N251" s="48">
        <f>SUMIFS(Data!D2:D750,Data!C2:C750,M251,Data!N2:N750,1)</f>
        <v>2</v>
      </c>
    </row>
    <row r="252" ht="15.75" customHeight="1">
      <c r="B252" s="56" t="str">
        <f t="array" ref="B252">IFERROR(INDEX(Data!$A$2:$A$750,SMALL(Data!$S$2:$S$750,146)),"")</f>
        <v>Jeera, Jewar, Jedar</v>
      </c>
      <c r="C252" s="56" t="str">
        <f t="array" ref="C252">IFERROR(IF(INDEX(Data!$B$2:$B$750,SMALL(Data!$S$2:$S$750,146))=0,"",INDEX(Data!$B$2:$B$750,SMALL(Data!$S$2:$S$750,146))),"")</f>
        <v/>
      </c>
      <c r="D252" s="56" t="str">
        <f t="array" ref="D252">IFERROR(INDEX(Data!$C$2:$C$750,SMALL(Data!$S$2:$S$750,146)),"")</f>
        <v>Photocell with column</v>
      </c>
      <c r="E252" s="56">
        <f t="array" ref="E252">IFERROR(IF(INDEX(Data!$D$2:$D$750,SMALL(Data!$S$2:$S$750,146))=0,"",INDEX(Data!$D$2:$D$750,SMALL(Data!$S$2:$S$750,146))),"")</f>
        <v>1</v>
      </c>
      <c r="F252" s="57">
        <f t="array" ref="F252">IFERROR(IF(INDEX(Data!$E$2:$E$750,SMALL(Data!$S$2:$S$750,146))=0,"",INDEX(Data!$E$2:$E$750,SMALL(Data!$S$2:$S$750,146))),"")</f>
        <v>2555</v>
      </c>
      <c r="G252" s="57">
        <f t="array" ref="G252">IFERROR(INDEX(Data!$F$2:$F$750,SMALL(Data!$S$2:$S$750,146)),"")</f>
        <v>2555</v>
      </c>
      <c r="H252" s="58">
        <f t="array" ref="H252">IFERROR(IF(INDEX(Data!$G$2:$G$750,SMALL(Data!$S$2:$S$750,146))=0,"",INDEX(Data!$G$2:$G$750,SMALL(Data!$S$2:$S$750,146))),"")</f>
        <v>46289</v>
      </c>
      <c r="I252" s="56">
        <f t="array" ref="I252">IFERROR(IF(INDEX(Data!$H$2:$H$750,SMALL(Data!$S$2:$S$750,146))=0,"",INDEX(Data!$H$2:$H$750,SMALL(Data!$S$2:$S$750,146))),"")</f>
        <v>18</v>
      </c>
      <c r="J252" s="58">
        <f t="array" ref="J252">IFERROR(INDEX(Data!$I$2:$I$750,SMALL(Data!$S$2:$S$750,146)),"")</f>
        <v>46415</v>
      </c>
      <c r="K252" s="56" t="str">
        <f t="array" ref="K252">IFERROR(INDEX(Data!$J$2:$J$750,SMALL(Data!$S$2:$S$750,146)),"")</f>
        <v>Not Paid</v>
      </c>
      <c r="L252" s="56" t="str">
        <f t="array" ref="L252">IFERROR(INDEX(Data!$K$2:$K$750,SMALL(Data!$S$2:$S$750,146)),"")</f>
        <v>Pending</v>
      </c>
      <c r="M252" s="48" t="s">
        <v>78</v>
      </c>
      <c r="N252" s="48">
        <f>SUMIFS(Data!D2:D750,Data!C2:C750,M252,Data!N2:N750,1)</f>
        <v>1</v>
      </c>
    </row>
    <row r="253" ht="15.75" customHeight="1">
      <c r="B253" s="53" t="str">
        <f t="array" ref="B253">IFERROR(INDEX(Data!$A$2:$A$750,SMALL(Data!$S$2:$S$750,147)),"")</f>
        <v>Villa Khaled Abu El Naga</v>
      </c>
      <c r="C253" s="53" t="str">
        <f t="array" ref="C253">IFERROR(IF(INDEX(Data!$B$2:$B$750,SMALL(Data!$S$2:$S$750,147))=0,"",INDEX(Data!$B$2:$B$750,SMALL(Data!$S$2:$S$750,147))),"")</f>
        <v/>
      </c>
      <c r="D253" s="53" t="str">
        <f t="array" ref="D253">IFERROR(INDEX(Data!$C$2:$C$750,SMALL(Data!$S$2:$S$750,147)),"")</f>
        <v>KIT PRINCE</v>
      </c>
      <c r="E253" s="53">
        <f t="array" ref="E253">IFERROR(IF(INDEX(Data!$D$2:$D$750,SMALL(Data!$S$2:$S$750,147))=0,"",INDEX(Data!$D$2:$D$750,SMALL(Data!$S$2:$S$750,147))),"")</f>
        <v>1</v>
      </c>
      <c r="F253" s="54">
        <f t="array" ref="F253">IFERROR(IF(INDEX(Data!$E$2:$E$750,SMALL(Data!$S$2:$S$750,147))=0,"",INDEX(Data!$E$2:$E$750,SMALL(Data!$S$2:$S$750,147))),"")</f>
        <v>255</v>
      </c>
      <c r="G253" s="54">
        <f t="array" ref="G253">IFERROR(INDEX(Data!$F$2:$F$750,SMALL(Data!$S$2:$S$750,147)),"")</f>
        <v>255</v>
      </c>
      <c r="H253" s="55">
        <f t="array" ref="H253">IFERROR(IF(INDEX(Data!$G$2:$G$750,SMALL(Data!$S$2:$S$750,147))=0,"",INDEX(Data!$G$2:$G$750,SMALL(Data!$S$2:$S$750,147))),"")</f>
        <v>46290</v>
      </c>
      <c r="I253" s="53">
        <f t="array" ref="I253">IFERROR(IF(INDEX(Data!$H$2:$H$750,SMALL(Data!$S$2:$S$750,147))=0,"",INDEX(Data!$H$2:$H$750,SMALL(Data!$S$2:$S$750,147))),"")</f>
        <v>22</v>
      </c>
      <c r="J253" s="55">
        <f t="array" ref="J253">IFERROR(INDEX(Data!$I$2:$I$750,SMALL(Data!$S$2:$S$750,147)),"")</f>
        <v>46444</v>
      </c>
      <c r="K253" s="53" t="str">
        <f t="array" ref="K253">IFERROR(INDEX(Data!$J$2:$J$750,SMALL(Data!$S$2:$S$750,147)),"")</f>
        <v>Not Paid</v>
      </c>
      <c r="L253" s="53" t="str">
        <f t="array" ref="L253">IFERROR(INDEX(Data!$K$2:$K$750,SMALL(Data!$S$2:$S$750,147)),"")</f>
        <v>Pending</v>
      </c>
      <c r="M253" s="48" t="s">
        <v>152</v>
      </c>
      <c r="N253" s="48">
        <f>SUMIFS(Data!D2:D750,Data!C2:C750,M253,Data!N2:N750,1)</f>
        <v>100</v>
      </c>
    </row>
    <row r="254" ht="15.75" customHeight="1">
      <c r="B254" s="56" t="str">
        <f t="array" ref="B254">IFERROR(INDEX(Data!$A$2:$A$750,SMALL(Data!$S$2:$S$750,148)),"")</f>
        <v>Semiramis</v>
      </c>
      <c r="C254" s="56" t="str">
        <f t="array" ref="C254">IFERROR(IF(INDEX(Data!$B$2:$B$750,SMALL(Data!$S$2:$S$750,148))=0,"",INDEX(Data!$B$2:$B$750,SMALL(Data!$S$2:$S$750,148))),"")</f>
        <v/>
      </c>
      <c r="D254" s="56" t="str">
        <f t="array" ref="D254">IFERROR(INDEX(Data!$C$2:$C$750,SMALL(Data!$S$2:$S$750,148)),"")</f>
        <v>M-Crown tags</v>
      </c>
      <c r="E254" s="56">
        <f t="array" ref="E254">IFERROR(IF(INDEX(Data!$D$2:$D$750,SMALL(Data!$S$2:$S$750,148))=0,"",INDEX(Data!$D$2:$D$750,SMALL(Data!$S$2:$S$750,148))),"")</f>
        <v>4000</v>
      </c>
      <c r="F254" s="57">
        <f t="array" ref="F254">IFERROR(IF(INDEX(Data!$E$2:$E$750,SMALL(Data!$S$2:$S$750,148))=0,"",INDEX(Data!$E$2:$E$750,SMALL(Data!$S$2:$S$750,148))),"")</f>
        <v>45</v>
      </c>
      <c r="G254" s="57">
        <f t="array" ref="G254">IFERROR(INDEX(Data!$F$2:$F$750,SMALL(Data!$S$2:$S$750,148)),"")</f>
        <v>180000</v>
      </c>
      <c r="H254" s="58">
        <f t="array" ref="H254">IFERROR(IF(INDEX(Data!$G$2:$G$750,SMALL(Data!$S$2:$S$750,148))=0,"",INDEX(Data!$G$2:$G$750,SMALL(Data!$S$2:$S$750,148))),"")</f>
        <v>46291</v>
      </c>
      <c r="I254" s="56">
        <f t="array" ref="I254">IFERROR(IF(INDEX(Data!$H$2:$H$750,SMALL(Data!$S$2:$S$750,148))=0,"",INDEX(Data!$H$2:$H$750,SMALL(Data!$S$2:$S$750,148))),"")</f>
        <v>21</v>
      </c>
      <c r="J254" s="58">
        <f t="array" ref="J254">IFERROR(INDEX(Data!$I$2:$I$750,SMALL(Data!$S$2:$S$750,148)),"")</f>
        <v>46438</v>
      </c>
      <c r="K254" s="56" t="str">
        <f t="array" ref="K254">IFERROR(INDEX(Data!$J$2:$J$750,SMALL(Data!$S$2:$S$750,148)),"")</f>
        <v>Not Paid</v>
      </c>
      <c r="L254" s="56" t="str">
        <f t="array" ref="L254">IFERROR(INDEX(Data!$K$2:$K$750,SMALL(Data!$S$2:$S$750,148)),"")</f>
        <v>Pending</v>
      </c>
      <c r="M254" s="48" t="s">
        <v>401</v>
      </c>
      <c r="N254" s="48">
        <f>SUMIFS(Data!D2:D750,Data!C2:C750,M254,Data!N2:N750,1)</f>
        <v>2</v>
      </c>
    </row>
    <row r="255" ht="15.75" customHeight="1">
      <c r="B255" s="53" t="str">
        <f t="array" ref="B255">IFERROR(INDEX(Data!$A$2:$A$750,SMALL(Data!$S$2:$S$750,149)),"")</f>
        <v>Lavista 6</v>
      </c>
      <c r="C255" s="53" t="str">
        <f t="array" ref="C255">IFERROR(IF(INDEX(Data!$B$2:$B$750,SMALL(Data!$S$2:$S$750,149))=0,"",INDEX(Data!$B$2:$B$750,SMALL(Data!$S$2:$S$750,149))),"")</f>
        <v/>
      </c>
      <c r="D255" s="53" t="str">
        <f t="array" ref="D255">IFERROR(INDEX(Data!$C$2:$C$750,SMALL(Data!$S$2:$S$750,149)),"")</f>
        <v>Mechanical stopper</v>
      </c>
      <c r="E255" s="53">
        <f t="array" ref="E255">IFERROR(IF(INDEX(Data!$D$2:$D$750,SMALL(Data!$S$2:$S$750,149))=0,"",INDEX(Data!$D$2:$D$750,SMALL(Data!$S$2:$S$750,149))),"")</f>
        <v>2</v>
      </c>
      <c r="F255" s="54">
        <f t="array" ref="F255">IFERROR(IF(INDEX(Data!$E$2:$E$750,SMALL(Data!$S$2:$S$750,149))=0,"",INDEX(Data!$E$2:$E$750,SMALL(Data!$S$2:$S$750,149))),"")</f>
        <v>36</v>
      </c>
      <c r="G255" s="54">
        <f t="array" ref="G255">IFERROR(INDEX(Data!$F$2:$F$750,SMALL(Data!$S$2:$S$750,149)),"")</f>
        <v>72</v>
      </c>
      <c r="H255" s="55">
        <f t="array" ref="H255">IFERROR(IF(INDEX(Data!$G$2:$G$750,SMALL(Data!$S$2:$S$750,149))=0,"",INDEX(Data!$G$2:$G$750,SMALL(Data!$S$2:$S$750,149))),"")</f>
        <v>46292</v>
      </c>
      <c r="I255" s="53">
        <f t="array" ref="I255">IFERROR(IF(INDEX(Data!$H$2:$H$750,SMALL(Data!$S$2:$S$750,149))=0,"",INDEX(Data!$H$2:$H$750,SMALL(Data!$S$2:$S$750,149))),"")</f>
        <v>20</v>
      </c>
      <c r="J255" s="55">
        <f t="array" ref="J255">IFERROR(INDEX(Data!$I$2:$I$750,SMALL(Data!$S$2:$S$750,149)),"")</f>
        <v>46432</v>
      </c>
      <c r="K255" s="53" t="str">
        <f t="array" ref="K255">IFERROR(INDEX(Data!$J$2:$J$750,SMALL(Data!$S$2:$S$750,149)),"")</f>
        <v>Not Paid</v>
      </c>
      <c r="L255" s="53" t="str">
        <f t="array" ref="L255">IFERROR(INDEX(Data!$K$2:$K$750,SMALL(Data!$S$2:$S$750,149)),"")</f>
        <v>Pending</v>
      </c>
      <c r="M255" s="48" t="s">
        <v>383</v>
      </c>
      <c r="N255" s="48">
        <f>SUMIFS(Data!D2:D750,Data!C2:C750,M255,Data!N2:N750,1)</f>
        <v>2</v>
      </c>
    </row>
    <row r="256" ht="15.75" customHeight="1">
      <c r="B256" s="56" t="str">
        <f t="array" ref="B256">IFERROR(INDEX(Data!$A$2:$A$750,SMALL(Data!$S$2:$S$750,150)),"")</f>
        <v>Lavista 8</v>
      </c>
      <c r="C256" s="56" t="str">
        <f t="array" ref="C256">IFERROR(IF(INDEX(Data!$B$2:$B$750,SMALL(Data!$S$2:$S$750,150))=0,"",INDEX(Data!$B$2:$B$750,SMALL(Data!$S$2:$S$750,150))),"")</f>
        <v/>
      </c>
      <c r="D256" s="56" t="str">
        <f t="array" ref="D256">IFERROR(INDEX(Data!$C$2:$C$750,SMALL(Data!$S$2:$S$750,150)),"")</f>
        <v>Limit switch</v>
      </c>
      <c r="E256" s="56">
        <f t="array" ref="E256">IFERROR(IF(INDEX(Data!$D$2:$D$750,SMALL(Data!$S$2:$S$750,150))=0,"",INDEX(Data!$D$2:$D$750,SMALL(Data!$S$2:$S$750,150))),"")</f>
        <v>1</v>
      </c>
      <c r="F256" s="57">
        <f t="array" ref="F256">IFERROR(IF(INDEX(Data!$E$2:$E$750,SMALL(Data!$S$2:$S$750,150))=0,"",INDEX(Data!$E$2:$E$750,SMALL(Data!$S$2:$S$750,150))),"")</f>
        <v>96</v>
      </c>
      <c r="G256" s="57">
        <f t="array" ref="G256">IFERROR(INDEX(Data!$F$2:$F$750,SMALL(Data!$S$2:$S$750,150)),"")</f>
        <v>96</v>
      </c>
      <c r="H256" s="58">
        <f t="array" ref="H256">IFERROR(IF(INDEX(Data!$G$2:$G$750,SMALL(Data!$S$2:$S$750,150))=0,"",INDEX(Data!$G$2:$G$750,SMALL(Data!$S$2:$S$750,150))),"")</f>
        <v>46293</v>
      </c>
      <c r="I256" s="56">
        <f t="array" ref="I256">IFERROR(IF(INDEX(Data!$H$2:$H$750,SMALL(Data!$S$2:$S$750,150))=0,"",INDEX(Data!$H$2:$H$750,SMALL(Data!$S$2:$S$750,150))),"")</f>
        <v>18</v>
      </c>
      <c r="J256" s="58">
        <f t="array" ref="J256">IFERROR(INDEX(Data!$I$2:$I$750,SMALL(Data!$S$2:$S$750,150)),"")</f>
        <v>46419</v>
      </c>
      <c r="K256" s="56" t="str">
        <f t="array" ref="K256">IFERROR(INDEX(Data!$J$2:$J$750,SMALL(Data!$S$2:$S$750,150)),"")</f>
        <v>Not Paid</v>
      </c>
      <c r="L256" s="56" t="str">
        <f t="array" ref="L256">IFERROR(INDEX(Data!$K$2:$K$750,SMALL(Data!$S$2:$S$750,150)),"")</f>
        <v>Pending</v>
      </c>
      <c r="M256" s="48" t="s">
        <v>592</v>
      </c>
      <c r="N256" s="48">
        <f>SUMIFS(Data!D2:D750,Data!C2:C750,M256,Data!N2:N750,1)</f>
        <v>32</v>
      </c>
    </row>
    <row r="257" ht="15.75" customHeight="1">
      <c r="B257" s="53" t="str">
        <f t="array" ref="B257">IFERROR(INDEX(Data!$A$2:$A$750,SMALL(Data!$S$2:$S$750,151)),"")</f>
        <v>iscore</v>
      </c>
      <c r="C257" s="53" t="str">
        <f t="array" ref="C257">IFERROR(IF(INDEX(Data!$B$2:$B$750,SMALL(Data!$S$2:$S$750,151))=0,"",INDEX(Data!$B$2:$B$750,SMALL(Data!$S$2:$S$750,151))),"")</f>
        <v/>
      </c>
      <c r="D257" s="53" t="str">
        <f t="array" ref="D257">IFERROR(INDEX(Data!$C$2:$C$750,SMALL(Data!$S$2:$S$750,151)),"")</f>
        <v>Dogbone blank</v>
      </c>
      <c r="E257" s="53">
        <f t="array" ref="E257">IFERROR(IF(INDEX(Data!$D$2:$D$750,SMALL(Data!$S$2:$S$750,151))=0,"",INDEX(Data!$D$2:$D$750,SMALL(Data!$S$2:$S$750,151))),"")</f>
        <v>2000</v>
      </c>
      <c r="F257" s="54">
        <f t="array" ref="F257">IFERROR(IF(INDEX(Data!$E$2:$E$750,SMALL(Data!$S$2:$S$750,151))=0,"",INDEX(Data!$E$2:$E$750,SMALL(Data!$S$2:$S$750,151))),"")</f>
        <v>8</v>
      </c>
      <c r="G257" s="54">
        <f t="array" ref="G257">IFERROR(INDEX(Data!$F$2:$F$750,SMALL(Data!$S$2:$S$750,151)),"")</f>
        <v>16000</v>
      </c>
      <c r="H257" s="55">
        <f t="array" ref="H257">IFERROR(IF(INDEX(Data!$G$2:$G$750,SMALL(Data!$S$2:$S$750,151))=0,"",INDEX(Data!$G$2:$G$750,SMALL(Data!$S$2:$S$750,151))),"")</f>
        <v>46294</v>
      </c>
      <c r="I257" s="53">
        <f t="array" ref="I257">IFERROR(IF(INDEX(Data!$H$2:$H$750,SMALL(Data!$S$2:$S$750,151))=0,"",INDEX(Data!$H$2:$H$750,SMALL(Data!$S$2:$S$750,151))),"")</f>
        <v>19</v>
      </c>
      <c r="J257" s="55">
        <f t="array" ref="J257">IFERROR(INDEX(Data!$I$2:$I$750,SMALL(Data!$S$2:$S$750,151)),"")</f>
        <v>46427</v>
      </c>
      <c r="K257" s="53" t="str">
        <f t="array" ref="K257">IFERROR(INDEX(Data!$J$2:$J$750,SMALL(Data!$S$2:$S$750,151)),"")</f>
        <v>Not Paid</v>
      </c>
      <c r="L257" s="53" t="str">
        <f t="array" ref="L257">IFERROR(INDEX(Data!$K$2:$K$750,SMALL(Data!$S$2:$S$750,151)),"")</f>
        <v>Pending</v>
      </c>
      <c r="M257" s="48" t="s">
        <v>410</v>
      </c>
      <c r="N257" s="48">
        <f>SUMIFS(Data!D2:D750,Data!C2:C750,M257,Data!N2:N750,1)</f>
        <v>27</v>
      </c>
    </row>
    <row r="258" ht="15.75" customHeight="1">
      <c r="B258" s="56" t="str">
        <f t="array" ref="B258">IFERROR(INDEX(Data!$A$2:$A$750,SMALL(Data!$S$2:$S$750,152)),"")</f>
        <v>iscore</v>
      </c>
      <c r="C258" s="56" t="str">
        <f t="array" ref="C258">IFERROR(IF(INDEX(Data!$B$2:$B$750,SMALL(Data!$S$2:$S$750,152))=0,"",INDEX(Data!$B$2:$B$750,SMALL(Data!$S$2:$S$750,152))),"")</f>
        <v/>
      </c>
      <c r="D258" s="56" t="str">
        <f t="array" ref="D258">IFERROR(INDEX(Data!$C$2:$C$750,SMALL(Data!$S$2:$S$750,152)),"")</f>
        <v>SATO ribbon</v>
      </c>
      <c r="E258" s="56">
        <f t="array" ref="E258">IFERROR(IF(INDEX(Data!$D$2:$D$750,SMALL(Data!$S$2:$S$750,152))=0,"",INDEX(Data!$D$2:$D$750,SMALL(Data!$S$2:$S$750,152))),"")</f>
        <v>1</v>
      </c>
      <c r="F258" s="57">
        <f t="array" ref="F258">IFERROR(IF(INDEX(Data!$E$2:$E$750,SMALL(Data!$S$2:$S$750,152))=0,"",INDEX(Data!$E$2:$E$750,SMALL(Data!$S$2:$S$750,152))),"")</f>
        <v>5</v>
      </c>
      <c r="G258" s="57">
        <f t="array" ref="G258">IFERROR(INDEX(Data!$F$2:$F$750,SMALL(Data!$S$2:$S$750,152)),"")</f>
        <v>5</v>
      </c>
      <c r="H258" s="58">
        <f t="array" ref="H258">IFERROR(IF(INDEX(Data!$G$2:$G$750,SMALL(Data!$S$2:$S$750,152))=0,"",INDEX(Data!$G$2:$G$750,SMALL(Data!$S$2:$S$750,152))),"")</f>
        <v>46295</v>
      </c>
      <c r="I258" s="56">
        <f t="array" ref="I258">IFERROR(IF(INDEX(Data!$H$2:$H$750,SMALL(Data!$S$2:$S$750,152))=0,"",INDEX(Data!$H$2:$H$750,SMALL(Data!$S$2:$S$750,152))),"")</f>
        <v>5</v>
      </c>
      <c r="J258" s="58">
        <f t="array" ref="J258">IFERROR(INDEX(Data!$I$2:$I$750,SMALL(Data!$S$2:$S$750,152)),"")</f>
        <v>46330</v>
      </c>
      <c r="K258" s="56" t="str">
        <f t="array" ref="K258">IFERROR(INDEX(Data!$J$2:$J$750,SMALL(Data!$S$2:$S$750,152)),"")</f>
        <v>Not Paid</v>
      </c>
      <c r="L258" s="56" t="str">
        <f t="array" ref="L258">IFERROR(INDEX(Data!$K$2:$K$750,SMALL(Data!$S$2:$S$750,152)),"")</f>
        <v>Pending</v>
      </c>
      <c r="M258" s="48" t="s">
        <v>386</v>
      </c>
      <c r="N258" s="48">
        <f>SUMIFS(Data!D2:D750,Data!C2:C750,M258,Data!N2:N750,1)</f>
        <v>1</v>
      </c>
    </row>
    <row r="259" ht="15.75" customHeight="1">
      <c r="B259" s="53" t="str">
        <f t="array" ref="B259">IFERROR(INDEX(Data!$A$2:$A$750,SMALL(Data!$S$2:$S$750,153)),"")</f>
        <v>Mediterranean</v>
      </c>
      <c r="C259" s="53" t="str">
        <f t="array" ref="C259">IFERROR(IF(INDEX(Data!$B$2:$B$750,SMALL(Data!$S$2:$S$750,153))=0,"",INDEX(Data!$B$2:$B$750,SMALL(Data!$S$2:$S$750,153))),"")</f>
        <v/>
      </c>
      <c r="D259" s="53" t="str">
        <f t="array" ref="D259">IFERROR(INDEX(Data!$C$2:$C$750,SMALL(Data!$S$2:$S$750,153)),"")</f>
        <v>Sato Resin Ribbons (Y10110600421)</v>
      </c>
      <c r="E259" s="53">
        <f t="array" ref="E259">IFERROR(IF(INDEX(Data!$D$2:$D$750,SMALL(Data!$S$2:$S$750,153))=0,"",INDEX(Data!$D$2:$D$750,SMALL(Data!$S$2:$S$750,153))),"")</f>
        <v>70</v>
      </c>
      <c r="F259" s="54">
        <f t="array" ref="F259">IFERROR(IF(INDEX(Data!$E$2:$E$750,SMALL(Data!$S$2:$S$750,153))=0,"",INDEX(Data!$E$2:$E$750,SMALL(Data!$S$2:$S$750,153))),"")</f>
        <v>4</v>
      </c>
      <c r="G259" s="54">
        <f t="array" ref="G259">IFERROR(INDEX(Data!$F$2:$F$750,SMALL(Data!$S$2:$S$750,153)),"")</f>
        <v>280</v>
      </c>
      <c r="H259" s="55">
        <f t="array" ref="H259">IFERROR(IF(INDEX(Data!$G$2:$G$750,SMALL(Data!$S$2:$S$750,153))=0,"",INDEX(Data!$G$2:$G$750,SMALL(Data!$S$2:$S$750,153))),"")</f>
        <v>46296</v>
      </c>
      <c r="I259" s="53">
        <f t="array" ref="I259">IFERROR(IF(INDEX(Data!$H$2:$H$750,SMALL(Data!$S$2:$S$750,153))=0,"",INDEX(Data!$H$2:$H$750,SMALL(Data!$S$2:$S$750,153))),"")</f>
        <v>4</v>
      </c>
      <c r="J259" s="55">
        <f t="array" ref="J259">IFERROR(INDEX(Data!$I$2:$I$750,SMALL(Data!$S$2:$S$750,153)),"")</f>
        <v>46324</v>
      </c>
      <c r="K259" s="53" t="str">
        <f t="array" ref="K259">IFERROR(INDEX(Data!$J$2:$J$750,SMALL(Data!$S$2:$S$750,153)),"")</f>
        <v>Not Paid</v>
      </c>
      <c r="L259" s="53" t="str">
        <f t="array" ref="L259">IFERROR(INDEX(Data!$K$2:$K$750,SMALL(Data!$S$2:$S$750,153)),"")</f>
        <v>Pending</v>
      </c>
      <c r="M259" s="48" t="s">
        <v>408</v>
      </c>
      <c r="N259" s="48">
        <f>SUMIFS(Data!D2:D750,Data!C2:C750,M259,Data!N2:N750,1)</f>
        <v>1</v>
      </c>
    </row>
    <row r="260" ht="15.75" customHeight="1">
      <c r="B260" s="56" t="str">
        <f t="array" ref="B260">IFERROR(INDEX(Data!$A$2:$A$750,SMALL(Data!$S$2:$S$750,154)),"")</f>
        <v>Suez Canal Bank</v>
      </c>
      <c r="C260" s="56" t="str">
        <f t="array" ref="C260">IFERROR(IF(INDEX(Data!$B$2:$B$750,SMALL(Data!$S$2:$S$750,154))=0,"",INDEX(Data!$B$2:$B$750,SMALL(Data!$S$2:$S$750,154))),"")</f>
        <v/>
      </c>
      <c r="D260" s="56" t="str">
        <f t="array" ref="D260">IFERROR(INDEX(Data!$C$2:$C$750,SMALL(Data!$S$2:$S$750,154)),"")</f>
        <v>Dogbone</v>
      </c>
      <c r="E260" s="56">
        <f t="array" ref="E260">IFERROR(IF(INDEX(Data!$D$2:$D$750,SMALL(Data!$S$2:$S$750,154))=0,"",INDEX(Data!$D$2:$D$750,SMALL(Data!$S$2:$S$750,154))),"")</f>
        <v>6000</v>
      </c>
      <c r="F260" s="57">
        <f t="array" ref="F260">IFERROR(IF(INDEX(Data!$E$2:$E$750,SMALL(Data!$S$2:$S$750,154))=0,"",INDEX(Data!$E$2:$E$750,SMALL(Data!$S$2:$S$750,154))),"")</f>
        <v>2</v>
      </c>
      <c r="G260" s="57">
        <f t="array" ref="G260">IFERROR(INDEX(Data!$F$2:$F$750,SMALL(Data!$S$2:$S$750,154)),"")</f>
        <v>12000</v>
      </c>
      <c r="H260" s="58">
        <f t="array" ref="H260">IFERROR(IF(INDEX(Data!$G$2:$G$750,SMALL(Data!$S$2:$S$750,154))=0,"",INDEX(Data!$G$2:$G$750,SMALL(Data!$S$2:$S$750,154))),"")</f>
        <v>46297</v>
      </c>
      <c r="I260" s="56">
        <f t="array" ref="I260">IFERROR(IF(INDEX(Data!$H$2:$H$750,SMALL(Data!$S$2:$S$750,154))=0,"",INDEX(Data!$H$2:$H$750,SMALL(Data!$S$2:$S$750,154))),"")</f>
        <v>6</v>
      </c>
      <c r="J260" s="58">
        <f t="array" ref="J260">IFERROR(INDEX(Data!$I$2:$I$750,SMALL(Data!$S$2:$S$750,154)),"")</f>
        <v>46339</v>
      </c>
      <c r="K260" s="56" t="str">
        <f t="array" ref="K260">IFERROR(INDEX(Data!$J$2:$J$750,SMALL(Data!$S$2:$S$750,154)),"")</f>
        <v>Not Paid</v>
      </c>
      <c r="L260" s="56" t="str">
        <f t="array" ref="L260">IFERROR(INDEX(Data!$K$2:$K$750,SMALL(Data!$S$2:$S$750,154)),"")</f>
        <v>Pending</v>
      </c>
      <c r="M260" s="48" t="s">
        <v>399</v>
      </c>
      <c r="N260" s="48">
        <f>SUMIFS(Data!D2:D750,Data!C2:C750,M260,Data!N2:N750,1)</f>
        <v>2</v>
      </c>
    </row>
    <row r="261" ht="15.75" customHeight="1">
      <c r="B261" s="53" t="str">
        <f t="array" ref="B261">IFERROR(INDEX(Data!$A$2:$A$750,SMALL(Data!$S$2:$S$750,155)),"")</f>
        <v>Suez Canal Bank</v>
      </c>
      <c r="C261" s="53" t="str">
        <f t="array" ref="C261">IFERROR(IF(INDEX(Data!$B$2:$B$750,SMALL(Data!$S$2:$S$750,155))=0,"",INDEX(Data!$B$2:$B$750,SMALL(Data!$S$2:$S$750,155))),"")</f>
        <v/>
      </c>
      <c r="D261" s="53" t="str">
        <f t="array" ref="D261">IFERROR(INDEX(Data!$C$2:$C$750,SMALL(Data!$S$2:$S$750,155)),"")</f>
        <v>UHF Tags for Metal Assets- (RCO7011)</v>
      </c>
      <c r="E261" s="53">
        <f t="array" ref="E261">IFERROR(IF(INDEX(Data!$D$2:$D$750,SMALL(Data!$S$2:$S$750,155))=0,"",INDEX(Data!$D$2:$D$750,SMALL(Data!$S$2:$S$750,155))),"")</f>
        <v>6000</v>
      </c>
      <c r="F261" s="54">
        <f t="array" ref="F261">IFERROR(IF(INDEX(Data!$E$2:$E$750,SMALL(Data!$S$2:$S$750,155))=0,"",INDEX(Data!$E$2:$E$750,SMALL(Data!$S$2:$S$750,155))),"")</f>
        <v>36</v>
      </c>
      <c r="G261" s="54">
        <f t="array" ref="G261">IFERROR(INDEX(Data!$F$2:$F$750,SMALL(Data!$S$2:$S$750,155)),"")</f>
        <v>216000</v>
      </c>
      <c r="H261" s="55">
        <f t="array" ref="H261">IFERROR(IF(INDEX(Data!$G$2:$G$750,SMALL(Data!$S$2:$S$750,155))=0,"",INDEX(Data!$G$2:$G$750,SMALL(Data!$S$2:$S$750,155))),"")</f>
        <v>46298</v>
      </c>
      <c r="I261" s="53">
        <f t="array" ref="I261">IFERROR(IF(INDEX(Data!$H$2:$H$750,SMALL(Data!$S$2:$S$750,155))=0,"",INDEX(Data!$H$2:$H$750,SMALL(Data!$S$2:$S$750,155))),"")</f>
        <v>5</v>
      </c>
      <c r="J261" s="55">
        <f t="array" ref="J261">IFERROR(INDEX(Data!$I$2:$I$750,SMALL(Data!$S$2:$S$750,155)),"")</f>
        <v>46333</v>
      </c>
      <c r="K261" s="53" t="str">
        <f t="array" ref="K261">IFERROR(INDEX(Data!$J$2:$J$750,SMALL(Data!$S$2:$S$750,155)),"")</f>
        <v>Not Paid</v>
      </c>
      <c r="L261" s="53" t="str">
        <f t="array" ref="L261">IFERROR(INDEX(Data!$K$2:$K$750,SMALL(Data!$S$2:$S$750,155)),"")</f>
        <v>Pending</v>
      </c>
      <c r="M261" s="48" t="s">
        <v>604</v>
      </c>
      <c r="N261" s="48">
        <f>SUMIFS(Data!D2:D750,Data!C2:C750,M261,Data!N2:N750,1)</f>
        <v>2</v>
      </c>
    </row>
    <row r="262" ht="15.75" customHeight="1">
      <c r="B262" s="56" t="str">
        <f t="array" ref="B262">IFERROR(INDEX(Data!$A$2:$A$750,SMALL(Data!$S$2:$S$750,156)),"")</f>
        <v>Reefy</v>
      </c>
      <c r="C262" s="56" t="str">
        <f t="array" ref="C262">IFERROR(IF(INDEX(Data!$B$2:$B$750,SMALL(Data!$S$2:$S$750,156))=0,"",INDEX(Data!$B$2:$B$750,SMALL(Data!$S$2:$S$750,156))),"")</f>
        <v/>
      </c>
      <c r="D262" s="56" t="str">
        <f t="array" ref="D262">IFERROR(INDEX(Data!$C$2:$C$750,SMALL(Data!$S$2:$S$750,156)),"")</f>
        <v>Dogbone printed&amp;encoded</v>
      </c>
      <c r="E262" s="56">
        <f t="array" ref="E262">IFERROR(IF(INDEX(Data!$D$2:$D$750,SMALL(Data!$S$2:$S$750,156))=0,"",INDEX(Data!$D$2:$D$750,SMALL(Data!$S$2:$S$750,156))),"")</f>
        <v>20000</v>
      </c>
      <c r="F262" s="57">
        <f t="array" ref="F262">IFERROR(IF(INDEX(Data!$E$2:$E$750,SMALL(Data!$S$2:$S$750,156))=0,"",INDEX(Data!$E$2:$E$750,SMALL(Data!$S$2:$S$750,156))),"")</f>
        <v>2</v>
      </c>
      <c r="G262" s="57">
        <f t="array" ref="G262">IFERROR(INDEX(Data!$F$2:$F$750,SMALL(Data!$S$2:$S$750,156)),"")</f>
        <v>40000</v>
      </c>
      <c r="H262" s="58">
        <f t="array" ref="H262">IFERROR(IF(INDEX(Data!$G$2:$G$750,SMALL(Data!$S$2:$S$750,156))=0,"",INDEX(Data!$G$2:$G$750,SMALL(Data!$S$2:$S$750,156))),"")</f>
        <v>46299</v>
      </c>
      <c r="I262" s="56">
        <f t="array" ref="I262">IFERROR(IF(INDEX(Data!$H$2:$H$750,SMALL(Data!$S$2:$S$750,156))=0,"",INDEX(Data!$H$2:$H$750,SMALL(Data!$S$2:$S$750,156))),"")</f>
        <v>2</v>
      </c>
      <c r="J262" s="58">
        <f t="array" ref="J262">IFERROR(INDEX(Data!$I$2:$I$750,SMALL(Data!$S$2:$S$750,156)),"")</f>
        <v>46313</v>
      </c>
      <c r="K262" s="56" t="str">
        <f t="array" ref="K262">IFERROR(INDEX(Data!$J$2:$J$750,SMALL(Data!$S$2:$S$750,156)),"")</f>
        <v>Not Paid</v>
      </c>
      <c r="L262" s="56" t="str">
        <f t="array" ref="L262">IFERROR(INDEX(Data!$K$2:$K$750,SMALL(Data!$S$2:$S$750,156)),"")</f>
        <v>Pending</v>
      </c>
      <c r="M262" s="48" t="s">
        <v>546</v>
      </c>
      <c r="N262" s="48">
        <f>SUMIFS(Data!D2:D750,Data!C2:C750,M262,Data!N2:N750,1)</f>
        <v>7</v>
      </c>
    </row>
    <row r="263" ht="15.75" customHeight="1">
      <c r="B263" s="53" t="str">
        <f t="array" ref="B263">IFERROR(INDEX(Data!$A$2:$A$750,SMALL(Data!$S$2:$S$750,157)),"")</f>
        <v>Reefy</v>
      </c>
      <c r="C263" s="53" t="str">
        <f t="array" ref="C263">IFERROR(IF(INDEX(Data!$B$2:$B$750,SMALL(Data!$S$2:$S$750,157))=0,"",INDEX(Data!$B$2:$B$750,SMALL(Data!$S$2:$S$750,157))),"")</f>
        <v/>
      </c>
      <c r="D263" s="53" t="str">
        <f t="array" ref="D263">IFERROR(INDEX(Data!$C$2:$C$750,SMALL(Data!$S$2:$S$750,157)),"")</f>
        <v>UHF tags- RCO7008 printed&amp;encoded</v>
      </c>
      <c r="E263" s="53">
        <f t="array" ref="E263">IFERROR(IF(INDEX(Data!$D$2:$D$750,SMALL(Data!$S$2:$S$750,157))=0,"",INDEX(Data!$D$2:$D$750,SMALL(Data!$S$2:$S$750,157))),"")</f>
        <v>7000</v>
      </c>
      <c r="F263" s="54">
        <f t="array" ref="F263">IFERROR(IF(INDEX(Data!$E$2:$E$750,SMALL(Data!$S$2:$S$750,157))=0,"",INDEX(Data!$E$2:$E$750,SMALL(Data!$S$2:$S$750,157))),"")</f>
        <v>5</v>
      </c>
      <c r="G263" s="54">
        <f t="array" ref="G263">IFERROR(INDEX(Data!$F$2:$F$750,SMALL(Data!$S$2:$S$750,157)),"")</f>
        <v>35000</v>
      </c>
      <c r="H263" s="55">
        <f t="array" ref="H263">IFERROR(IF(INDEX(Data!$G$2:$G$750,SMALL(Data!$S$2:$S$750,157))=0,"",INDEX(Data!$G$2:$G$750,SMALL(Data!$S$2:$S$750,157))),"")</f>
        <v>46300</v>
      </c>
      <c r="I263" s="53">
        <f t="array" ref="I263">IFERROR(IF(INDEX(Data!$H$2:$H$750,SMALL(Data!$S$2:$S$750,157))=0,"",INDEX(Data!$H$2:$H$750,SMALL(Data!$S$2:$S$750,157))),"")</f>
        <v>5</v>
      </c>
      <c r="J263" s="55">
        <f t="array" ref="J263">IFERROR(INDEX(Data!$I$2:$I$750,SMALL(Data!$S$2:$S$750,157)),"")</f>
        <v>46335</v>
      </c>
      <c r="K263" s="53" t="str">
        <f t="array" ref="K263">IFERROR(INDEX(Data!$J$2:$J$750,SMALL(Data!$S$2:$S$750,157)),"")</f>
        <v>Not Paid</v>
      </c>
      <c r="L263" s="53" t="str">
        <f t="array" ref="L263">IFERROR(INDEX(Data!$K$2:$K$750,SMALL(Data!$S$2:$S$750,157)),"")</f>
        <v>Pending</v>
      </c>
      <c r="M263" s="48" t="s">
        <v>605</v>
      </c>
      <c r="N263" s="48">
        <f>SUMIFS(Data!D2:D750,Data!C2:C750,M263,Data!N2:N750,1)</f>
        <v>1</v>
      </c>
    </row>
    <row r="264" ht="15.75" customHeight="1">
      <c r="B264" s="56" t="str">
        <f t="array" ref="B264">IFERROR(INDEX(Data!$A$2:$A$750,SMALL(Data!$S$2:$S$750,158)),"")</f>
        <v>Reefy</v>
      </c>
      <c r="C264" s="56" t="str">
        <f t="array" ref="C264">IFERROR(IF(INDEX(Data!$B$2:$B$750,SMALL(Data!$S$2:$S$750,158))=0,"",INDEX(Data!$B$2:$B$750,SMALL(Data!$S$2:$S$750,158))),"")</f>
        <v/>
      </c>
      <c r="D264" s="56" t="str">
        <f t="array" ref="D264">IFERROR(INDEX(Data!$C$2:$C$750,SMALL(Data!$S$2:$S$750,158)),"")</f>
        <v>AT907</v>
      </c>
      <c r="E264" s="56">
        <f t="array" ref="E264">IFERROR(IF(INDEX(Data!$D$2:$D$750,SMALL(Data!$S$2:$S$750,158))=0,"",INDEX(Data!$D$2:$D$750,SMALL(Data!$S$2:$S$750,158))),"")</f>
        <v>3</v>
      </c>
      <c r="F264" s="57">
        <f t="array" ref="F264">IFERROR(IF(INDEX(Data!$E$2:$E$750,SMALL(Data!$S$2:$S$750,158))=0,"",INDEX(Data!$E$2:$E$750,SMALL(Data!$S$2:$S$750,158))),"")</f>
        <v>6</v>
      </c>
      <c r="G264" s="57">
        <f t="array" ref="G264">IFERROR(INDEX(Data!$F$2:$F$750,SMALL(Data!$S$2:$S$750,158)),"")</f>
        <v>18</v>
      </c>
      <c r="H264" s="58">
        <f t="array" ref="H264">IFERROR(IF(INDEX(Data!$G$2:$G$750,SMALL(Data!$S$2:$S$750,158))=0,"",INDEX(Data!$G$2:$G$750,SMALL(Data!$S$2:$S$750,158))),"")</f>
        <v>46301</v>
      </c>
      <c r="I264" s="56">
        <f t="array" ref="I264">IFERROR(IF(INDEX(Data!$H$2:$H$750,SMALL(Data!$S$2:$S$750,158))=0,"",INDEX(Data!$H$2:$H$750,SMALL(Data!$S$2:$S$750,158))),"")</f>
        <v>2</v>
      </c>
      <c r="J264" s="58">
        <f t="array" ref="J264">IFERROR(INDEX(Data!$I$2:$I$750,SMALL(Data!$S$2:$S$750,158)),"")</f>
        <v>46315</v>
      </c>
      <c r="K264" s="56" t="str">
        <f t="array" ref="K264">IFERROR(INDEX(Data!$J$2:$J$750,SMALL(Data!$S$2:$S$750,158)),"")</f>
        <v>Not Paid</v>
      </c>
      <c r="L264" s="56" t="str">
        <f t="array" ref="L264">IFERROR(INDEX(Data!$K$2:$K$750,SMALL(Data!$S$2:$S$750,158)),"")</f>
        <v>Pending</v>
      </c>
      <c r="M264" s="48" t="s">
        <v>479</v>
      </c>
      <c r="N264" s="48">
        <f>SUMIFS(Data!D2:D750,Data!C2:C750,M264,Data!N2:N750,1)</f>
        <v>12</v>
      </c>
    </row>
    <row r="265" ht="15.75" customHeight="1">
      <c r="B265" s="53" t="str">
        <f t="array" ref="B265">IFERROR(INDEX(Data!$A$2:$A$750,SMALL(Data!$S$2:$S$750,159)),"")</f>
        <v>Lavista 5,8,Topaz</v>
      </c>
      <c r="C265" s="53" t="str">
        <f t="array" ref="C265">IFERROR(IF(INDEX(Data!$B$2:$B$750,SMALL(Data!$S$2:$S$750,159))=0,"",INDEX(Data!$B$2:$B$750,SMALL(Data!$S$2:$S$750,159))),"")</f>
        <v/>
      </c>
      <c r="D265" s="53" t="str">
        <f t="array" ref="D265">IFERROR(INDEX(Data!$C$2:$C$750,SMALL(Data!$S$2:$S$750,159)),"")</f>
        <v>Mechanical stopper</v>
      </c>
      <c r="E265" s="53">
        <f t="array" ref="E265">IFERROR(IF(INDEX(Data!$D$2:$D$750,SMALL(Data!$S$2:$S$750,159))=0,"",INDEX(Data!$D$2:$D$750,SMALL(Data!$S$2:$S$750,159))),"")</f>
        <v>3</v>
      </c>
      <c r="F265" s="54">
        <f t="array" ref="F265">IFERROR(IF(INDEX(Data!$E$2:$E$750,SMALL(Data!$S$2:$S$750,159))=0,"",INDEX(Data!$E$2:$E$750,SMALL(Data!$S$2:$S$750,159))),"")</f>
        <v>7</v>
      </c>
      <c r="G265" s="54">
        <f t="array" ref="G265">IFERROR(INDEX(Data!$F$2:$F$750,SMALL(Data!$S$2:$S$750,159)),"")</f>
        <v>21</v>
      </c>
      <c r="H265" s="55">
        <f t="array" ref="H265">IFERROR(IF(INDEX(Data!$G$2:$G$750,SMALL(Data!$S$2:$S$750,159))=0,"",INDEX(Data!$G$2:$G$750,SMALL(Data!$S$2:$S$750,159))),"")</f>
        <v>46302</v>
      </c>
      <c r="I265" s="53">
        <f t="array" ref="I265">IFERROR(IF(INDEX(Data!$H$2:$H$750,SMALL(Data!$S$2:$S$750,159))=0,"",INDEX(Data!$H$2:$H$750,SMALL(Data!$S$2:$S$750,159))),"")</f>
        <v>4</v>
      </c>
      <c r="J265" s="55">
        <f t="array" ref="J265">IFERROR(INDEX(Data!$I$2:$I$750,SMALL(Data!$S$2:$S$750,159)),"")</f>
        <v>46330</v>
      </c>
      <c r="K265" s="53" t="str">
        <f t="array" ref="K265">IFERROR(INDEX(Data!$J$2:$J$750,SMALL(Data!$S$2:$S$750,159)),"")</f>
        <v>Not Paid</v>
      </c>
      <c r="L265" s="53" t="str">
        <f t="array" ref="L265">IFERROR(INDEX(Data!$K$2:$K$750,SMALL(Data!$S$2:$S$750,159)),"")</f>
        <v>Pending</v>
      </c>
      <c r="M265" s="48" t="s">
        <v>363</v>
      </c>
      <c r="N265" s="48">
        <f>SUMIFS(Data!D2:D750,Data!C2:C750,M265,Data!N2:N750,1)</f>
        <v>2</v>
      </c>
    </row>
    <row r="266" ht="15.75" customHeight="1">
      <c r="B266" s="56" t="str">
        <f t="array" ref="B266">IFERROR(INDEX(Data!$A$2:$A$750,SMALL(Data!$S$2:$S$750,160)),"")</f>
        <v>Hadayek El-Ferdous</v>
      </c>
      <c r="C266" s="56" t="str">
        <f t="array" ref="C266">IFERROR(IF(INDEX(Data!$B$2:$B$750,SMALL(Data!$S$2:$S$750,160))=0,"",INDEX(Data!$B$2:$B$750,SMALL(Data!$S$2:$S$750,160))),"")</f>
        <v/>
      </c>
      <c r="D266" s="56" t="str">
        <f t="array" ref="D266">IFERROR(INDEX(Data!$C$2:$C$750,SMALL(Data!$S$2:$S$750,160)),"")</f>
        <v>Dest windshield tags- Blank &amp; Encoding</v>
      </c>
      <c r="E266" s="56">
        <f t="array" ref="E266">IFERROR(IF(INDEX(Data!$D$2:$D$750,SMALL(Data!$S$2:$S$750,160))=0,"",INDEX(Data!$D$2:$D$750,SMALL(Data!$S$2:$S$750,160))),"")</f>
        <v>1000</v>
      </c>
      <c r="F266" s="57">
        <f t="array" ref="F266">IFERROR(IF(INDEX(Data!$E$2:$E$750,SMALL(Data!$S$2:$S$750,160))=0,"",INDEX(Data!$E$2:$E$750,SMALL(Data!$S$2:$S$750,160))),"")</f>
        <v>8</v>
      </c>
      <c r="G266" s="57">
        <f t="array" ref="G266">IFERROR(INDEX(Data!$F$2:$F$750,SMALL(Data!$S$2:$S$750,160)),"")</f>
        <v>8000</v>
      </c>
      <c r="H266" s="58">
        <f t="array" ref="H266">IFERROR(IF(INDEX(Data!$G$2:$G$750,SMALL(Data!$S$2:$S$750,160))=0,"",INDEX(Data!$G$2:$G$750,SMALL(Data!$S$2:$S$750,160))),"")</f>
        <v>46303</v>
      </c>
      <c r="I266" s="56">
        <f t="array" ref="I266">IFERROR(IF(INDEX(Data!$H$2:$H$750,SMALL(Data!$S$2:$S$750,160))=0,"",INDEX(Data!$H$2:$H$750,SMALL(Data!$S$2:$S$750,160))),"")</f>
        <v>3</v>
      </c>
      <c r="J266" s="58">
        <f t="array" ref="J266">IFERROR(INDEX(Data!$I$2:$I$750,SMALL(Data!$S$2:$S$750,160)),"")</f>
        <v>46324</v>
      </c>
      <c r="K266" s="56" t="str">
        <f t="array" ref="K266">IFERROR(INDEX(Data!$J$2:$J$750,SMALL(Data!$S$2:$S$750,160)),"")</f>
        <v>Not Paid</v>
      </c>
      <c r="L266" s="56" t="str">
        <f t="array" ref="L266">IFERROR(INDEX(Data!$K$2:$K$750,SMALL(Data!$S$2:$S$750,160)),"")</f>
        <v>Pending</v>
      </c>
      <c r="M266" s="48" t="s">
        <v>647</v>
      </c>
      <c r="N266" s="48">
        <f>SUMIFS(Data!D2:D750,Data!C2:C750,M266,Data!N2:N750,1)</f>
        <v>1</v>
      </c>
    </row>
    <row r="267" ht="15.75" customHeight="1">
      <c r="B267" s="53" t="str">
        <f t="array" ref="B267">IFERROR(INDEX(Data!$A$2:$A$750,SMALL(Data!$S$2:$S$750,161)),"")</f>
        <v>Al Borouj</v>
      </c>
      <c r="C267" s="53" t="str">
        <f t="array" ref="C267">IFERROR(IF(INDEX(Data!$B$2:$B$750,SMALL(Data!$S$2:$S$750,161))=0,"",INDEX(Data!$B$2:$B$750,SMALL(Data!$S$2:$S$750,161))),"")</f>
        <v/>
      </c>
      <c r="D267" s="53" t="str">
        <f t="array" ref="D267">IFERROR(INDEX(Data!$C$2:$C$750,SMALL(Data!$S$2:$S$750,161)),"")</f>
        <v>LRU1002</v>
      </c>
      <c r="E267" s="53">
        <f t="array" ref="E267">IFERROR(IF(INDEX(Data!$D$2:$D$750,SMALL(Data!$S$2:$S$750,161))=0,"",INDEX(Data!$D$2:$D$750,SMALL(Data!$S$2:$S$750,161))),"")</f>
        <v>2</v>
      </c>
      <c r="F267" s="54">
        <f t="array" ref="F267">IFERROR(IF(INDEX(Data!$E$2:$E$750,SMALL(Data!$S$2:$S$750,161))=0,"",INDEX(Data!$E$2:$E$750,SMALL(Data!$S$2:$S$750,161))),"")</f>
        <v>2</v>
      </c>
      <c r="G267" s="54">
        <f t="array" ref="G267">IFERROR(INDEX(Data!$F$2:$F$750,SMALL(Data!$S$2:$S$750,161)),"")</f>
        <v>4</v>
      </c>
      <c r="H267" s="55">
        <f t="array" ref="H267">IFERROR(IF(INDEX(Data!$G$2:$G$750,SMALL(Data!$S$2:$S$750,161))=0,"",INDEX(Data!$G$2:$G$750,SMALL(Data!$S$2:$S$750,161))),"")</f>
        <v>46304</v>
      </c>
      <c r="I267" s="53">
        <f t="array" ref="I267">IFERROR(IF(INDEX(Data!$H$2:$H$750,SMALL(Data!$S$2:$S$750,161))=0,"",INDEX(Data!$H$2:$H$750,SMALL(Data!$S$2:$S$750,161))),"")</f>
        <v>6</v>
      </c>
      <c r="J267" s="55">
        <f t="array" ref="J267">IFERROR(INDEX(Data!$I$2:$I$750,SMALL(Data!$S$2:$S$750,161)),"")</f>
        <v>46346</v>
      </c>
      <c r="K267" s="53" t="str">
        <f t="array" ref="K267">IFERROR(INDEX(Data!$J$2:$J$750,SMALL(Data!$S$2:$S$750,161)),"")</f>
        <v>Not Paid</v>
      </c>
      <c r="L267" s="53" t="str">
        <f t="array" ref="L267">IFERROR(INDEX(Data!$K$2:$K$750,SMALL(Data!$S$2:$S$750,161)),"")</f>
        <v>Pending</v>
      </c>
      <c r="M267" s="48" t="s">
        <v>355</v>
      </c>
      <c r="N267" s="48">
        <f>SUMIFS(Data!D2:D750,Data!C2:C750,M267,Data!N2:N750,1)</f>
        <v>1000</v>
      </c>
    </row>
    <row r="268" ht="15.75" customHeight="1">
      <c r="B268" s="56" t="str">
        <f t="array" ref="B268">IFERROR(INDEX(Data!$A$2:$A$750,SMALL(Data!$S$2:$S$750,162)),"")</f>
        <v>Al Borouj</v>
      </c>
      <c r="C268" s="56" t="str">
        <f t="array" ref="C268">IFERROR(IF(INDEX(Data!$B$2:$B$750,SMALL(Data!$S$2:$S$750,162))=0,"",INDEX(Data!$B$2:$B$750,SMALL(Data!$S$2:$S$750,162))),"")</f>
        <v/>
      </c>
      <c r="D268" s="56" t="str">
        <f t="array" ref="D268">IFERROR(INDEX(Data!$C$2:$C$750,SMALL(Data!$S$2:$S$750,162)),"")</f>
        <v>Antenna</v>
      </c>
      <c r="E268" s="56">
        <f t="array" ref="E268">IFERROR(IF(INDEX(Data!$D$2:$D$750,SMALL(Data!$S$2:$S$750,162))=0,"",INDEX(Data!$D$2:$D$750,SMALL(Data!$S$2:$S$750,162))),"")</f>
        <v>8</v>
      </c>
      <c r="F268" s="57">
        <f t="array" ref="F268">IFERROR(IF(INDEX(Data!$E$2:$E$750,SMALL(Data!$S$2:$S$750,162))=0,"",INDEX(Data!$E$2:$E$750,SMALL(Data!$S$2:$S$750,162))),"")</f>
        <v>15</v>
      </c>
      <c r="G268" s="57">
        <f t="array" ref="G268">IFERROR(INDEX(Data!$F$2:$F$750,SMALL(Data!$S$2:$S$750,162)),"")</f>
        <v>120</v>
      </c>
      <c r="H268" s="58">
        <f t="array" ref="H268">IFERROR(IF(INDEX(Data!$G$2:$G$750,SMALL(Data!$S$2:$S$750,162))=0,"",INDEX(Data!$G$2:$G$750,SMALL(Data!$S$2:$S$750,162))),"")</f>
        <v>46305</v>
      </c>
      <c r="I268" s="56">
        <f t="array" ref="I268">IFERROR(IF(INDEX(Data!$H$2:$H$750,SMALL(Data!$S$2:$S$750,162))=0,"",INDEX(Data!$H$2:$H$750,SMALL(Data!$S$2:$S$750,162))),"")</f>
        <v>22</v>
      </c>
      <c r="J268" s="58">
        <f t="array" ref="J268">IFERROR(INDEX(Data!$I$2:$I$750,SMALL(Data!$S$2:$S$750,162)),"")</f>
        <v>46459</v>
      </c>
      <c r="K268" s="56" t="str">
        <f t="array" ref="K268">IFERROR(INDEX(Data!$J$2:$J$750,SMALL(Data!$S$2:$S$750,162)),"")</f>
        <v>Not Paid</v>
      </c>
      <c r="L268" s="56" t="str">
        <f t="array" ref="L268">IFERROR(INDEX(Data!$K$2:$K$750,SMALL(Data!$S$2:$S$750,162)),"")</f>
        <v>Pending</v>
      </c>
      <c r="M268" s="48" t="s">
        <v>651</v>
      </c>
      <c r="N268" s="48">
        <f>SUMIFS(Data!D2:D750,Data!C2:C750,M268,Data!N2:N750,1)</f>
        <v>1</v>
      </c>
    </row>
    <row r="269" ht="15.75" customHeight="1">
      <c r="B269" s="53" t="str">
        <f t="array" ref="B269">IFERROR(INDEX(Data!$A$2:$A$750,SMALL(Data!$S$2:$S$750,163)),"")</f>
        <v>Al Borouj</v>
      </c>
      <c r="C269" s="53" t="str">
        <f t="array" ref="C269">IFERROR(IF(INDEX(Data!$B$2:$B$750,SMALL(Data!$S$2:$S$750,163))=0,"",INDEX(Data!$B$2:$B$750,SMALL(Data!$S$2:$S$750,163))),"")</f>
        <v/>
      </c>
      <c r="D269" s="53" t="str">
        <f t="array" ref="D269">IFERROR(INDEX(Data!$C$2:$C$750,SMALL(Data!$S$2:$S$750,163)),"")</f>
        <v>Protection cap</v>
      </c>
      <c r="E269" s="53">
        <f t="array" ref="E269">IFERROR(IF(INDEX(Data!$D$2:$D$750,SMALL(Data!$S$2:$S$750,163))=0,"",INDEX(Data!$D$2:$D$750,SMALL(Data!$S$2:$S$750,163))),"")</f>
        <v>2</v>
      </c>
      <c r="F269" s="54">
        <f t="array" ref="F269">IFERROR(IF(INDEX(Data!$E$2:$E$750,SMALL(Data!$S$2:$S$750,163))=0,"",INDEX(Data!$E$2:$E$750,SMALL(Data!$S$2:$S$750,163))),"")</f>
        <v>45</v>
      </c>
      <c r="G269" s="54">
        <f t="array" ref="G269">IFERROR(INDEX(Data!$F$2:$F$750,SMALL(Data!$S$2:$S$750,163)),"")</f>
        <v>90</v>
      </c>
      <c r="H269" s="55">
        <f t="array" ref="H269">IFERROR(IF(INDEX(Data!$G$2:$G$750,SMALL(Data!$S$2:$S$750,163))=0,"",INDEX(Data!$G$2:$G$750,SMALL(Data!$S$2:$S$750,163))),"")</f>
        <v>46306</v>
      </c>
      <c r="I269" s="53">
        <f t="array" ref="I269">IFERROR(IF(INDEX(Data!$H$2:$H$750,SMALL(Data!$S$2:$S$750,163))=0,"",INDEX(Data!$H$2:$H$750,SMALL(Data!$S$2:$S$750,163))),"")</f>
        <v>24</v>
      </c>
      <c r="J269" s="55">
        <f t="array" ref="J269">IFERROR(INDEX(Data!$I$2:$I$750,SMALL(Data!$S$2:$S$750,163)),"")</f>
        <v>46474</v>
      </c>
      <c r="K269" s="53" t="str">
        <f t="array" ref="K269">IFERROR(INDEX(Data!$J$2:$J$750,SMALL(Data!$S$2:$S$750,163)),"")</f>
        <v>Not Paid</v>
      </c>
      <c r="L269" s="53" t="str">
        <f t="array" ref="L269">IFERROR(INDEX(Data!$K$2:$K$750,SMALL(Data!$S$2:$S$750,163)),"")</f>
        <v>Pending</v>
      </c>
      <c r="M269" s="48" t="s">
        <v>652</v>
      </c>
      <c r="N269" s="48">
        <f>SUMIFS(Data!D2:D750,Data!C2:C750,M269,Data!N2:N750,1)</f>
        <v>5</v>
      </c>
    </row>
    <row r="270" ht="15.75" customHeight="1">
      <c r="B270" s="56" t="str">
        <f t="array" ref="B270">IFERROR(INDEX(Data!$A$2:$A$750,SMALL(Data!$S$2:$S$750,164)),"")</f>
        <v>Diamond Palace</v>
      </c>
      <c r="C270" s="56" t="str">
        <f t="array" ref="C270">IFERROR(IF(INDEX(Data!$B$2:$B$750,SMALL(Data!$S$2:$S$750,164))=0,"",INDEX(Data!$B$2:$B$750,SMALL(Data!$S$2:$S$750,164))),"")</f>
        <v/>
      </c>
      <c r="D270" s="56" t="str">
        <f t="array" ref="D270">IFERROR(INDEX(Data!$C$2:$C$750,SMALL(Data!$S$2:$S$750,164)),"")</f>
        <v>Barcode labels 3500 per roll/ 21000 total</v>
      </c>
      <c r="E270" s="56">
        <f t="array" ref="E270">IFERROR(IF(INDEX(Data!$D$2:$D$750,SMALL(Data!$S$2:$S$750,164))=0,"",INDEX(Data!$D$2:$D$750,SMALL(Data!$S$2:$S$750,164))),"")</f>
        <v>6</v>
      </c>
      <c r="F270" s="57">
        <f t="array" ref="F270">IFERROR(IF(INDEX(Data!$E$2:$E$750,SMALL(Data!$S$2:$S$750,164))=0,"",INDEX(Data!$E$2:$E$750,SMALL(Data!$S$2:$S$750,164))),"")</f>
        <v>24</v>
      </c>
      <c r="G270" s="57">
        <f t="array" ref="G270">IFERROR(INDEX(Data!$F$2:$F$750,SMALL(Data!$S$2:$S$750,164)),"")</f>
        <v>144</v>
      </c>
      <c r="H270" s="58">
        <f t="array" ref="H270">IFERROR(IF(INDEX(Data!$G$2:$G$750,SMALL(Data!$S$2:$S$750,164))=0,"",INDEX(Data!$G$2:$G$750,SMALL(Data!$S$2:$S$750,164))),"")</f>
        <v>46307</v>
      </c>
      <c r="I270" s="56">
        <f t="array" ref="I270">IFERROR(IF(INDEX(Data!$H$2:$H$750,SMALL(Data!$S$2:$S$750,164))=0,"",INDEX(Data!$H$2:$H$750,SMALL(Data!$S$2:$S$750,164))),"")</f>
        <v>24</v>
      </c>
      <c r="J270" s="58">
        <f t="array" ref="J270">IFERROR(INDEX(Data!$I$2:$I$750,SMALL(Data!$S$2:$S$750,164)),"")</f>
        <v>46475</v>
      </c>
      <c r="K270" s="56" t="str">
        <f t="array" ref="K270">IFERROR(INDEX(Data!$J$2:$J$750,SMALL(Data!$S$2:$S$750,164)),"")</f>
        <v>Not Paid</v>
      </c>
      <c r="L270" s="56" t="str">
        <f t="array" ref="L270">IFERROR(INDEX(Data!$K$2:$K$750,SMALL(Data!$S$2:$S$750,164)),"")</f>
        <v>Pending</v>
      </c>
      <c r="M270" s="48" t="s">
        <v>607</v>
      </c>
      <c r="N270" s="48">
        <f>SUMIFS(Data!D2:D750,Data!C2:C750,M270,Data!N2:N750,1)</f>
        <v>5500</v>
      </c>
    </row>
    <row r="271" ht="15.75" customHeight="1">
      <c r="B271" s="53" t="str">
        <f t="array" ref="B271">IFERROR(INDEX(Data!$A$2:$A$750,SMALL(Data!$S$2:$S$750,165)),"")</f>
        <v>Karma</v>
      </c>
      <c r="C271" s="53" t="str">
        <f t="array" ref="C271">IFERROR(IF(INDEX(Data!$B$2:$B$750,SMALL(Data!$S$2:$S$750,165))=0,"",INDEX(Data!$B$2:$B$750,SMALL(Data!$S$2:$S$750,165))),"")</f>
        <v/>
      </c>
      <c r="D271" s="53" t="str">
        <f t="array" ref="D271">IFERROR(INDEX(Data!$C$2:$C$750,SMALL(Data!$S$2:$S$750,165)),"")</f>
        <v>Dest windshield tags- Blank &amp; Encoding</v>
      </c>
      <c r="E271" s="53">
        <f t="array" ref="E271">IFERROR(IF(INDEX(Data!$D$2:$D$750,SMALL(Data!$S$2:$S$750,165))=0,"",INDEX(Data!$D$2:$D$750,SMALL(Data!$S$2:$S$750,165))),"")</f>
        <v>500</v>
      </c>
      <c r="F271" s="54">
        <f t="array" ref="F271">IFERROR(IF(INDEX(Data!$E$2:$E$750,SMALL(Data!$S$2:$S$750,165))=0,"",INDEX(Data!$E$2:$E$750,SMALL(Data!$S$2:$S$750,165))),"")</f>
        <v>25</v>
      </c>
      <c r="G271" s="54">
        <f t="array" ref="G271">IFERROR(INDEX(Data!$F$2:$F$750,SMALL(Data!$S$2:$S$750,165)),"")</f>
        <v>12500</v>
      </c>
      <c r="H271" s="55">
        <f t="array" ref="H271">IFERROR(IF(INDEX(Data!$G$2:$G$750,SMALL(Data!$S$2:$S$750,165))=0,"",INDEX(Data!$G$2:$G$750,SMALL(Data!$S$2:$S$750,165))),"")</f>
        <v>46308</v>
      </c>
      <c r="I271" s="53">
        <f t="array" ref="I271">IFERROR(IF(INDEX(Data!$H$2:$H$750,SMALL(Data!$S$2:$S$750,165))=0,"",INDEX(Data!$H$2:$H$750,SMALL(Data!$S$2:$S$750,165))),"")</f>
        <v>23</v>
      </c>
      <c r="J271" s="55">
        <f t="array" ref="J271">IFERROR(INDEX(Data!$I$2:$I$750,SMALL(Data!$S$2:$S$750,165)),"")</f>
        <v>46469</v>
      </c>
      <c r="K271" s="53" t="str">
        <f t="array" ref="K271">IFERROR(INDEX(Data!$J$2:$J$750,SMALL(Data!$S$2:$S$750,165)),"")</f>
        <v>Not Paid</v>
      </c>
      <c r="L271" s="53" t="str">
        <f t="array" ref="L271">IFERROR(INDEX(Data!$K$2:$K$750,SMALL(Data!$S$2:$S$750,165)),"")</f>
        <v>Pending</v>
      </c>
      <c r="M271" s="48" t="s">
        <v>562</v>
      </c>
      <c r="N271" s="48">
        <f>SUMIFS(Data!D2:D750,Data!C2:C750,M271,Data!N2:N750,1)</f>
        <v>200</v>
      </c>
    </row>
    <row r="272" ht="15.75" customHeight="1">
      <c r="B272" s="56" t="str">
        <f t="array" ref="B272">IFERROR(INDEX(Data!$A$2:$A$750,SMALL(Data!$S$2:$S$750,166)),"")</f>
        <v>Karma</v>
      </c>
      <c r="C272" s="56" t="str">
        <f t="array" ref="C272">IFERROR(IF(INDEX(Data!$B$2:$B$750,SMALL(Data!$S$2:$S$750,166))=0,"",INDEX(Data!$B$2:$B$750,SMALL(Data!$S$2:$S$750,166))),"")</f>
        <v/>
      </c>
      <c r="D272" s="56" t="str">
        <f t="array" ref="D272">IFERROR(INDEX(Data!$C$2:$C$750,SMALL(Data!$S$2:$S$750,166)),"")</f>
        <v>Adapter 24V</v>
      </c>
      <c r="E272" s="56">
        <f t="array" ref="E272">IFERROR(IF(INDEX(Data!$D$2:$D$750,SMALL(Data!$S$2:$S$750,166))=0,"",INDEX(Data!$D$2:$D$750,SMALL(Data!$S$2:$S$750,166))),"")</f>
        <v>1</v>
      </c>
      <c r="F272" s="57">
        <f t="array" ref="F272">IFERROR(IF(INDEX(Data!$E$2:$E$750,SMALL(Data!$S$2:$S$750,166))=0,"",INDEX(Data!$E$2:$E$750,SMALL(Data!$S$2:$S$750,166))),"")</f>
        <v>36</v>
      </c>
      <c r="G272" s="57">
        <f t="array" ref="G272">IFERROR(INDEX(Data!$F$2:$F$750,SMALL(Data!$S$2:$S$750,166)),"")</f>
        <v>36</v>
      </c>
      <c r="H272" s="58">
        <f t="array" ref="H272">IFERROR(IF(INDEX(Data!$G$2:$G$750,SMALL(Data!$S$2:$S$750,166))=0,"",INDEX(Data!$G$2:$G$750,SMALL(Data!$S$2:$S$750,166))),"")</f>
        <v>46309</v>
      </c>
      <c r="I272" s="56">
        <f t="array" ref="I272">IFERROR(IF(INDEX(Data!$H$2:$H$750,SMALL(Data!$S$2:$S$750,166))=0,"",INDEX(Data!$H$2:$H$750,SMALL(Data!$S$2:$S$750,166))),"")</f>
        <v>24</v>
      </c>
      <c r="J272" s="58">
        <f t="array" ref="J272">IFERROR(INDEX(Data!$I$2:$I$750,SMALL(Data!$S$2:$S$750,166)),"")</f>
        <v>46477</v>
      </c>
      <c r="K272" s="56" t="str">
        <f t="array" ref="K272">IFERROR(INDEX(Data!$J$2:$J$750,SMALL(Data!$S$2:$S$750,166)),"")</f>
        <v>Not Paid</v>
      </c>
      <c r="L272" s="56" t="str">
        <f t="array" ref="L272">IFERROR(INDEX(Data!$K$2:$K$750,SMALL(Data!$S$2:$S$750,166)),"")</f>
        <v>Pending</v>
      </c>
      <c r="M272" s="48" t="s">
        <v>416</v>
      </c>
      <c r="N272" s="48">
        <f>SUMIFS(Data!D2:D750,Data!C2:C750,M272,Data!N2:N750,1)</f>
        <v>4</v>
      </c>
    </row>
    <row r="273" ht="15.75" customHeight="1">
      <c r="B273" s="53" t="str">
        <f t="array" ref="B273">IFERROR(INDEX(Data!$A$2:$A$750,SMALL(Data!$S$2:$S$750,167)),"")</f>
        <v>Karma</v>
      </c>
      <c r="C273" s="53" t="str">
        <f t="array" ref="C273">IFERROR(IF(INDEX(Data!$B$2:$B$750,SMALL(Data!$S$2:$S$750,167))=0,"",INDEX(Data!$B$2:$B$750,SMALL(Data!$S$2:$S$750,167))),"")</f>
        <v/>
      </c>
      <c r="D273" s="53" t="str">
        <f t="array" ref="D273">IFERROR(INDEX(Data!$C$2:$C$750,SMALL(Data!$S$2:$S$750,167)),"")</f>
        <v>Photocell</v>
      </c>
      <c r="E273" s="53">
        <f t="array" ref="E273">IFERROR(IF(INDEX(Data!$D$2:$D$750,SMALL(Data!$S$2:$S$750,167))=0,"",INDEX(Data!$D$2:$D$750,SMALL(Data!$S$2:$S$750,167))),"")</f>
        <v>1</v>
      </c>
      <c r="F273" s="54">
        <f t="array" ref="F273">IFERROR(IF(INDEX(Data!$E$2:$E$750,SMALL(Data!$S$2:$S$750,167))=0,"",INDEX(Data!$E$2:$E$750,SMALL(Data!$S$2:$S$750,167))),"")</f>
        <v>95</v>
      </c>
      <c r="G273" s="54">
        <f t="array" ref="G273">IFERROR(INDEX(Data!$F$2:$F$750,SMALL(Data!$S$2:$S$750,167)),"")</f>
        <v>95</v>
      </c>
      <c r="H273" s="55">
        <f t="array" ref="H273">IFERROR(IF(INDEX(Data!$G$2:$G$750,SMALL(Data!$S$2:$S$750,167))=0,"",INDEX(Data!$G$2:$G$750,SMALL(Data!$S$2:$S$750,167))),"")</f>
        <v>46310</v>
      </c>
      <c r="I273" s="53">
        <f t="array" ref="I273">IFERROR(IF(INDEX(Data!$H$2:$H$750,SMALL(Data!$S$2:$S$750,167))=0,"",INDEX(Data!$H$2:$H$750,SMALL(Data!$S$2:$S$750,167))),"")</f>
        <v>23</v>
      </c>
      <c r="J273" s="55">
        <f t="array" ref="J273">IFERROR(INDEX(Data!$I$2:$I$750,SMALL(Data!$S$2:$S$750,167)),"")</f>
        <v>46471</v>
      </c>
      <c r="K273" s="53" t="str">
        <f t="array" ref="K273">IFERROR(INDEX(Data!$J$2:$J$750,SMALL(Data!$S$2:$S$750,167)),"")</f>
        <v>Not Paid</v>
      </c>
      <c r="L273" s="53" t="str">
        <f t="array" ref="L273">IFERROR(INDEX(Data!$K$2:$K$750,SMALL(Data!$S$2:$S$750,167)),"")</f>
        <v>Pending</v>
      </c>
      <c r="M273" s="48" t="s">
        <v>440</v>
      </c>
      <c r="N273" s="48">
        <f>SUMIFS(Data!D2:D750,Data!C2:C750,M273,Data!N2:N750,1)</f>
        <v>0</v>
      </c>
    </row>
    <row r="274" ht="15.75" customHeight="1">
      <c r="B274" s="56" t="str">
        <f t="array" ref="B274">IFERROR(INDEX(Data!$A$2:$A$750,SMALL(Data!$S$2:$S$750,168)),"")</f>
        <v>Karma</v>
      </c>
      <c r="C274" s="56" t="str">
        <f t="array" ref="C274">IFERROR(IF(INDEX(Data!$B$2:$B$750,SMALL(Data!$S$2:$S$750,168))=0,"",INDEX(Data!$B$2:$B$750,SMALL(Data!$S$2:$S$750,168))),"")</f>
        <v/>
      </c>
      <c r="D274" s="56" t="str">
        <f t="array" ref="D274">IFERROR(INDEX(Data!$C$2:$C$750,SMALL(Data!$S$2:$S$750,168)),"")</f>
        <v>Motor repair</v>
      </c>
      <c r="E274" s="56">
        <f t="array" ref="E274">IFERROR(IF(INDEX(Data!$D$2:$D$750,SMALL(Data!$S$2:$S$750,168))=0,"",INDEX(Data!$D$2:$D$750,SMALL(Data!$S$2:$S$750,168))),"")</f>
        <v>2</v>
      </c>
      <c r="F274" s="57">
        <f t="array" ref="F274">IFERROR(IF(INDEX(Data!$E$2:$E$750,SMALL(Data!$S$2:$S$750,168))=0,"",INDEX(Data!$E$2:$E$750,SMALL(Data!$S$2:$S$750,168))),"")</f>
        <v>574</v>
      </c>
      <c r="G274" s="57">
        <f t="array" ref="G274">IFERROR(INDEX(Data!$F$2:$F$750,SMALL(Data!$S$2:$S$750,168)),"")</f>
        <v>1148</v>
      </c>
      <c r="H274" s="58">
        <f t="array" ref="H274">IFERROR(IF(INDEX(Data!$G$2:$G$750,SMALL(Data!$S$2:$S$750,168))=0,"",INDEX(Data!$G$2:$G$750,SMALL(Data!$S$2:$S$750,168))),"")</f>
        <v>46311</v>
      </c>
      <c r="I274" s="56">
        <f t="array" ref="I274">IFERROR(IF(INDEX(Data!$H$2:$H$750,SMALL(Data!$S$2:$S$750,168))=0,"",INDEX(Data!$H$2:$H$750,SMALL(Data!$S$2:$S$750,168))),"")</f>
        <v>24</v>
      </c>
      <c r="J274" s="58">
        <f t="array" ref="J274">IFERROR(INDEX(Data!$I$2:$I$750,SMALL(Data!$S$2:$S$750,168)),"")</f>
        <v>46479</v>
      </c>
      <c r="K274" s="56" t="str">
        <f t="array" ref="K274">IFERROR(INDEX(Data!$J$2:$J$750,SMALL(Data!$S$2:$S$750,168)),"")</f>
        <v>Not Paid</v>
      </c>
      <c r="L274" s="56" t="str">
        <f t="array" ref="L274">IFERROR(INDEX(Data!$K$2:$K$750,SMALL(Data!$S$2:$S$750,168)),"")</f>
        <v>Pending</v>
      </c>
      <c r="M274" s="51" t="s">
        <v>257</v>
      </c>
      <c r="N274" s="48">
        <f>SUMIFS(Data!D2:D750,Data!C2:C750,M274,Data!N2:N750,1)</f>
        <v>5</v>
      </c>
    </row>
    <row r="275" ht="15.75" customHeight="1">
      <c r="B275" s="53" t="str">
        <f t="array" ref="B275">IFERROR(INDEX(Data!$A$2:$A$750,SMALL(Data!$S$2:$S$750,169)),"")</f>
        <v>Sodic Club</v>
      </c>
      <c r="C275" s="53" t="str">
        <f t="array" ref="C275">IFERROR(IF(INDEX(Data!$B$2:$B$750,SMALL(Data!$S$2:$S$750,169))=0,"",INDEX(Data!$B$2:$B$750,SMALL(Data!$S$2:$S$750,169))),"")</f>
        <v/>
      </c>
      <c r="D275" s="53" t="str">
        <f t="array" ref="D275">IFERROR(INDEX(Data!$C$2:$C$750,SMALL(Data!$S$2:$S$750,169)),"")</f>
        <v>MAX50.10 instead of CPR50.10-RE</v>
      </c>
      <c r="E275" s="53">
        <f t="array" ref="E275">IFERROR(IF(INDEX(Data!$D$2:$D$750,SMALL(Data!$S$2:$S$750,169))=0,"",INDEX(Data!$D$2:$D$750,SMALL(Data!$S$2:$S$750,169))),"")</f>
        <v>12</v>
      </c>
      <c r="F275" s="54">
        <f t="array" ref="F275">IFERROR(IF(INDEX(Data!$E$2:$E$750,SMALL(Data!$S$2:$S$750,169))=0,"",INDEX(Data!$E$2:$E$750,SMALL(Data!$S$2:$S$750,169))),"")</f>
        <v>558</v>
      </c>
      <c r="G275" s="54">
        <f t="array" ref="G275">IFERROR(INDEX(Data!$F$2:$F$750,SMALL(Data!$S$2:$S$750,169)),"")</f>
        <v>6696</v>
      </c>
      <c r="H275" s="55">
        <f t="array" ref="H275">IFERROR(IF(INDEX(Data!$G$2:$G$750,SMALL(Data!$S$2:$S$750,169))=0,"",INDEX(Data!$G$2:$G$750,SMALL(Data!$S$2:$S$750,169))),"")</f>
        <v>46312</v>
      </c>
      <c r="I275" s="53">
        <f t="array" ref="I275">IFERROR(IF(INDEX(Data!$H$2:$H$750,SMALL(Data!$S$2:$S$750,169))=0,"",INDEX(Data!$H$2:$H$750,SMALL(Data!$S$2:$S$750,169))),"")</f>
        <v>24</v>
      </c>
      <c r="J275" s="55">
        <f t="array" ref="J275">IFERROR(INDEX(Data!$I$2:$I$750,SMALL(Data!$S$2:$S$750,169)),"")</f>
        <v>46480</v>
      </c>
      <c r="K275" s="53" t="str">
        <f t="array" ref="K275">IFERROR(INDEX(Data!$J$2:$J$750,SMALL(Data!$S$2:$S$750,169)),"")</f>
        <v>Not Paid</v>
      </c>
      <c r="L275" s="53" t="str">
        <f t="array" ref="L275">IFERROR(INDEX(Data!$K$2:$K$750,SMALL(Data!$S$2:$S$750,169)),"")</f>
        <v>Pending</v>
      </c>
      <c r="M275" s="48" t="s">
        <v>322</v>
      </c>
      <c r="N275" s="48">
        <f>SUMIFS(Data!D2:D750,Data!C2:C750,M275,Data!N2:N750,1)</f>
        <v>0</v>
      </c>
    </row>
    <row r="276" ht="15.75" customHeight="1">
      <c r="B276" s="56" t="str">
        <f t="array" ref="B276">IFERROR(INDEX(Data!$A$2:$A$750,SMALL(Data!$S$2:$S$750,170)),"")</f>
        <v>Sodic Club</v>
      </c>
      <c r="C276" s="56" t="str">
        <f t="array" ref="C276">IFERROR(IF(INDEX(Data!$B$2:$B$750,SMALL(Data!$S$2:$S$750,170))=0,"",INDEX(Data!$B$2:$B$750,SMALL(Data!$S$2:$S$750,170))),"")</f>
        <v/>
      </c>
      <c r="D276" s="56" t="str">
        <f t="array" ref="D276">IFERROR(INDEX(Data!$C$2:$C$750,SMALL(Data!$S$2:$S$750,170)),"")</f>
        <v>TP 201-S model waist height turnstile</v>
      </c>
      <c r="E276" s="56">
        <f t="array" ref="E276">IFERROR(IF(INDEX(Data!$D$2:$D$750,SMALL(Data!$S$2:$S$750,170))=0,"",INDEX(Data!$D$2:$D$750,SMALL(Data!$S$2:$S$750,170))),"")</f>
        <v>2</v>
      </c>
      <c r="F276" s="57">
        <f t="array" ref="F276">IFERROR(IF(INDEX(Data!$E$2:$E$750,SMALL(Data!$S$2:$S$750,170))=0,"",INDEX(Data!$E$2:$E$750,SMALL(Data!$S$2:$S$750,170))),"")</f>
        <v>2265</v>
      </c>
      <c r="G276" s="57">
        <f t="array" ref="G276">IFERROR(INDEX(Data!$F$2:$F$750,SMALL(Data!$S$2:$S$750,170)),"")</f>
        <v>4530</v>
      </c>
      <c r="H276" s="58">
        <f t="array" ref="H276">IFERROR(IF(INDEX(Data!$G$2:$G$750,SMALL(Data!$S$2:$S$750,170))=0,"",INDEX(Data!$G$2:$G$750,SMALL(Data!$S$2:$S$750,170))),"")</f>
        <v>46313</v>
      </c>
      <c r="I276" s="56">
        <f t="array" ref="I276">IFERROR(IF(INDEX(Data!$H$2:$H$750,SMALL(Data!$S$2:$S$750,170))=0,"",INDEX(Data!$H$2:$H$750,SMALL(Data!$S$2:$S$750,170))),"")</f>
        <v>24</v>
      </c>
      <c r="J276" s="58">
        <f t="array" ref="J276">IFERROR(INDEX(Data!$I$2:$I$750,SMALL(Data!$S$2:$S$750,170)),"")</f>
        <v>46481</v>
      </c>
      <c r="K276" s="56" t="str">
        <f t="array" ref="K276">IFERROR(INDEX(Data!$J$2:$J$750,SMALL(Data!$S$2:$S$750,170)),"")</f>
        <v>Not Paid</v>
      </c>
      <c r="L276" s="56" t="str">
        <f t="array" ref="L276">IFERROR(INDEX(Data!$K$2:$K$750,SMALL(Data!$S$2:$S$750,170)),"")</f>
        <v>Pending</v>
      </c>
      <c r="M276" s="48" t="s">
        <v>655</v>
      </c>
      <c r="N276" s="48">
        <f>SUMIFS(Data!D2:D750,Data!C2:C750,M276,Data!N2:N750,1)</f>
        <v>6</v>
      </c>
    </row>
    <row r="277" ht="15.75" customHeight="1">
      <c r="B277" s="53" t="str">
        <f t="array" ref="B277">IFERROR(INDEX(Data!$A$2:$A$750,SMALL(Data!$S$2:$S$750,171)),"")</f>
        <v>Sodic Club</v>
      </c>
      <c r="C277" s="53" t="str">
        <f t="array" ref="C277">IFERROR(IF(INDEX(Data!$B$2:$B$750,SMALL(Data!$S$2:$S$750,171))=0,"",INDEX(Data!$B$2:$B$750,SMALL(Data!$S$2:$S$750,171))),"")</f>
        <v/>
      </c>
      <c r="D277" s="53" t="str">
        <f t="array" ref="D277">IFERROR(INDEX(Data!$C$2:$C$750,SMALL(Data!$S$2:$S$750,171)),"")</f>
        <v>MEX-430 magnetic lock </v>
      </c>
      <c r="E277" s="53">
        <f t="array" ref="E277">IFERROR(IF(INDEX(Data!$D$2:$D$750,SMALL(Data!$S$2:$S$750,171))=0,"",INDEX(Data!$D$2:$D$750,SMALL(Data!$S$2:$S$750,171))),"")</f>
        <v>4</v>
      </c>
      <c r="F277" s="54">
        <f t="array" ref="F277">IFERROR(IF(INDEX(Data!$E$2:$E$750,SMALL(Data!$S$2:$S$750,171))=0,"",INDEX(Data!$E$2:$E$750,SMALL(Data!$S$2:$S$750,171))),"")</f>
        <v>45</v>
      </c>
      <c r="G277" s="54">
        <f t="array" ref="G277">IFERROR(INDEX(Data!$F$2:$F$750,SMALL(Data!$S$2:$S$750,171)),"")</f>
        <v>180</v>
      </c>
      <c r="H277" s="55">
        <f t="array" ref="H277">IFERROR(IF(INDEX(Data!$G$2:$G$750,SMALL(Data!$S$2:$S$750,171))=0,"",INDEX(Data!$G$2:$G$750,SMALL(Data!$S$2:$S$750,171))),"")</f>
        <v>46314</v>
      </c>
      <c r="I277" s="53">
        <f t="array" ref="I277">IFERROR(IF(INDEX(Data!$H$2:$H$750,SMALL(Data!$S$2:$S$750,171))=0,"",INDEX(Data!$H$2:$H$750,SMALL(Data!$S$2:$S$750,171))),"")</f>
        <v>24</v>
      </c>
      <c r="J277" s="55">
        <f t="array" ref="J277">IFERROR(INDEX(Data!$I$2:$I$750,SMALL(Data!$S$2:$S$750,171)),"")</f>
        <v>46482</v>
      </c>
      <c r="K277" s="53" t="str">
        <f t="array" ref="K277">IFERROR(INDEX(Data!$J$2:$J$750,SMALL(Data!$S$2:$S$750,171)),"")</f>
        <v>Not Paid</v>
      </c>
      <c r="L277" s="53" t="str">
        <f t="array" ref="L277">IFERROR(INDEX(Data!$K$2:$K$750,SMALL(Data!$S$2:$S$750,171)),"")</f>
        <v>Pending</v>
      </c>
      <c r="M277" s="48" t="s">
        <v>223</v>
      </c>
      <c r="N277" s="48">
        <f>SUMIFS(Data!D2:D750,Data!C2:C750,M277,Data!N2:N750,1)</f>
        <v>20</v>
      </c>
    </row>
    <row r="278" ht="15.75" customHeight="1">
      <c r="B278" s="56" t="str">
        <f t="array" ref="B278">IFERROR(INDEX(Data!$A$2:$A$750,SMALL(Data!$S$2:$S$750,172)),"")</f>
        <v>Sodic Club</v>
      </c>
      <c r="C278" s="56" t="str">
        <f t="array" ref="C278">IFERROR(IF(INDEX(Data!$B$2:$B$750,SMALL(Data!$S$2:$S$750,172))=0,"",INDEX(Data!$B$2:$B$750,SMALL(Data!$S$2:$S$750,172))),"")</f>
        <v/>
      </c>
      <c r="D278" s="56" t="str">
        <f t="array" ref="D278">IFERROR(INDEX(Data!$C$2:$C$750,SMALL(Data!$S$2:$S$750,172)),"")</f>
        <v>Push buttons</v>
      </c>
      <c r="E278" s="56">
        <f t="array" ref="E278">IFERROR(IF(INDEX(Data!$D$2:$D$750,SMALL(Data!$S$2:$S$750,172))=0,"",INDEX(Data!$D$2:$D$750,SMALL(Data!$S$2:$S$750,172))),"")</f>
        <v>4</v>
      </c>
      <c r="F278" s="57">
        <f t="array" ref="F278">IFERROR(IF(INDEX(Data!$E$2:$E$750,SMALL(Data!$S$2:$S$750,172))=0,"",INDEX(Data!$E$2:$E$750,SMALL(Data!$S$2:$S$750,172))),"")</f>
        <v>5554</v>
      </c>
      <c r="G278" s="57">
        <f t="array" ref="G278">IFERROR(INDEX(Data!$F$2:$F$750,SMALL(Data!$S$2:$S$750,172)),"")</f>
        <v>22216</v>
      </c>
      <c r="H278" s="58">
        <f t="array" ref="H278">IFERROR(IF(INDEX(Data!$G$2:$G$750,SMALL(Data!$S$2:$S$750,172))=0,"",INDEX(Data!$G$2:$G$750,SMALL(Data!$S$2:$S$750,172))),"")</f>
        <v>46315</v>
      </c>
      <c r="I278" s="56">
        <f t="array" ref="I278">IFERROR(IF(INDEX(Data!$H$2:$H$750,SMALL(Data!$S$2:$S$750,172))=0,"",INDEX(Data!$H$2:$H$750,SMALL(Data!$S$2:$S$750,172))),"")</f>
        <v>23</v>
      </c>
      <c r="J278" s="58">
        <f t="array" ref="J278">IFERROR(INDEX(Data!$I$2:$I$750,SMALL(Data!$S$2:$S$750,172)),"")</f>
        <v>46476</v>
      </c>
      <c r="K278" s="56" t="str">
        <f t="array" ref="K278">IFERROR(INDEX(Data!$J$2:$J$750,SMALL(Data!$S$2:$S$750,172)),"")</f>
        <v>Not Paid</v>
      </c>
      <c r="L278" s="56" t="str">
        <f t="array" ref="L278">IFERROR(INDEX(Data!$K$2:$K$750,SMALL(Data!$S$2:$S$750,172)),"")</f>
        <v>Pending</v>
      </c>
      <c r="M278" s="48" t="s">
        <v>481</v>
      </c>
      <c r="N278" s="48">
        <f>SUMIFS(Data!D2:D750,Data!C2:C750,M278,Data!N2:N750,1)</f>
        <v>9</v>
      </c>
    </row>
    <row r="279" ht="15.75" customHeight="1">
      <c r="B279" s="53" t="str">
        <f t="array" ref="B279">IFERROR(INDEX(Data!$A$2:$A$750,SMALL(Data!$S$2:$S$750,173)),"")</f>
        <v>AlBurouj</v>
      </c>
      <c r="C279" s="53" t="str">
        <f t="array" ref="C279">IFERROR(IF(INDEX(Data!$B$2:$B$750,SMALL(Data!$S$2:$S$750,173))=0,"",INDEX(Data!$B$2:$B$750,SMALL(Data!$S$2:$S$750,173))),"")</f>
        <v/>
      </c>
      <c r="D279" s="53" t="str">
        <f t="array" ref="D279">IFERROR(INDEX(Data!$C$2:$C$750,SMALL(Data!$S$2:$S$750,173)),"")</f>
        <v>FAAC 4m Boom for B680</v>
      </c>
      <c r="E279" s="53">
        <f t="array" ref="E279">IFERROR(IF(INDEX(Data!$D$2:$D$750,SMALL(Data!$S$2:$S$750,173))=0,"",INDEX(Data!$D$2:$D$750,SMALL(Data!$S$2:$S$750,173))),"")</f>
        <v>1</v>
      </c>
      <c r="F279" s="54">
        <f t="array" ref="F279">IFERROR(IF(INDEX(Data!$E$2:$E$750,SMALL(Data!$S$2:$S$750,173))=0,"",INDEX(Data!$E$2:$E$750,SMALL(Data!$S$2:$S$750,173))),"")</f>
        <v>41</v>
      </c>
      <c r="G279" s="54">
        <f t="array" ref="G279">IFERROR(INDEX(Data!$F$2:$F$750,SMALL(Data!$S$2:$S$750,173)),"")</f>
        <v>41</v>
      </c>
      <c r="H279" s="55">
        <f t="array" ref="H279">IFERROR(IF(INDEX(Data!$G$2:$G$750,SMALL(Data!$S$2:$S$750,173))=0,"",INDEX(Data!$G$2:$G$750,SMALL(Data!$S$2:$S$750,173))),"")</f>
        <v>46316</v>
      </c>
      <c r="I279" s="53">
        <f t="array" ref="I279">IFERROR(IF(INDEX(Data!$H$2:$H$750,SMALL(Data!$S$2:$S$750,173))=0,"",INDEX(Data!$H$2:$H$750,SMALL(Data!$S$2:$S$750,173))),"")</f>
        <v>21</v>
      </c>
      <c r="J279" s="55">
        <f t="array" ref="J279">IFERROR(INDEX(Data!$I$2:$I$750,SMALL(Data!$S$2:$S$750,173)),"")</f>
        <v>46463</v>
      </c>
      <c r="K279" s="53" t="str">
        <f t="array" ref="K279">IFERROR(INDEX(Data!$J$2:$J$750,SMALL(Data!$S$2:$S$750,173)),"")</f>
        <v>Not Paid</v>
      </c>
      <c r="L279" s="53" t="str">
        <f t="array" ref="L279">IFERROR(INDEX(Data!$K$2:$K$750,SMALL(Data!$S$2:$S$750,173)),"")</f>
        <v>Pending</v>
      </c>
      <c r="M279" s="48" t="s">
        <v>657</v>
      </c>
      <c r="N279" s="48">
        <f>SUMIFS(Data!D2:D750,Data!C2:C750,M279,Data!N2:N750,1)</f>
        <v>5000</v>
      </c>
    </row>
    <row r="280" ht="15.75" customHeight="1">
      <c r="B280" s="56" t="str">
        <f t="array" ref="B280">IFERROR(INDEX(Data!$A$2:$A$750,SMALL(Data!$S$2:$S$750,174)),"")</f>
        <v>Prometeon</v>
      </c>
      <c r="C280" s="56" t="str">
        <f t="array" ref="C280">IFERROR(IF(INDEX(Data!$B$2:$B$750,SMALL(Data!$S$2:$S$750,174))=0,"",INDEX(Data!$B$2:$B$750,SMALL(Data!$S$2:$S$750,174))),"")</f>
        <v/>
      </c>
      <c r="D280" s="56" t="str">
        <f t="array" ref="D280">IFERROR(INDEX(Data!$C$2:$C$750,SMALL(Data!$S$2:$S$750,174)),"")</f>
        <v>Cutter Kit for CL4NX Plus Printer</v>
      </c>
      <c r="E280" s="56">
        <f t="array" ref="E280">IFERROR(IF(INDEX(Data!$D$2:$D$750,SMALL(Data!$S$2:$S$750,174))=0,"",INDEX(Data!$D$2:$D$750,SMALL(Data!$S$2:$S$750,174))),"")</f>
        <v>11</v>
      </c>
      <c r="F280" s="57">
        <f t="array" ref="F280">IFERROR(IF(INDEX(Data!$E$2:$E$750,SMALL(Data!$S$2:$S$750,174))=0,"",INDEX(Data!$E$2:$E$750,SMALL(Data!$S$2:$S$750,174))),"")</f>
        <v>231</v>
      </c>
      <c r="G280" s="57">
        <f t="array" ref="G280">IFERROR(INDEX(Data!$F$2:$F$750,SMALL(Data!$S$2:$S$750,174)),"")</f>
        <v>2541</v>
      </c>
      <c r="H280" s="58">
        <f t="array" ref="H280">IFERROR(IF(INDEX(Data!$G$2:$G$750,SMALL(Data!$S$2:$S$750,174))=0,"",INDEX(Data!$G$2:$G$750,SMALL(Data!$S$2:$S$750,174))),"")</f>
        <v>46317</v>
      </c>
      <c r="I280" s="56">
        <f t="array" ref="I280">IFERROR(IF(INDEX(Data!$H$2:$H$750,SMALL(Data!$S$2:$S$750,174))=0,"",INDEX(Data!$H$2:$H$750,SMALL(Data!$S$2:$S$750,174))),"")</f>
        <v>20</v>
      </c>
      <c r="J280" s="58">
        <f t="array" ref="J280">IFERROR(INDEX(Data!$I$2:$I$750,SMALL(Data!$S$2:$S$750,174)),"")</f>
        <v>46457</v>
      </c>
      <c r="K280" s="56" t="str">
        <f t="array" ref="K280">IFERROR(INDEX(Data!$J$2:$J$750,SMALL(Data!$S$2:$S$750,174)),"")</f>
        <v>Not Paid</v>
      </c>
      <c r="L280" s="56" t="str">
        <f t="array" ref="L280">IFERROR(INDEX(Data!$K$2:$K$750,SMALL(Data!$S$2:$S$750,174)),"")</f>
        <v>Pending</v>
      </c>
      <c r="M280" s="48" t="s">
        <v>658</v>
      </c>
      <c r="N280" s="48">
        <f>SUMIFS(Data!D2:D750,Data!C2:C750,M280,Data!N2:N750,1)</f>
        <v>1000</v>
      </c>
    </row>
    <row r="281" ht="15.75" customHeight="1">
      <c r="B281" s="53" t="str">
        <f t="array" ref="B281">IFERROR(INDEX(Data!$A$2:$A$750,SMALL(Data!$S$2:$S$750,175)),"")</f>
        <v>Diar</v>
      </c>
      <c r="C281" s="53" t="str">
        <f t="array" ref="C281">IFERROR(IF(INDEX(Data!$B$2:$B$750,SMALL(Data!$S$2:$S$750,175))=0,"",INDEX(Data!$B$2:$B$750,SMALL(Data!$S$2:$S$750,175))),"")</f>
        <v/>
      </c>
      <c r="D281" s="53" t="str">
        <f t="array" ref="D281">IFERROR(INDEX(Data!$C$2:$C$750,SMALL(Data!$S$2:$S$750,175)),"")</f>
        <v>Dest windshield tags-blank &amp; encoded</v>
      </c>
      <c r="E281" s="53">
        <f t="array" ref="E281">IFERROR(IF(INDEX(Data!$D$2:$D$750,SMALL(Data!$S$2:$S$750,175))=0,"",INDEX(Data!$D$2:$D$750,SMALL(Data!$S$2:$S$750,175))),"")</f>
        <v>1000</v>
      </c>
      <c r="F281" s="54">
        <f t="array" ref="F281">IFERROR(IF(INDEX(Data!$E$2:$E$750,SMALL(Data!$S$2:$S$750,175))=0,"",INDEX(Data!$E$2:$E$750,SMALL(Data!$S$2:$S$750,175))),"")</f>
        <v>25</v>
      </c>
      <c r="G281" s="54">
        <f t="array" ref="G281">IFERROR(INDEX(Data!$F$2:$F$750,SMALL(Data!$S$2:$S$750,175)),"")</f>
        <v>25000</v>
      </c>
      <c r="H281" s="55">
        <f t="array" ref="H281">IFERROR(IF(INDEX(Data!$G$2:$G$750,SMALL(Data!$S$2:$S$750,175))=0,"",INDEX(Data!$G$2:$G$750,SMALL(Data!$S$2:$S$750,175))),"")</f>
        <v>46318</v>
      </c>
      <c r="I281" s="53">
        <f t="array" ref="I281">IFERROR(IF(INDEX(Data!$H$2:$H$750,SMALL(Data!$S$2:$S$750,175))=0,"",INDEX(Data!$H$2:$H$750,SMALL(Data!$S$2:$S$750,175))),"")</f>
        <v>23</v>
      </c>
      <c r="J281" s="55">
        <f t="array" ref="J281">IFERROR(INDEX(Data!$I$2:$I$750,SMALL(Data!$S$2:$S$750,175)),"")</f>
        <v>46479</v>
      </c>
      <c r="K281" s="53" t="str">
        <f t="array" ref="K281">IFERROR(INDEX(Data!$J$2:$J$750,SMALL(Data!$S$2:$S$750,175)),"")</f>
        <v>Not Paid</v>
      </c>
      <c r="L281" s="53" t="str">
        <f t="array" ref="L281">IFERROR(INDEX(Data!$K$2:$K$750,SMALL(Data!$S$2:$S$750,175)),"")</f>
        <v>Pending</v>
      </c>
      <c r="M281" s="48" t="s">
        <v>565</v>
      </c>
      <c r="N281" s="48">
        <f>SUMIFS(Data!D2:D750,Data!C2:C750,M281,Data!N2:N750,1)</f>
        <v>1</v>
      </c>
    </row>
    <row r="282" ht="15.75" customHeight="1">
      <c r="B282" s="56" t="str">
        <f t="array" ref="B282">IFERROR(INDEX(Data!$A$2:$A$750,SMALL(Data!$S$2:$S$750,176)),"")</f>
        <v>Diar</v>
      </c>
      <c r="C282" s="56" t="str">
        <f t="array" ref="C282">IFERROR(IF(INDEX(Data!$B$2:$B$750,SMALL(Data!$S$2:$S$750,176))=0,"",INDEX(Data!$B$2:$B$750,SMALL(Data!$S$2:$S$750,176))),"")</f>
        <v/>
      </c>
      <c r="D282" s="56" t="str">
        <f t="array" ref="D282">IFERROR(INDEX(Data!$C$2:$C$750,SMALL(Data!$S$2:$S$750,176)),"")</f>
        <v>FAAC B614 Barrier 4m</v>
      </c>
      <c r="E282" s="56">
        <f t="array" ref="E282">IFERROR(IF(INDEX(Data!$D$2:$D$750,SMALL(Data!$S$2:$S$750,176))=0,"",INDEX(Data!$D$2:$D$750,SMALL(Data!$S$2:$S$750,176))),"")</f>
        <v>2</v>
      </c>
      <c r="F282" s="57">
        <f t="array" ref="F282">IFERROR(IF(INDEX(Data!$E$2:$E$750,SMALL(Data!$S$2:$S$750,176))=0,"",INDEX(Data!$E$2:$E$750,SMALL(Data!$S$2:$S$750,176))),"")</f>
        <v>245</v>
      </c>
      <c r="G282" s="57">
        <f t="array" ref="G282">IFERROR(INDEX(Data!$F$2:$F$750,SMALL(Data!$S$2:$S$750,176)),"")</f>
        <v>490</v>
      </c>
      <c r="H282" s="58">
        <f t="array" ref="H282">IFERROR(IF(INDEX(Data!$G$2:$G$750,SMALL(Data!$S$2:$S$750,176))=0,"",INDEX(Data!$G$2:$G$750,SMALL(Data!$S$2:$S$750,176))),"")</f>
        <v>46319</v>
      </c>
      <c r="I282" s="56">
        <f t="array" ref="I282">IFERROR(IF(INDEX(Data!$H$2:$H$750,SMALL(Data!$S$2:$S$750,176))=0,"",INDEX(Data!$H$2:$H$750,SMALL(Data!$S$2:$S$750,176))),"")</f>
        <v>23</v>
      </c>
      <c r="J282" s="58">
        <f t="array" ref="J282">IFERROR(INDEX(Data!$I$2:$I$750,SMALL(Data!$S$2:$S$750,176)),"")</f>
        <v>46480</v>
      </c>
      <c r="K282" s="56" t="str">
        <f t="array" ref="K282">IFERROR(INDEX(Data!$J$2:$J$750,SMALL(Data!$S$2:$S$750,176)),"")</f>
        <v>Not Paid</v>
      </c>
      <c r="L282" s="56" t="str">
        <f t="array" ref="L282">IFERROR(INDEX(Data!$K$2:$K$750,SMALL(Data!$S$2:$S$750,176)),"")</f>
        <v>Pending</v>
      </c>
      <c r="M282" s="48" t="s">
        <v>611</v>
      </c>
      <c r="N282" s="48">
        <f>SUMIFS(Data!D2:D750,Data!C2:C750,M282,Data!N2:N750,1)</f>
        <v>10000</v>
      </c>
    </row>
    <row r="283" ht="15.75" customHeight="1">
      <c r="B283" s="53" t="str">
        <f t="array" ref="B283">IFERROR(INDEX(Data!$A$2:$A$750,SMALL(Data!$S$2:$S$750,177)),"")</f>
        <v>Diar</v>
      </c>
      <c r="C283" s="53" t="str">
        <f t="array" ref="C283">IFERROR(IF(INDEX(Data!$B$2:$B$750,SMALL(Data!$S$2:$S$750,177))=0,"",INDEX(Data!$B$2:$B$750,SMALL(Data!$S$2:$S$750,177))),"")</f>
        <v/>
      </c>
      <c r="D283" s="53" t="str">
        <f t="array" ref="D283">IFERROR(INDEX(Data!$C$2:$C$750,SMALL(Data!$S$2:$S$750,177)),"")</f>
        <v>LRU1002</v>
      </c>
      <c r="E283" s="53">
        <f t="array" ref="E283">IFERROR(IF(INDEX(Data!$D$2:$D$750,SMALL(Data!$S$2:$S$750,177))=0,"",INDEX(Data!$D$2:$D$750,SMALL(Data!$S$2:$S$750,177))),"")</f>
        <v>1</v>
      </c>
      <c r="F283" s="54">
        <f t="array" ref="F283">IFERROR(IF(INDEX(Data!$E$2:$E$750,SMALL(Data!$S$2:$S$750,177))=0,"",INDEX(Data!$E$2:$E$750,SMALL(Data!$S$2:$S$750,177))),"")</f>
        <v>2555</v>
      </c>
      <c r="G283" s="54">
        <f t="array" ref="G283">IFERROR(INDEX(Data!$F$2:$F$750,SMALL(Data!$S$2:$S$750,177)),"")</f>
        <v>2555</v>
      </c>
      <c r="H283" s="55">
        <f t="array" ref="H283">IFERROR(IF(INDEX(Data!$G$2:$G$750,SMALL(Data!$S$2:$S$750,177))=0,"",INDEX(Data!$G$2:$G$750,SMALL(Data!$S$2:$S$750,177))),"")</f>
        <v>46320</v>
      </c>
      <c r="I283" s="53">
        <f t="array" ref="I283">IFERROR(IF(INDEX(Data!$H$2:$H$750,SMALL(Data!$S$2:$S$750,177))=0,"",INDEX(Data!$H$2:$H$750,SMALL(Data!$S$2:$S$750,177))),"")</f>
        <v>22</v>
      </c>
      <c r="J283" s="55">
        <f t="array" ref="J283">IFERROR(INDEX(Data!$I$2:$I$750,SMALL(Data!$S$2:$S$750,177)),"")</f>
        <v>46474</v>
      </c>
      <c r="K283" s="53" t="str">
        <f t="array" ref="K283">IFERROR(INDEX(Data!$J$2:$J$750,SMALL(Data!$S$2:$S$750,177)),"")</f>
        <v>Not Paid</v>
      </c>
      <c r="L283" s="53" t="str">
        <f t="array" ref="L283">IFERROR(INDEX(Data!$K$2:$K$750,SMALL(Data!$S$2:$S$750,177)),"")</f>
        <v>Pending</v>
      </c>
      <c r="M283" s="48" t="s">
        <v>450</v>
      </c>
      <c r="N283" s="48">
        <f>SUMIFS(Data!D2:D750,Data!C2:C750,M283,Data!N2:N750,1)</f>
        <v>160</v>
      </c>
    </row>
    <row r="284" ht="15.75" customHeight="1">
      <c r="B284" s="56" t="str">
        <f t="array" ref="B284">IFERROR(INDEX(Data!$A$2:$A$750,SMALL(Data!$S$2:$S$750,178)),"")</f>
        <v>Diar</v>
      </c>
      <c r="C284" s="56" t="str">
        <f t="array" ref="C284">IFERROR(IF(INDEX(Data!$B$2:$B$750,SMALL(Data!$S$2:$S$750,178))=0,"",INDEX(Data!$B$2:$B$750,SMALL(Data!$S$2:$S$750,178))),"")</f>
        <v/>
      </c>
      <c r="D284" s="56" t="str">
        <f t="array" ref="D284">IFERROR(INDEX(Data!$C$2:$C$750,SMALL(Data!$S$2:$S$750,178)),"")</f>
        <v>Antenna</v>
      </c>
      <c r="E284" s="56">
        <f t="array" ref="E284">IFERROR(IF(INDEX(Data!$D$2:$D$750,SMALL(Data!$S$2:$S$750,178))=0,"",INDEX(Data!$D$2:$D$750,SMALL(Data!$S$2:$S$750,178))),"")</f>
        <v>2</v>
      </c>
      <c r="F284" s="57">
        <f t="array" ref="F284">IFERROR(IF(INDEX(Data!$E$2:$E$750,SMALL(Data!$S$2:$S$750,178))=0,"",INDEX(Data!$E$2:$E$750,SMALL(Data!$S$2:$S$750,178))),"")</f>
        <v>255</v>
      </c>
      <c r="G284" s="57">
        <f t="array" ref="G284">IFERROR(INDEX(Data!$F$2:$F$750,SMALL(Data!$S$2:$S$750,178)),"")</f>
        <v>510</v>
      </c>
      <c r="H284" s="58">
        <f t="array" ref="H284">IFERROR(IF(INDEX(Data!$G$2:$G$750,SMALL(Data!$S$2:$S$750,178))=0,"",INDEX(Data!$G$2:$G$750,SMALL(Data!$S$2:$S$750,178))),"")</f>
        <v>46321</v>
      </c>
      <c r="I284" s="56">
        <f t="array" ref="I284">IFERROR(IF(INDEX(Data!$H$2:$H$750,SMALL(Data!$S$2:$S$750,178))=0,"",INDEX(Data!$H$2:$H$750,SMALL(Data!$S$2:$S$750,178))),"")</f>
        <v>22</v>
      </c>
      <c r="J284" s="58">
        <f t="array" ref="J284">IFERROR(INDEX(Data!$I$2:$I$750,SMALL(Data!$S$2:$S$750,178)),"")</f>
        <v>46475</v>
      </c>
      <c r="K284" s="56" t="str">
        <f t="array" ref="K284">IFERROR(INDEX(Data!$J$2:$J$750,SMALL(Data!$S$2:$S$750,178)),"")</f>
        <v>Not Paid</v>
      </c>
      <c r="L284" s="56" t="str">
        <f t="array" ref="L284">IFERROR(INDEX(Data!$K$2:$K$750,SMALL(Data!$S$2:$S$750,178)),"")</f>
        <v>Pending</v>
      </c>
      <c r="M284" s="48" t="s">
        <v>359</v>
      </c>
      <c r="N284" s="48">
        <f>SUMIFS(Data!D2:D750,Data!C2:C750,M284,Data!N2:N750,1)</f>
        <v>5000</v>
      </c>
    </row>
    <row r="285" ht="15.75" customHeight="1">
      <c r="B285" s="53" t="str">
        <f t="array" ref="B285">IFERROR(INDEX(Data!$A$2:$A$750,SMALL(Data!$S$2:$S$750,179)),"")</f>
        <v>Diar</v>
      </c>
      <c r="C285" s="53" t="str">
        <f t="array" ref="C285">IFERROR(IF(INDEX(Data!$B$2:$B$750,SMALL(Data!$S$2:$S$750,179))=0,"",INDEX(Data!$B$2:$B$750,SMALL(Data!$S$2:$S$750,179))),"")</f>
        <v/>
      </c>
      <c r="D285" s="53" t="str">
        <f t="array" ref="D285">IFERROR(INDEX(Data!$C$2:$C$750,SMALL(Data!$S$2:$S$750,179)),"")</f>
        <v>Antenna stand</v>
      </c>
      <c r="E285" s="53">
        <f t="array" ref="E285">IFERROR(IF(INDEX(Data!$D$2:$D$750,SMALL(Data!$S$2:$S$750,179))=0,"",INDEX(Data!$D$2:$D$750,SMALL(Data!$S$2:$S$750,179))),"")</f>
        <v>2</v>
      </c>
      <c r="F285" s="54">
        <f t="array" ref="F285">IFERROR(IF(INDEX(Data!$E$2:$E$750,SMALL(Data!$S$2:$S$750,179))=0,"",INDEX(Data!$E$2:$E$750,SMALL(Data!$S$2:$S$750,179))),"")</f>
        <v>45</v>
      </c>
      <c r="G285" s="54">
        <f t="array" ref="G285">IFERROR(INDEX(Data!$F$2:$F$750,SMALL(Data!$S$2:$S$750,179)),"")</f>
        <v>90</v>
      </c>
      <c r="H285" s="55">
        <f t="array" ref="H285">IFERROR(IF(INDEX(Data!$G$2:$G$750,SMALL(Data!$S$2:$S$750,179))=0,"",INDEX(Data!$G$2:$G$750,SMALL(Data!$S$2:$S$750,179))),"")</f>
        <v>46322</v>
      </c>
      <c r="I285" s="53">
        <f t="array" ref="I285">IFERROR(IF(INDEX(Data!$H$2:$H$750,SMALL(Data!$S$2:$S$750,179))=0,"",INDEX(Data!$H$2:$H$750,SMALL(Data!$S$2:$S$750,179))),"")</f>
        <v>22</v>
      </c>
      <c r="J285" s="55">
        <f t="array" ref="J285">IFERROR(INDEX(Data!$I$2:$I$750,SMALL(Data!$S$2:$S$750,179)),"")</f>
        <v>46476</v>
      </c>
      <c r="K285" s="53" t="str">
        <f t="array" ref="K285">IFERROR(INDEX(Data!$J$2:$J$750,SMALL(Data!$S$2:$S$750,179)),"")</f>
        <v>Not Paid</v>
      </c>
      <c r="L285" s="53" t="str">
        <f t="array" ref="L285">IFERROR(INDEX(Data!$K$2:$K$750,SMALL(Data!$S$2:$S$750,179)),"")</f>
        <v>Pending</v>
      </c>
      <c r="M285" s="48" t="s">
        <v>608</v>
      </c>
      <c r="N285" s="48">
        <f>SUMIFS(Data!D2:D750,Data!C2:C750,M285,Data!N2:N750,1)</f>
        <v>3500</v>
      </c>
    </row>
    <row r="286" ht="15.75" customHeight="1">
      <c r="B286" s="56" t="str">
        <f t="array" ref="B286">IFERROR(INDEX(Data!$A$2:$A$750,SMALL(Data!$S$2:$S$750,180)),"")</f>
        <v>Diar</v>
      </c>
      <c r="C286" s="56" t="str">
        <f t="array" ref="C286">IFERROR(IF(INDEX(Data!$B$2:$B$750,SMALL(Data!$S$2:$S$750,180))=0,"",INDEX(Data!$B$2:$B$750,SMALL(Data!$S$2:$S$750,180))),"")</f>
        <v/>
      </c>
      <c r="D286" s="56" t="str">
        <f t="array" ref="D286">IFERROR(INDEX(Data!$C$2:$C$750,SMALL(Data!$S$2:$S$750,180)),"")</f>
        <v>Protection Cap </v>
      </c>
      <c r="E286" s="56">
        <f t="array" ref="E286">IFERROR(IF(INDEX(Data!$D$2:$D$750,SMALL(Data!$S$2:$S$750,180))=0,"",INDEX(Data!$D$2:$D$750,SMALL(Data!$S$2:$S$750,180))),"")</f>
        <v>1</v>
      </c>
      <c r="F286" s="57">
        <f t="array" ref="F286">IFERROR(IF(INDEX(Data!$E$2:$E$750,SMALL(Data!$S$2:$S$750,180))=0,"",INDEX(Data!$E$2:$E$750,SMALL(Data!$S$2:$S$750,180))),"")</f>
        <v>36</v>
      </c>
      <c r="G286" s="57">
        <f t="array" ref="G286">IFERROR(INDEX(Data!$F$2:$F$750,SMALL(Data!$S$2:$S$750,180)),"")</f>
        <v>36</v>
      </c>
      <c r="H286" s="58">
        <f t="array" ref="H286">IFERROR(IF(INDEX(Data!$G$2:$G$750,SMALL(Data!$S$2:$S$750,180))=0,"",INDEX(Data!$G$2:$G$750,SMALL(Data!$S$2:$S$750,180))),"")</f>
        <v>46323</v>
      </c>
      <c r="I286" s="56">
        <f t="array" ref="I286">IFERROR(IF(INDEX(Data!$H$2:$H$750,SMALL(Data!$S$2:$S$750,180))=0,"",INDEX(Data!$H$2:$H$750,SMALL(Data!$S$2:$S$750,180))),"")</f>
        <v>22</v>
      </c>
      <c r="J286" s="58">
        <f t="array" ref="J286">IFERROR(INDEX(Data!$I$2:$I$750,SMALL(Data!$S$2:$S$750,180)),"")</f>
        <v>46477</v>
      </c>
      <c r="K286" s="56" t="str">
        <f t="array" ref="K286">IFERROR(INDEX(Data!$J$2:$J$750,SMALL(Data!$S$2:$S$750,180)),"")</f>
        <v>Not Paid</v>
      </c>
      <c r="L286" s="56" t="str">
        <f t="array" ref="L286">IFERROR(INDEX(Data!$K$2:$K$750,SMALL(Data!$S$2:$S$750,180)),"")</f>
        <v>Pending</v>
      </c>
      <c r="M286" s="48" t="s">
        <v>245</v>
      </c>
      <c r="N286" s="48">
        <f>SUMIFS(Data!D2:D750,Data!C2:C750,M286,Data!N2:N750,1)</f>
        <v>60000</v>
      </c>
    </row>
    <row r="287" ht="15.75" customHeight="1">
      <c r="B287" s="53" t="str">
        <f t="array" ref="B287">IFERROR(INDEX(Data!$A$2:$A$750,SMALL(Data!$S$2:$S$750,181)),"")</f>
        <v>NASPS</v>
      </c>
      <c r="C287" s="53" t="str">
        <f t="array" ref="C287">IFERROR(IF(INDEX(Data!$B$2:$B$750,SMALL(Data!$S$2:$S$750,181))=0,"",INDEX(Data!$B$2:$B$750,SMALL(Data!$S$2:$S$750,181))),"")</f>
        <v>SATO</v>
      </c>
      <c r="D287" s="53" t="str">
        <f t="array" ref="D287">IFERROR(INDEX(Data!$C$2:$C$750,SMALL(Data!$S$2:$S$750,181)),"")</f>
        <v>Barcode Printer-(SG112-ex)</v>
      </c>
      <c r="E287" s="53">
        <f t="array" ref="E287">IFERROR(IF(INDEX(Data!$D$2:$D$750,SMALL(Data!$S$2:$S$750,181))=0,"",INDEX(Data!$D$2:$D$750,SMALL(Data!$S$2:$S$750,181))),"")</f>
        <v>2</v>
      </c>
      <c r="F287" s="54">
        <f t="array" ref="F287">IFERROR(IF(INDEX(Data!$E$2:$E$750,SMALL(Data!$S$2:$S$750,181))=0,"",INDEX(Data!$E$2:$E$750,SMALL(Data!$S$2:$S$750,181))),"")</f>
        <v>96</v>
      </c>
      <c r="G287" s="54">
        <f t="array" ref="G287">IFERROR(INDEX(Data!$F$2:$F$750,SMALL(Data!$S$2:$S$750,181)),"")</f>
        <v>192</v>
      </c>
      <c r="H287" s="55">
        <f t="array" ref="H287">IFERROR(IF(INDEX(Data!$G$2:$G$750,SMALL(Data!$S$2:$S$750,181))=0,"",INDEX(Data!$G$2:$G$750,SMALL(Data!$S$2:$S$750,181))),"")</f>
        <v>46324</v>
      </c>
      <c r="I287" s="53">
        <f t="array" ref="I287">IFERROR(IF(INDEX(Data!$H$2:$H$750,SMALL(Data!$S$2:$S$750,181))=0,"",INDEX(Data!$H$2:$H$750,SMALL(Data!$S$2:$S$750,181))),"")</f>
        <v>24</v>
      </c>
      <c r="J287" s="55">
        <f t="array" ref="J287">IFERROR(INDEX(Data!$I$2:$I$750,SMALL(Data!$S$2:$S$750,181)),"")</f>
        <v>46492</v>
      </c>
      <c r="K287" s="53" t="str">
        <f t="array" ref="K287">IFERROR(INDEX(Data!$J$2:$J$750,SMALL(Data!$S$2:$S$750,181)),"")</f>
        <v>Not Paid</v>
      </c>
      <c r="L287" s="53" t="str">
        <f t="array" ref="L287">IFERROR(INDEX(Data!$K$2:$K$750,SMALL(Data!$S$2:$S$750,181)),"")</f>
        <v>Pending</v>
      </c>
      <c r="M287" s="48" t="s">
        <v>637</v>
      </c>
      <c r="N287" s="48">
        <f>SUMIFS(Data!D2:D750,Data!C2:C750,M287,Data!N2:N750,1)</f>
        <v>19</v>
      </c>
    </row>
    <row r="288" ht="15.75" customHeight="1">
      <c r="B288" s="56" t="str">
        <f t="array" ref="B288">IFERROR(INDEX(Data!$A$2:$A$750,SMALL(Data!$S$2:$S$750,182)),"")</f>
        <v>NASPS</v>
      </c>
      <c r="C288" s="56" t="str">
        <f t="array" ref="C288">IFERROR(IF(INDEX(Data!$B$2:$B$750,SMALL(Data!$S$2:$S$750,182))=0,"",INDEX(Data!$B$2:$B$750,SMALL(Data!$S$2:$S$750,182))),"")</f>
        <v/>
      </c>
      <c r="D288" s="56" t="str">
        <f t="array" ref="D288">IFERROR(INDEX(Data!$C$2:$C$750,SMALL(Data!$S$2:$S$750,182)),"")</f>
        <v>Ribbons for the printer- (R333A)</v>
      </c>
      <c r="E288" s="56">
        <f t="array" ref="E288">IFERROR(IF(INDEX(Data!$D$2:$D$750,SMALL(Data!$S$2:$S$750,182))=0,"",INDEX(Data!$D$2:$D$750,SMALL(Data!$S$2:$S$750,182))),"")</f>
        <v>100</v>
      </c>
      <c r="F288" s="57">
        <f t="array" ref="F288">IFERROR(IF(INDEX(Data!$E$2:$E$750,SMALL(Data!$S$2:$S$750,182))=0,"",INDEX(Data!$E$2:$E$750,SMALL(Data!$S$2:$S$750,182))),"")</f>
        <v>8</v>
      </c>
      <c r="G288" s="57">
        <f t="array" ref="G288">IFERROR(INDEX(Data!$F$2:$F$750,SMALL(Data!$S$2:$S$750,182)),"")</f>
        <v>800</v>
      </c>
      <c r="H288" s="58">
        <f t="array" ref="H288">IFERROR(IF(INDEX(Data!$G$2:$G$750,SMALL(Data!$S$2:$S$750,182))=0,"",INDEX(Data!$G$2:$G$750,SMALL(Data!$S$2:$S$750,182))),"")</f>
        <v>46325</v>
      </c>
      <c r="I288" s="56">
        <f t="array" ref="I288">IFERROR(IF(INDEX(Data!$H$2:$H$750,SMALL(Data!$S$2:$S$750,182))=0,"",INDEX(Data!$H$2:$H$750,SMALL(Data!$S$2:$S$750,182))),"")</f>
        <v>15</v>
      </c>
      <c r="J288" s="58">
        <f t="array" ref="J288">IFERROR(INDEX(Data!$I$2:$I$750,SMALL(Data!$S$2:$S$750,182)),"")</f>
        <v>46430</v>
      </c>
      <c r="K288" s="56" t="str">
        <f t="array" ref="K288">IFERROR(INDEX(Data!$J$2:$J$750,SMALL(Data!$S$2:$S$750,182)),"")</f>
        <v>Not Paid</v>
      </c>
      <c r="L288" s="56" t="str">
        <f t="array" ref="L288">IFERROR(INDEX(Data!$K$2:$K$750,SMALL(Data!$S$2:$S$750,182)),"")</f>
        <v>Pending</v>
      </c>
      <c r="M288" s="48" t="s">
        <v>172</v>
      </c>
      <c r="N288" s="48">
        <f>SUMIFS(Data!D2:D750,Data!C2:C750,M288,Data!N2:N750,1)</f>
        <v>2</v>
      </c>
    </row>
    <row r="289" ht="15.75" customHeight="1">
      <c r="B289" s="53" t="str">
        <f t="array" ref="B289">IFERROR(INDEX(Data!$A$2:$A$750,SMALL(Data!$S$2:$S$750,183)),"")</f>
        <v>Omega</v>
      </c>
      <c r="C289" s="53" t="str">
        <f t="array" ref="C289">IFERROR(IF(INDEX(Data!$B$2:$B$750,SMALL(Data!$S$2:$S$750,183))=0,"",INDEX(Data!$B$2:$B$750,SMALL(Data!$S$2:$S$750,183))),"")</f>
        <v/>
      </c>
      <c r="D289" s="53" t="str">
        <f t="array" ref="D289">IFERROR(INDEX(Data!$C$2:$C$750,SMALL(Data!$S$2:$S$750,183)),"")</f>
        <v>Photocell</v>
      </c>
      <c r="E289" s="53">
        <f t="array" ref="E289">IFERROR(IF(INDEX(Data!$D$2:$D$750,SMALL(Data!$S$2:$S$750,183))=0,"",INDEX(Data!$D$2:$D$750,SMALL(Data!$S$2:$S$750,183))),"")</f>
        <v>1</v>
      </c>
      <c r="F289" s="54">
        <f t="array" ref="F289">IFERROR(IF(INDEX(Data!$E$2:$E$750,SMALL(Data!$S$2:$S$750,183))=0,"",INDEX(Data!$E$2:$E$750,SMALL(Data!$S$2:$S$750,183))),"")</f>
        <v>5</v>
      </c>
      <c r="G289" s="54">
        <f t="array" ref="G289">IFERROR(INDEX(Data!$F$2:$F$750,SMALL(Data!$S$2:$S$750,183)),"")</f>
        <v>5</v>
      </c>
      <c r="H289" s="55">
        <f t="array" ref="H289">IFERROR(IF(INDEX(Data!$G$2:$G$750,SMALL(Data!$S$2:$S$750,183))=0,"",INDEX(Data!$G$2:$G$750,SMALL(Data!$S$2:$S$750,183))),"")</f>
        <v>46326</v>
      </c>
      <c r="I289" s="53">
        <f t="array" ref="I289">IFERROR(IF(INDEX(Data!$H$2:$H$750,SMALL(Data!$S$2:$S$750,183))=0,"",INDEX(Data!$H$2:$H$750,SMALL(Data!$S$2:$S$750,183))),"")</f>
        <v>12</v>
      </c>
      <c r="J289" s="55">
        <f t="array" ref="J289">IFERROR(INDEX(Data!$I$2:$I$750,SMALL(Data!$S$2:$S$750,183)),"")</f>
        <v>46410</v>
      </c>
      <c r="K289" s="53" t="str">
        <f t="array" ref="K289">IFERROR(INDEX(Data!$J$2:$J$750,SMALL(Data!$S$2:$S$750,183)),"")</f>
        <v>Not Paid</v>
      </c>
      <c r="L289" s="53" t="str">
        <f t="array" ref="L289">IFERROR(INDEX(Data!$K$2:$K$750,SMALL(Data!$S$2:$S$750,183)),"")</f>
        <v>Pending</v>
      </c>
      <c r="M289" s="51" t="s">
        <v>644</v>
      </c>
      <c r="N289" s="48">
        <f>SUMIFS(Data!D2:D750,Data!C2:C750,M289,Data!N2:N750,1)</f>
        <v>120</v>
      </c>
    </row>
    <row r="290" ht="15.75" customHeight="1">
      <c r="B290" s="56" t="str">
        <f t="array" ref="B290">IFERROR(INDEX(Data!$A$2:$A$750,SMALL(Data!$S$2:$S$750,184)),"")</f>
        <v>AlBurouj</v>
      </c>
      <c r="C290" s="56" t="str">
        <f t="array" ref="C290">IFERROR(IF(INDEX(Data!$B$2:$B$750,SMALL(Data!$S$2:$S$750,184))=0,"",INDEX(Data!$B$2:$B$750,SMALL(Data!$S$2:$S$750,184))),"")</f>
        <v/>
      </c>
      <c r="D290" s="56" t="str">
        <f t="array" ref="D290">IFERROR(INDEX(Data!$C$2:$C$750,SMALL(Data!$S$2:$S$750,184)),"")</f>
        <v>FAAC 4m Boom for B680</v>
      </c>
      <c r="E290" s="56">
        <f t="array" ref="E290">IFERROR(IF(INDEX(Data!$D$2:$D$750,SMALL(Data!$S$2:$S$750,184))=0,"",INDEX(Data!$D$2:$D$750,SMALL(Data!$S$2:$S$750,184))),"")</f>
        <v>4</v>
      </c>
      <c r="F290" s="57">
        <f t="array" ref="F290">IFERROR(IF(INDEX(Data!$E$2:$E$750,SMALL(Data!$S$2:$S$750,184))=0,"",INDEX(Data!$E$2:$E$750,SMALL(Data!$S$2:$S$750,184))),"")</f>
        <v>4</v>
      </c>
      <c r="G290" s="57">
        <f t="array" ref="G290">IFERROR(INDEX(Data!$F$2:$F$750,SMALL(Data!$S$2:$S$750,184)),"")</f>
        <v>16</v>
      </c>
      <c r="H290" s="58">
        <f t="array" ref="H290">IFERROR(IF(INDEX(Data!$G$2:$G$750,SMALL(Data!$S$2:$S$750,184))=0,"",INDEX(Data!$G$2:$G$750,SMALL(Data!$S$2:$S$750,184))),"")</f>
        <v>46327</v>
      </c>
      <c r="I290" s="56">
        <f t="array" ref="I290">IFERROR(IF(INDEX(Data!$H$2:$H$750,SMALL(Data!$S$2:$S$750,184))=0,"",INDEX(Data!$H$2:$H$750,SMALL(Data!$S$2:$S$750,184))),"")</f>
        <v>12</v>
      </c>
      <c r="J290" s="58">
        <f t="array" ref="J290">IFERROR(INDEX(Data!$I$2:$I$750,SMALL(Data!$S$2:$S$750,184)),"")</f>
        <v>46411</v>
      </c>
      <c r="K290" s="56" t="str">
        <f t="array" ref="K290">IFERROR(INDEX(Data!$J$2:$J$750,SMALL(Data!$S$2:$S$750,184)),"")</f>
        <v>Not Paid</v>
      </c>
      <c r="L290" s="56" t="str">
        <f t="array" ref="L290">IFERROR(INDEX(Data!$K$2:$K$750,SMALL(Data!$S$2:$S$750,184)),"")</f>
        <v>Pending</v>
      </c>
      <c r="M290" s="48" t="s">
        <v>445</v>
      </c>
      <c r="N290" s="48">
        <f>SUMIFS(Data!D2:D750,Data!C2:C750,M290,Data!N2:N750,1)</f>
        <v>1500</v>
      </c>
    </row>
    <row r="291" ht="15.75" customHeight="1">
      <c r="B291" s="53" t="str">
        <f t="array" ref="B291">IFERROR(INDEX(Data!$A$2:$A$750,SMALL(Data!$S$2:$S$750,185)),"")</f>
        <v>AlBurouj</v>
      </c>
      <c r="C291" s="53" t="str">
        <f t="array" ref="C291">IFERROR(IF(INDEX(Data!$B$2:$B$750,SMALL(Data!$S$2:$S$750,185))=0,"",INDEX(Data!$B$2:$B$750,SMALL(Data!$S$2:$S$750,185))),"")</f>
        <v/>
      </c>
      <c r="D291" s="53" t="str">
        <f t="array" ref="D291">IFERROR(INDEX(Data!$C$2:$C$750,SMALL(Data!$S$2:$S$750,185)),"")</f>
        <v>Red housing Complete cover for B680</v>
      </c>
      <c r="E291" s="53">
        <f t="array" ref="E291">IFERROR(IF(INDEX(Data!$D$2:$D$750,SMALL(Data!$S$2:$S$750,185))=0,"",INDEX(Data!$D$2:$D$750,SMALL(Data!$S$2:$S$750,185))),"")</f>
        <v>1</v>
      </c>
      <c r="F291" s="54">
        <f t="array" ref="F291">IFERROR(IF(INDEX(Data!$E$2:$E$750,SMALL(Data!$S$2:$S$750,185))=0,"",INDEX(Data!$E$2:$E$750,SMALL(Data!$S$2:$S$750,185))),"")</f>
        <v>2</v>
      </c>
      <c r="G291" s="54">
        <f t="array" ref="G291">IFERROR(INDEX(Data!$F$2:$F$750,SMALL(Data!$S$2:$S$750,185)),"")</f>
        <v>2</v>
      </c>
      <c r="H291" s="55">
        <f t="array" ref="H291">IFERROR(IF(INDEX(Data!$G$2:$G$750,SMALL(Data!$S$2:$S$750,185))=0,"",INDEX(Data!$G$2:$G$750,SMALL(Data!$S$2:$S$750,185))),"")</f>
        <v>46328</v>
      </c>
      <c r="I291" s="53">
        <f t="array" ref="I291">IFERROR(IF(INDEX(Data!$H$2:$H$750,SMALL(Data!$S$2:$S$750,185))=0,"",INDEX(Data!$H$2:$H$750,SMALL(Data!$S$2:$S$750,185))),"")</f>
        <v>14</v>
      </c>
      <c r="J291" s="55">
        <f t="array" ref="J291">IFERROR(INDEX(Data!$I$2:$I$750,SMALL(Data!$S$2:$S$750,185)),"")</f>
        <v>46426</v>
      </c>
      <c r="K291" s="53" t="str">
        <f t="array" ref="K291">IFERROR(INDEX(Data!$J$2:$J$750,SMALL(Data!$S$2:$S$750,185)),"")</f>
        <v>Not Paid</v>
      </c>
      <c r="L291" s="53" t="str">
        <f t="array" ref="L291">IFERROR(INDEX(Data!$K$2:$K$750,SMALL(Data!$S$2:$S$750,185)),"")</f>
        <v>Pending</v>
      </c>
      <c r="M291" s="48" t="s">
        <v>438</v>
      </c>
      <c r="N291" s="48">
        <f>SUMIFS(Data!D2:D750,Data!C2:C750,M291,Data!N2:N750,1)</f>
        <v>5</v>
      </c>
    </row>
    <row r="292" ht="15.75" customHeight="1">
      <c r="B292" s="56" t="str">
        <f t="array" ref="B292">IFERROR(INDEX(Data!$A$2:$A$750,SMALL(Data!$S$2:$S$750,186)),"")</f>
        <v>SIEMENS</v>
      </c>
      <c r="C292" s="56" t="str">
        <f t="array" ref="C292">IFERROR(IF(INDEX(Data!$B$2:$B$750,SMALL(Data!$S$2:$S$750,186))=0,"",INDEX(Data!$B$2:$B$750,SMALL(Data!$S$2:$S$750,186))),"")</f>
        <v/>
      </c>
      <c r="D292" s="56" t="str">
        <f t="array" ref="D292">IFERROR(INDEX(Data!$C$2:$C$750,SMALL(Data!$S$2:$S$750,186)),"")</f>
        <v>RAM 8GB</v>
      </c>
      <c r="E292" s="56">
        <f t="array" ref="E292">IFERROR(IF(INDEX(Data!$D$2:$D$750,SMALL(Data!$S$2:$S$750,186))=0,"",INDEX(Data!$D$2:$D$750,SMALL(Data!$S$2:$S$750,186))),"")</f>
        <v>2</v>
      </c>
      <c r="F292" s="57">
        <f t="array" ref="F292">IFERROR(IF(INDEX(Data!$E$2:$E$750,SMALL(Data!$S$2:$S$750,186))=0,"",INDEX(Data!$E$2:$E$750,SMALL(Data!$S$2:$S$750,186))),"")</f>
        <v>36</v>
      </c>
      <c r="G292" s="57">
        <f t="array" ref="G292">IFERROR(INDEX(Data!$F$2:$F$750,SMALL(Data!$S$2:$S$750,186)),"")</f>
        <v>72</v>
      </c>
      <c r="H292" s="58">
        <f t="array" ref="H292">IFERROR(IF(INDEX(Data!$G$2:$G$750,SMALL(Data!$S$2:$S$750,186))=0,"",INDEX(Data!$G$2:$G$750,SMALL(Data!$S$2:$S$750,186))),"")</f>
        <v>46329</v>
      </c>
      <c r="I292" s="56">
        <f t="array" ref="I292">IFERROR(IF(INDEX(Data!$H$2:$H$750,SMALL(Data!$S$2:$S$750,186))=0,"",INDEX(Data!$H$2:$H$750,SMALL(Data!$S$2:$S$750,186))),"")</f>
        <v>12</v>
      </c>
      <c r="J292" s="58">
        <f t="array" ref="J292">IFERROR(INDEX(Data!$I$2:$I$750,SMALL(Data!$S$2:$S$750,186)),"")</f>
        <v>46413</v>
      </c>
      <c r="K292" s="56" t="str">
        <f t="array" ref="K292">IFERROR(INDEX(Data!$J$2:$J$750,SMALL(Data!$S$2:$S$750,186)),"")</f>
        <v>Not Paid</v>
      </c>
      <c r="L292" s="56" t="str">
        <f t="array" ref="L292">IFERROR(INDEX(Data!$K$2:$K$750,SMALL(Data!$S$2:$S$750,186)),"")</f>
        <v>Pending</v>
      </c>
      <c r="M292" s="48" t="s">
        <v>181</v>
      </c>
      <c r="N292" s="48">
        <f>SUMIFS(Data!D2:D750,Data!C2:C750,M292,Data!N2:N750,1)</f>
        <v>2000</v>
      </c>
    </row>
    <row r="293" ht="15.75" customHeight="1">
      <c r="B293" s="53" t="str">
        <f t="array" ref="B293">IFERROR(INDEX(Data!$A$2:$A$750,SMALL(Data!$S$2:$S$750,187)),"")</f>
        <v>SIEMENS</v>
      </c>
      <c r="C293" s="53" t="str">
        <f t="array" ref="C293">IFERROR(IF(INDEX(Data!$B$2:$B$750,SMALL(Data!$S$2:$S$750,187))=0,"",INDEX(Data!$B$2:$B$750,SMALL(Data!$S$2:$S$750,187))),"")</f>
        <v/>
      </c>
      <c r="D293" s="53" t="str">
        <f t="array" ref="D293">IFERROR(INDEX(Data!$C$2:$C$750,SMALL(Data!$S$2:$S$750,187)),"")</f>
        <v>SSD Hard 512GB</v>
      </c>
      <c r="E293" s="53">
        <f t="array" ref="E293">IFERROR(IF(INDEX(Data!$D$2:$D$750,SMALL(Data!$S$2:$S$750,187))=0,"",INDEX(Data!$D$2:$D$750,SMALL(Data!$S$2:$S$750,187))),"")</f>
        <v>1</v>
      </c>
      <c r="F293" s="54">
        <f t="array" ref="F293">IFERROR(IF(INDEX(Data!$E$2:$E$750,SMALL(Data!$S$2:$S$750,187))=0,"",INDEX(Data!$E$2:$E$750,SMALL(Data!$S$2:$S$750,187))),"")</f>
        <v>2</v>
      </c>
      <c r="G293" s="54">
        <f t="array" ref="G293">IFERROR(INDEX(Data!$F$2:$F$750,SMALL(Data!$S$2:$S$750,187)),"")</f>
        <v>2</v>
      </c>
      <c r="H293" s="55">
        <f t="array" ref="H293">IFERROR(IF(INDEX(Data!$G$2:$G$750,SMALL(Data!$S$2:$S$750,187))=0,"",INDEX(Data!$G$2:$G$750,SMALL(Data!$S$2:$S$750,187))),"")</f>
        <v>46330</v>
      </c>
      <c r="I293" s="53">
        <f t="array" ref="I293">IFERROR(IF(INDEX(Data!$H$2:$H$750,SMALL(Data!$S$2:$S$750,187))=0,"",INDEX(Data!$H$2:$H$750,SMALL(Data!$S$2:$S$750,187))),"")</f>
        <v>12</v>
      </c>
      <c r="J293" s="55">
        <f t="array" ref="J293">IFERROR(INDEX(Data!$I$2:$I$750,SMALL(Data!$S$2:$S$750,187)),"")</f>
        <v>46414</v>
      </c>
      <c r="K293" s="53" t="str">
        <f t="array" ref="K293">IFERROR(INDEX(Data!$J$2:$J$750,SMALL(Data!$S$2:$S$750,187)),"")</f>
        <v>Not Paid</v>
      </c>
      <c r="L293" s="53" t="str">
        <f t="array" ref="L293">IFERROR(INDEX(Data!$K$2:$K$750,SMALL(Data!$S$2:$S$750,187)),"")</f>
        <v>Pending</v>
      </c>
      <c r="M293" s="48" t="s">
        <v>89</v>
      </c>
      <c r="N293" s="48">
        <f>SUMIFS(Data!D2:D750,Data!C2:C750,M293,Data!N2:N750,1)</f>
        <v>2</v>
      </c>
    </row>
    <row r="294" ht="15.75" customHeight="1">
      <c r="B294" s="56" t="str">
        <f t="array" ref="B294">IFERROR(INDEX(Data!$A$2:$A$750,SMALL(Data!$S$2:$S$750,188)),"")</f>
        <v>AAIB</v>
      </c>
      <c r="C294" s="56" t="str">
        <f t="array" ref="C294">IFERROR(IF(INDEX(Data!$B$2:$B$750,SMALL(Data!$S$2:$S$750,188))=0,"",INDEX(Data!$B$2:$B$750,SMALL(Data!$S$2:$S$750,188))),"")</f>
        <v/>
      </c>
      <c r="D294" s="56" t="str">
        <f t="array" ref="D294">IFERROR(INDEX(Data!$C$2:$C$750,SMALL(Data!$S$2:$S$750,188)),"")</f>
        <v>Barcode Silver labels 5X2.5cm</v>
      </c>
      <c r="E294" s="56">
        <f t="array" ref="E294">IFERROR(IF(INDEX(Data!$D$2:$D$750,SMALL(Data!$S$2:$S$750,188))=0,"",INDEX(Data!$D$2:$D$750,SMALL(Data!$S$2:$S$750,188))),"")</f>
        <v>31000</v>
      </c>
      <c r="F294" s="57">
        <f t="array" ref="F294">IFERROR(IF(INDEX(Data!$E$2:$E$750,SMALL(Data!$S$2:$S$750,188))=0,"",INDEX(Data!$E$2:$E$750,SMALL(Data!$S$2:$S$750,188))),"")</f>
        <v>5</v>
      </c>
      <c r="G294" s="57">
        <f t="array" ref="G294">IFERROR(INDEX(Data!$F$2:$F$750,SMALL(Data!$S$2:$S$750,188)),"")</f>
        <v>155000</v>
      </c>
      <c r="H294" s="58">
        <f t="array" ref="H294">IFERROR(IF(INDEX(Data!$G$2:$G$750,SMALL(Data!$S$2:$S$750,188))=0,"",INDEX(Data!$G$2:$G$750,SMALL(Data!$S$2:$S$750,188))),"")</f>
        <v>46331</v>
      </c>
      <c r="I294" s="56">
        <f t="array" ref="I294">IFERROR(IF(INDEX(Data!$H$2:$H$750,SMALL(Data!$S$2:$S$750,188))=0,"",INDEX(Data!$H$2:$H$750,SMALL(Data!$S$2:$S$750,188))),"")</f>
        <v>15</v>
      </c>
      <c r="J294" s="58">
        <f t="array" ref="J294">IFERROR(INDEX(Data!$I$2:$I$750,SMALL(Data!$S$2:$S$750,188)),"")</f>
        <v>46436</v>
      </c>
      <c r="K294" s="56" t="str">
        <f t="array" ref="K294">IFERROR(INDEX(Data!$J$2:$J$750,SMALL(Data!$S$2:$S$750,188)),"")</f>
        <v>Not Paid</v>
      </c>
      <c r="L294" s="56" t="str">
        <f t="array" ref="L294">IFERROR(INDEX(Data!$K$2:$K$750,SMALL(Data!$S$2:$S$750,188)),"")</f>
        <v>Pending</v>
      </c>
      <c r="M294" s="48" t="s">
        <v>93</v>
      </c>
      <c r="N294" s="48">
        <f>SUMIFS(Data!D2:D750,Data!C2:C750,M294,Data!N2:N750,1)</f>
        <v>2</v>
      </c>
    </row>
    <row r="295" ht="15.75" customHeight="1">
      <c r="B295" s="53" t="str">
        <f t="array" ref="B295">IFERROR(INDEX(Data!$A$2:$A$750,SMALL(Data!$S$2:$S$750,189)),"")</f>
        <v>AAIB</v>
      </c>
      <c r="C295" s="53" t="str">
        <f t="array" ref="C295">IFERROR(IF(INDEX(Data!$B$2:$B$750,SMALL(Data!$S$2:$S$750,189))=0,"",INDEX(Data!$B$2:$B$750,SMALL(Data!$S$2:$S$750,189))),"")</f>
        <v/>
      </c>
      <c r="D295" s="53" t="str">
        <f t="array" ref="D295">IFERROR(INDEX(Data!$C$2:$C$750,SMALL(Data!$S$2:$S$750,189)),"")</f>
        <v>Pm75 upgraded to 85</v>
      </c>
      <c r="E295" s="53">
        <f t="array" ref="E295">IFERROR(IF(INDEX(Data!$D$2:$D$750,SMALL(Data!$S$2:$S$750,189))=0,"",INDEX(Data!$D$2:$D$750,SMALL(Data!$S$2:$S$750,189))),"")</f>
        <v>1</v>
      </c>
      <c r="F295" s="54">
        <f t="array" ref="F295">IFERROR(IF(INDEX(Data!$E$2:$E$750,SMALL(Data!$S$2:$S$750,189))=0,"",INDEX(Data!$E$2:$E$750,SMALL(Data!$S$2:$S$750,189))),"")</f>
        <v>6</v>
      </c>
      <c r="G295" s="54">
        <f t="array" ref="G295">IFERROR(INDEX(Data!$F$2:$F$750,SMALL(Data!$S$2:$S$750,189)),"")</f>
        <v>6</v>
      </c>
      <c r="H295" s="55">
        <f t="array" ref="H295">IFERROR(IF(INDEX(Data!$G$2:$G$750,SMALL(Data!$S$2:$S$750,189))=0,"",INDEX(Data!$G$2:$G$750,SMALL(Data!$S$2:$S$750,189))),"")</f>
        <v>46332</v>
      </c>
      <c r="I295" s="53">
        <f t="array" ref="I295">IFERROR(IF(INDEX(Data!$H$2:$H$750,SMALL(Data!$S$2:$S$750,189))=0,"",INDEX(Data!$H$2:$H$750,SMALL(Data!$S$2:$S$750,189))),"")</f>
        <v>15</v>
      </c>
      <c r="J295" s="55">
        <f t="array" ref="J295">IFERROR(INDEX(Data!$I$2:$I$750,SMALL(Data!$S$2:$S$750,189)),"")</f>
        <v>46437</v>
      </c>
      <c r="K295" s="53" t="str">
        <f t="array" ref="K295">IFERROR(INDEX(Data!$J$2:$J$750,SMALL(Data!$S$2:$S$750,189)),"")</f>
        <v>Not Paid</v>
      </c>
      <c r="L295" s="53" t="str">
        <f t="array" ref="L295">IFERROR(INDEX(Data!$K$2:$K$750,SMALL(Data!$S$2:$S$750,189)),"")</f>
        <v>Pending</v>
      </c>
      <c r="M295" s="48" t="s">
        <v>419</v>
      </c>
      <c r="N295" s="48">
        <f>SUMIFS(Data!D2:D750,Data!C2:C750,M295,Data!N2:N750,1)</f>
        <v>2</v>
      </c>
    </row>
    <row r="296" ht="15.75" customHeight="1">
      <c r="B296" s="56" t="str">
        <f t="array" ref="B296">IFERROR(INDEX(Data!$A$2:$A$750,SMALL(Data!$S$2:$S$750,190)),"")</f>
        <v>Orascom</v>
      </c>
      <c r="C296" s="56" t="str">
        <f t="array" ref="C296">IFERROR(IF(INDEX(Data!$B$2:$B$750,SMALL(Data!$S$2:$S$750,190))=0,"",INDEX(Data!$B$2:$B$750,SMALL(Data!$S$2:$S$750,190))),"")</f>
        <v>Metalcraft</v>
      </c>
      <c r="D296" s="56" t="str">
        <f t="array" ref="D296">IFERROR(INDEX(Data!$C$2:$C$750,SMALL(Data!$S$2:$S$750,190)),"")</f>
        <v>Dest windshield tags- printed</v>
      </c>
      <c r="E296" s="56">
        <f t="array" ref="E296">IFERROR(IF(INDEX(Data!$D$2:$D$750,SMALL(Data!$S$2:$S$750,190))=0,"",INDEX(Data!$D$2:$D$750,SMALL(Data!$S$2:$S$750,190))),"")</f>
        <v>300</v>
      </c>
      <c r="F296" s="57">
        <f t="array" ref="F296">IFERROR(IF(INDEX(Data!$E$2:$E$750,SMALL(Data!$S$2:$S$750,190))=0,"",INDEX(Data!$E$2:$E$750,SMALL(Data!$S$2:$S$750,190))),"")</f>
        <v>7</v>
      </c>
      <c r="G296" s="57">
        <f t="array" ref="G296">IFERROR(INDEX(Data!$F$2:$F$750,SMALL(Data!$S$2:$S$750,190)),"")</f>
        <v>2100</v>
      </c>
      <c r="H296" s="58">
        <f t="array" ref="H296">IFERROR(IF(INDEX(Data!$G$2:$G$750,SMALL(Data!$S$2:$S$750,190))=0,"",INDEX(Data!$G$2:$G$750,SMALL(Data!$S$2:$S$750,190))),"")</f>
        <v>46333</v>
      </c>
      <c r="I296" s="56">
        <f t="array" ref="I296">IFERROR(IF(INDEX(Data!$H$2:$H$750,SMALL(Data!$S$2:$S$750,190))=0,"",INDEX(Data!$H$2:$H$750,SMALL(Data!$S$2:$S$750,190))),"")</f>
        <v>15</v>
      </c>
      <c r="J296" s="58">
        <f t="array" ref="J296">IFERROR(INDEX(Data!$I$2:$I$750,SMALL(Data!$S$2:$S$750,190)),"")</f>
        <v>46438</v>
      </c>
      <c r="K296" s="56" t="str">
        <f t="array" ref="K296">IFERROR(INDEX(Data!$J$2:$J$750,SMALL(Data!$S$2:$S$750,190)),"")</f>
        <v>Not Paid</v>
      </c>
      <c r="L296" s="56" t="str">
        <f t="array" ref="L296">IFERROR(INDEX(Data!$K$2:$K$750,SMALL(Data!$S$2:$S$750,190)),"")</f>
        <v>Pending</v>
      </c>
      <c r="M296" s="48" t="s">
        <v>596</v>
      </c>
      <c r="N296" s="48">
        <f>SUMIFS(Data!D2:D750,Data!C2:C750,M296,Data!N2:N750,1)</f>
        <v>4</v>
      </c>
    </row>
    <row r="297" ht="15.75" customHeight="1">
      <c r="B297" s="53" t="str">
        <f t="array" ref="B297">IFERROR(INDEX(Data!$A$2:$A$750,SMALL(Data!$S$2:$S$750,191)),"")</f>
        <v>Evergreen</v>
      </c>
      <c r="C297" s="53" t="str">
        <f t="array" ref="C297">IFERROR(IF(INDEX(Data!$B$2:$B$750,SMALL(Data!$S$2:$S$750,191))=0,"",INDEX(Data!$B$2:$B$750,SMALL(Data!$S$2:$S$750,191))),"")</f>
        <v/>
      </c>
      <c r="D297" s="53" t="str">
        <f t="array" ref="D297">IFERROR(INDEX(Data!$C$2:$C$750,SMALL(Data!$S$2:$S$750,191)),"")</f>
        <v>Photocell</v>
      </c>
      <c r="E297" s="53">
        <f t="array" ref="E297">IFERROR(IF(INDEX(Data!$D$2:$D$750,SMALL(Data!$S$2:$S$750,191))=0,"",INDEX(Data!$D$2:$D$750,SMALL(Data!$S$2:$S$750,191))),"")</f>
        <v>1</v>
      </c>
      <c r="F297" s="54">
        <f t="array" ref="F297">IFERROR(IF(INDEX(Data!$E$2:$E$750,SMALL(Data!$S$2:$S$750,191))=0,"",INDEX(Data!$E$2:$E$750,SMALL(Data!$S$2:$S$750,191))),"")</f>
        <v>8</v>
      </c>
      <c r="G297" s="54">
        <f t="array" ref="G297">IFERROR(INDEX(Data!$F$2:$F$750,SMALL(Data!$S$2:$S$750,191)),"")</f>
        <v>8</v>
      </c>
      <c r="H297" s="55">
        <f t="array" ref="H297">IFERROR(IF(INDEX(Data!$G$2:$G$750,SMALL(Data!$S$2:$S$750,191))=0,"",INDEX(Data!$G$2:$G$750,SMALL(Data!$S$2:$S$750,191))),"")</f>
        <v>46334</v>
      </c>
      <c r="I297" s="53">
        <f t="array" ref="I297">IFERROR(IF(INDEX(Data!$H$2:$H$750,SMALL(Data!$S$2:$S$750,191))=0,"",INDEX(Data!$H$2:$H$750,SMALL(Data!$S$2:$S$750,191))),"")</f>
        <v>13</v>
      </c>
      <c r="J297" s="55">
        <f t="array" ref="J297">IFERROR(INDEX(Data!$I$2:$I$750,SMALL(Data!$S$2:$S$750,191)),"")</f>
        <v>46425</v>
      </c>
      <c r="K297" s="53" t="str">
        <f t="array" ref="K297">IFERROR(INDEX(Data!$J$2:$J$750,SMALL(Data!$S$2:$S$750,191)),"")</f>
        <v>Not Paid</v>
      </c>
      <c r="L297" s="53" t="str">
        <f t="array" ref="L297">IFERROR(INDEX(Data!$K$2:$K$750,SMALL(Data!$S$2:$S$750,191)),"")</f>
        <v>Pending</v>
      </c>
      <c r="M297" s="48" t="s">
        <v>573</v>
      </c>
      <c r="N297" s="48">
        <f>SUMIFS(Data!D2:D750,Data!C2:C750,M297,Data!N2:N750,1)</f>
        <v>4</v>
      </c>
    </row>
    <row r="298" ht="15.75" customHeight="1">
      <c r="B298" s="56" t="str">
        <f t="array" ref="B298">IFERROR(INDEX(Data!$A$2:$A$750,SMALL(Data!$S$2:$S$750,192)),"")</f>
        <v>Select</v>
      </c>
      <c r="C298" s="56" t="str">
        <f t="array" ref="C298">IFERROR(IF(INDEX(Data!$B$2:$B$750,SMALL(Data!$S$2:$S$750,192))=0,"",INDEX(Data!$B$2:$B$750,SMALL(Data!$S$2:$S$750,192))),"")</f>
        <v/>
      </c>
      <c r="D298" s="56" t="str">
        <f t="array" ref="D298">IFERROR(INDEX(Data!$C$2:$C$750,SMALL(Data!$S$2:$S$750,192)),"")</f>
        <v>Jewelry tags</v>
      </c>
      <c r="E298" s="56">
        <f t="array" ref="E298">IFERROR(IF(INDEX(Data!$D$2:$D$750,SMALL(Data!$S$2:$S$750,192))=0,"",INDEX(Data!$D$2:$D$750,SMALL(Data!$S$2:$S$750,192))),"")</f>
        <v>2500</v>
      </c>
      <c r="F298" s="57">
        <f t="array" ref="F298">IFERROR(IF(INDEX(Data!$E$2:$E$750,SMALL(Data!$S$2:$S$750,192))=0,"",INDEX(Data!$E$2:$E$750,SMALL(Data!$S$2:$S$750,192))),"")</f>
        <v>2</v>
      </c>
      <c r="G298" s="57">
        <f t="array" ref="G298">IFERROR(INDEX(Data!$F$2:$F$750,SMALL(Data!$S$2:$S$750,192)),"")</f>
        <v>5000</v>
      </c>
      <c r="H298" s="58">
        <f t="array" ref="H298">IFERROR(IF(INDEX(Data!$G$2:$G$750,SMALL(Data!$S$2:$S$750,192))=0,"",INDEX(Data!$G$2:$G$750,SMALL(Data!$S$2:$S$750,192))),"")</f>
        <v>46335</v>
      </c>
      <c r="I298" s="56">
        <f t="array" ref="I298">IFERROR(IF(INDEX(Data!$H$2:$H$750,SMALL(Data!$S$2:$S$750,192))=0,"",INDEX(Data!$H$2:$H$750,SMALL(Data!$S$2:$S$750,192))),"")</f>
        <v>4</v>
      </c>
      <c r="J298" s="58">
        <f t="array" ref="J298">IFERROR(INDEX(Data!$I$2:$I$750,SMALL(Data!$S$2:$S$750,192)),"")</f>
        <v>46363</v>
      </c>
      <c r="K298" s="56" t="str">
        <f t="array" ref="K298">IFERROR(INDEX(Data!$J$2:$J$750,SMALL(Data!$S$2:$S$750,192)),"")</f>
        <v>Not Paid</v>
      </c>
      <c r="L298" s="56" t="str">
        <f t="array" ref="L298">IFERROR(INDEX(Data!$K$2:$K$750,SMALL(Data!$S$2:$S$750,192)),"")</f>
        <v>Pending</v>
      </c>
      <c r="M298" s="48" t="s">
        <v>621</v>
      </c>
      <c r="N298" s="48">
        <f>SUMIFS(Data!D2:D750,Data!C2:C750,M298,Data!N2:N750,1)</f>
        <v>4</v>
      </c>
    </row>
    <row r="299" ht="15.75" customHeight="1">
      <c r="B299" s="53" t="str">
        <f t="array" ref="B299">IFERROR(INDEX(Data!$A$2:$A$750,SMALL(Data!$S$2:$S$750,193)),"")</f>
        <v>Prometeon</v>
      </c>
      <c r="C299" s="53" t="str">
        <f t="array" ref="C299">IFERROR(IF(INDEX(Data!$B$2:$B$750,SMALL(Data!$S$2:$S$750,193))=0,"",INDEX(Data!$B$2:$B$750,SMALL(Data!$S$2:$S$750,193))),"")</f>
        <v>SATO</v>
      </c>
      <c r="D299" s="53" t="str">
        <f t="array" ref="D299">IFERROR(INDEX(Data!$C$2:$C$750,SMALL(Data!$S$2:$S$750,193)),"")</f>
        <v>Cutter Kit for CL4NX Plus Printer</v>
      </c>
      <c r="E299" s="53">
        <f t="array" ref="E299">IFERROR(IF(INDEX(Data!$D$2:$D$750,SMALL(Data!$S$2:$S$750,193))=0,"",INDEX(Data!$D$2:$D$750,SMALL(Data!$S$2:$S$750,193))),"")</f>
        <v>2</v>
      </c>
      <c r="F299" s="54">
        <f t="array" ref="F299">IFERROR(IF(INDEX(Data!$E$2:$E$750,SMALL(Data!$S$2:$S$750,193))=0,"",INDEX(Data!$E$2:$E$750,SMALL(Data!$S$2:$S$750,193))),"")</f>
        <v>15</v>
      </c>
      <c r="G299" s="54">
        <f t="array" ref="G299">IFERROR(INDEX(Data!$F$2:$F$750,SMALL(Data!$S$2:$S$750,193)),"")</f>
        <v>30</v>
      </c>
      <c r="H299" s="55">
        <f t="array" ref="H299">IFERROR(IF(INDEX(Data!$G$2:$G$750,SMALL(Data!$S$2:$S$750,193))=0,"",INDEX(Data!$G$2:$G$750,SMALL(Data!$S$2:$S$750,193))),"")</f>
        <v>46336</v>
      </c>
      <c r="I299" s="53">
        <f t="array" ref="I299">IFERROR(IF(INDEX(Data!$H$2:$H$750,SMALL(Data!$S$2:$S$750,193))=0,"",INDEX(Data!$H$2:$H$750,SMALL(Data!$S$2:$S$750,193))),"")</f>
        <v>3</v>
      </c>
      <c r="J299" s="55">
        <f t="array" ref="J299">IFERROR(INDEX(Data!$I$2:$I$750,SMALL(Data!$S$2:$S$750,193)),"")</f>
        <v>46357</v>
      </c>
      <c r="K299" s="53" t="str">
        <f t="array" ref="K299">IFERROR(INDEX(Data!$J$2:$J$750,SMALL(Data!$S$2:$S$750,193)),"")</f>
        <v>Not Paid</v>
      </c>
      <c r="L299" s="53" t="str">
        <f t="array" ref="L299">IFERROR(INDEX(Data!$K$2:$K$750,SMALL(Data!$S$2:$S$750,193)),"")</f>
        <v>Pending</v>
      </c>
      <c r="M299" s="48" t="s">
        <v>650</v>
      </c>
      <c r="N299" s="48">
        <f>SUMIFS(Data!D2:D750,Data!C2:C750,M299,Data!N2:N750,1)</f>
        <v>1</v>
      </c>
    </row>
    <row r="300" ht="15.75" customHeight="1">
      <c r="B300" s="56" t="str">
        <f t="array" ref="B300">IFERROR(INDEX(Data!$A$2:$A$750,SMALL(Data!$S$2:$S$750,194)),"")</f>
        <v>ANOPC</v>
      </c>
      <c r="C300" s="56" t="str">
        <f t="array" ref="C300">IFERROR(IF(INDEX(Data!$B$2:$B$750,SMALL(Data!$S$2:$S$750,194))=0,"",INDEX(Data!$B$2:$B$750,SMALL(Data!$S$2:$S$750,194))),"")</f>
        <v>Dipole</v>
      </c>
      <c r="D300" s="56" t="str">
        <f t="array" ref="D300">IFERROR(INDEX(Data!$C$2:$C$750,SMALL(Data!$S$2:$S$750,194)),"")</f>
        <v>Dogbone</v>
      </c>
      <c r="E300" s="56">
        <f t="array" ref="E300">IFERROR(IF(INDEX(Data!$D$2:$D$750,SMALL(Data!$S$2:$S$750,194))=0,"",INDEX(Data!$D$2:$D$750,SMALL(Data!$S$2:$S$750,194))),"")</f>
        <v>15000</v>
      </c>
      <c r="F300" s="57">
        <f t="array" ref="F300">IFERROR(IF(INDEX(Data!$E$2:$E$750,SMALL(Data!$S$2:$S$750,194))=0,"",INDEX(Data!$E$2:$E$750,SMALL(Data!$S$2:$S$750,194))),"")</f>
        <v>45</v>
      </c>
      <c r="G300" s="57">
        <f t="array" ref="G300">IFERROR(INDEX(Data!$F$2:$F$750,SMALL(Data!$S$2:$S$750,194)),"")</f>
        <v>675000</v>
      </c>
      <c r="H300" s="58">
        <f t="array" ref="H300">IFERROR(IF(INDEX(Data!$G$2:$G$750,SMALL(Data!$S$2:$S$750,194))=0,"",INDEX(Data!$G$2:$G$750,SMALL(Data!$S$2:$S$750,194))),"")</f>
        <v>46337</v>
      </c>
      <c r="I300" s="56">
        <f t="array" ref="I300">IFERROR(IF(INDEX(Data!$H$2:$H$750,SMALL(Data!$S$2:$S$750,194))=0,"",INDEX(Data!$H$2:$H$750,SMALL(Data!$S$2:$S$750,194))),"")</f>
        <v>2</v>
      </c>
      <c r="J300" s="58">
        <f t="array" ref="J300">IFERROR(INDEX(Data!$I$2:$I$750,SMALL(Data!$S$2:$S$750,194)),"")</f>
        <v>46351</v>
      </c>
      <c r="K300" s="56" t="str">
        <f t="array" ref="K300">IFERROR(INDEX(Data!$J$2:$J$750,SMALL(Data!$S$2:$S$750,194)),"")</f>
        <v>Not Paid</v>
      </c>
      <c r="L300" s="56" t="str">
        <f t="array" ref="L300">IFERROR(INDEX(Data!$K$2:$K$750,SMALL(Data!$S$2:$S$750,194)),"")</f>
        <v>Pending</v>
      </c>
      <c r="M300" s="48" t="s">
        <v>645</v>
      </c>
      <c r="N300" s="48">
        <f>SUMIFS(Data!D2:D750,Data!C2:C750,M300,Data!N2:N750,1)</f>
        <v>4</v>
      </c>
    </row>
    <row r="301" ht="15.75" customHeight="1">
      <c r="B301" s="53" t="str">
        <f t="array" ref="B301">IFERROR(INDEX(Data!$A$2:$A$750,SMALL(Data!$S$2:$S$750,195)),"")</f>
        <v>ANOPC</v>
      </c>
      <c r="C301" s="53" t="str">
        <f t="array" ref="C301">IFERROR(IF(INDEX(Data!$B$2:$B$750,SMALL(Data!$S$2:$S$750,195))=0,"",INDEX(Data!$B$2:$B$750,SMALL(Data!$S$2:$S$750,195))),"")</f>
        <v>Metalcraft</v>
      </c>
      <c r="D301" s="53" t="str">
        <f t="array" ref="D301">IFERROR(INDEX(Data!$C$2:$C$750,SMALL(Data!$S$2:$S$750,195)),"")</f>
        <v>EU Universal tags- printed</v>
      </c>
      <c r="E301" s="53">
        <f t="array" ref="E301">IFERROR(IF(INDEX(Data!$D$2:$D$750,SMALL(Data!$S$2:$S$750,195))=0,"",INDEX(Data!$D$2:$D$750,SMALL(Data!$S$2:$S$750,195))),"")</f>
        <v>8000</v>
      </c>
      <c r="F301" s="54">
        <f t="array" ref="F301">IFERROR(IF(INDEX(Data!$E$2:$E$750,SMALL(Data!$S$2:$S$750,195))=0,"",INDEX(Data!$E$2:$E$750,SMALL(Data!$S$2:$S$750,195))),"")</f>
        <v>24</v>
      </c>
      <c r="G301" s="54">
        <f t="array" ref="G301">IFERROR(INDEX(Data!$F$2:$F$750,SMALL(Data!$S$2:$S$750,195)),"")</f>
        <v>192000</v>
      </c>
      <c r="H301" s="55">
        <f t="array" ref="H301">IFERROR(IF(INDEX(Data!$G$2:$G$750,SMALL(Data!$S$2:$S$750,195))=0,"",INDEX(Data!$G$2:$G$750,SMALL(Data!$S$2:$S$750,195))),"")</f>
        <v>46338</v>
      </c>
      <c r="I301" s="53">
        <f t="array" ref="I301">IFERROR(IF(INDEX(Data!$H$2:$H$750,SMALL(Data!$S$2:$S$750,195))=0,"",INDEX(Data!$H$2:$H$750,SMALL(Data!$S$2:$S$750,195))),"")</f>
        <v>6</v>
      </c>
      <c r="J301" s="55">
        <f t="array" ref="J301">IFERROR(INDEX(Data!$I$2:$I$750,SMALL(Data!$S$2:$S$750,195)),"")</f>
        <v>46380</v>
      </c>
      <c r="K301" s="53" t="str">
        <f t="array" ref="K301">IFERROR(INDEX(Data!$J$2:$J$750,SMALL(Data!$S$2:$S$750,195)),"")</f>
        <v>Not Paid</v>
      </c>
      <c r="L301" s="53" t="str">
        <f t="array" ref="L301">IFERROR(INDEX(Data!$K$2:$K$750,SMALL(Data!$S$2:$S$750,195)),"")</f>
        <v>Pending</v>
      </c>
      <c r="M301" s="48" t="s">
        <v>343</v>
      </c>
      <c r="N301" s="48">
        <f>SUMIFS(Data!D2:D750,Data!C2:C750,M301,Data!N2:N750,1)</f>
        <v>90000</v>
      </c>
    </row>
    <row r="302" ht="15.75" customHeight="1">
      <c r="B302" s="56" t="str">
        <f t="array" ref="B302">IFERROR(INDEX(Data!$A$2:$A$750,SMALL(Data!$S$2:$S$750,196)),"")</f>
        <v>ANOPC</v>
      </c>
      <c r="C302" s="56" t="str">
        <f t="array" ref="C302">IFERROR(IF(INDEX(Data!$B$2:$B$750,SMALL(Data!$S$2:$S$750,196))=0,"",INDEX(Data!$B$2:$B$750,SMALL(Data!$S$2:$S$750,196))),"")</f>
        <v>SATO</v>
      </c>
      <c r="D302" s="56" t="str">
        <f t="array" ref="D302">IFERROR(INDEX(Data!$C$2:$C$750,SMALL(Data!$S$2:$S$750,196)),"")</f>
        <v>Ribbons-(Y10110600370)</v>
      </c>
      <c r="E302" s="56">
        <f t="array" ref="E302">IFERROR(IF(INDEX(Data!$D$2:$D$750,SMALL(Data!$S$2:$S$750,196))=0,"",INDEX(Data!$D$2:$D$750,SMALL(Data!$S$2:$S$750,196))),"")</f>
        <v>20</v>
      </c>
      <c r="F302" s="57">
        <f t="array" ref="F302">IFERROR(IF(INDEX(Data!$E$2:$E$750,SMALL(Data!$S$2:$S$750,196))=0,"",INDEX(Data!$E$2:$E$750,SMALL(Data!$S$2:$S$750,196))),"")</f>
        <v>25</v>
      </c>
      <c r="G302" s="57">
        <f t="array" ref="G302">IFERROR(INDEX(Data!$F$2:$F$750,SMALL(Data!$S$2:$S$750,196)),"")</f>
        <v>500</v>
      </c>
      <c r="H302" s="58">
        <f t="array" ref="H302">IFERROR(IF(INDEX(Data!$G$2:$G$750,SMALL(Data!$S$2:$S$750,196))=0,"",INDEX(Data!$G$2:$G$750,SMALL(Data!$S$2:$S$750,196))),"")</f>
        <v>46339</v>
      </c>
      <c r="I302" s="56">
        <f t="array" ref="I302">IFERROR(IF(INDEX(Data!$H$2:$H$750,SMALL(Data!$S$2:$S$750,196))=0,"",INDEX(Data!$H$2:$H$750,SMALL(Data!$S$2:$S$750,196))),"")</f>
        <v>2</v>
      </c>
      <c r="J302" s="58">
        <f t="array" ref="J302">IFERROR(INDEX(Data!$I$2:$I$750,SMALL(Data!$S$2:$S$750,196)),"")</f>
        <v>46353</v>
      </c>
      <c r="K302" s="56" t="str">
        <f t="array" ref="K302">IFERROR(INDEX(Data!$J$2:$J$750,SMALL(Data!$S$2:$S$750,196)),"")</f>
        <v>Not Paid</v>
      </c>
      <c r="L302" s="56" t="str">
        <f t="array" ref="L302">IFERROR(INDEX(Data!$K$2:$K$750,SMALL(Data!$S$2:$S$750,196)),"")</f>
        <v>Pending</v>
      </c>
      <c r="M302" s="48" t="s">
        <v>615</v>
      </c>
      <c r="N302" s="48">
        <f>SUMIFS(Data!D2:D750,Data!C2:C750,M302,Data!N2:N750,1)</f>
        <v>45200</v>
      </c>
    </row>
    <row r="303" ht="15.75" customHeight="1">
      <c r="B303" s="53" t="str">
        <f t="array" ref="B303">IFERROR(INDEX(Data!$A$2:$A$750,SMALL(Data!$S$2:$S$750,197)),"")</f>
        <v>ANOPC</v>
      </c>
      <c r="C303" s="53" t="str">
        <f t="array" ref="C303">IFERROR(IF(INDEX(Data!$B$2:$B$750,SMALL(Data!$S$2:$S$750,197))=0,"",INDEX(Data!$B$2:$B$750,SMALL(Data!$S$2:$S$750,197))),"")</f>
        <v/>
      </c>
      <c r="D303" s="53" t="str">
        <f t="array" ref="D303">IFERROR(INDEX(Data!$C$2:$C$750,SMALL(Data!$S$2:$S$750,197)),"")</f>
        <v>Honeywell bracket</v>
      </c>
      <c r="E303" s="53">
        <f t="array" ref="E303">IFERROR(IF(INDEX(Data!$D$2:$D$750,SMALL(Data!$S$2:$S$750,197))=0,"",INDEX(Data!$D$2:$D$750,SMALL(Data!$S$2:$S$750,197))),"")</f>
        <v>1</v>
      </c>
      <c r="F303" s="54">
        <f t="array" ref="F303">IFERROR(IF(INDEX(Data!$E$2:$E$750,SMALL(Data!$S$2:$S$750,197))=0,"",INDEX(Data!$E$2:$E$750,SMALL(Data!$S$2:$S$750,197))),"")</f>
        <v>36</v>
      </c>
      <c r="G303" s="54">
        <f t="array" ref="G303">IFERROR(INDEX(Data!$F$2:$F$750,SMALL(Data!$S$2:$S$750,197)),"")</f>
        <v>36</v>
      </c>
      <c r="H303" s="55">
        <f t="array" ref="H303">IFERROR(IF(INDEX(Data!$G$2:$G$750,SMALL(Data!$S$2:$S$750,197))=0,"",INDEX(Data!$G$2:$G$750,SMALL(Data!$S$2:$S$750,197))),"")</f>
        <v>46340</v>
      </c>
      <c r="I303" s="53">
        <f t="array" ref="I303">IFERROR(IF(INDEX(Data!$H$2:$H$750,SMALL(Data!$S$2:$S$750,197))=0,"",INDEX(Data!$H$2:$H$750,SMALL(Data!$S$2:$S$750,197))),"")</f>
        <v>5</v>
      </c>
      <c r="J303" s="55">
        <f t="array" ref="J303">IFERROR(INDEX(Data!$I$2:$I$750,SMALL(Data!$S$2:$S$750,197)),"")</f>
        <v>46375</v>
      </c>
      <c r="K303" s="53" t="str">
        <f t="array" ref="K303">IFERROR(INDEX(Data!$J$2:$J$750,SMALL(Data!$S$2:$S$750,197)),"")</f>
        <v>Not Paid</v>
      </c>
      <c r="L303" s="53" t="str">
        <f t="array" ref="L303">IFERROR(INDEX(Data!$K$2:$K$750,SMALL(Data!$S$2:$S$750,197)),"")</f>
        <v>Pending</v>
      </c>
      <c r="M303" s="48" t="s">
        <v>318</v>
      </c>
      <c r="N303" s="48">
        <f>SUMIFS(Data!D2:D750,Data!C2:C750,M303,Data!N2:N750,1)</f>
        <v>340</v>
      </c>
    </row>
    <row r="304" ht="15.75" customHeight="1">
      <c r="B304" s="56" t="str">
        <f t="array" ref="B304">IFERROR(INDEX(Data!$A$2:$A$750,SMALL(Data!$S$2:$S$750,198)),"")</f>
        <v>ANOPC</v>
      </c>
      <c r="C304" s="56" t="str">
        <f t="array" ref="C304">IFERROR(IF(INDEX(Data!$B$2:$B$750,SMALL(Data!$S$2:$S$750,198))=0,"",INDEX(Data!$B$2:$B$750,SMALL(Data!$S$2:$S$750,198))),"")</f>
        <v>Confidex</v>
      </c>
      <c r="D304" s="56" t="str">
        <f t="array" ref="D304">IFERROR(INDEX(Data!$C$2:$C$750,SMALL(Data!$S$2:$S$750,198)),"")</f>
        <v>RCO7008 on metal printed</v>
      </c>
      <c r="E304" s="56">
        <f t="array" ref="E304">IFERROR(IF(INDEX(Data!$D$2:$D$750,SMALL(Data!$S$2:$S$750,198))=0,"",INDEX(Data!$D$2:$D$750,SMALL(Data!$S$2:$S$750,198))),"")</f>
        <v>500</v>
      </c>
      <c r="F304" s="57">
        <f t="array" ref="F304">IFERROR(IF(INDEX(Data!$E$2:$E$750,SMALL(Data!$S$2:$S$750,198))=0,"",INDEX(Data!$E$2:$E$750,SMALL(Data!$S$2:$S$750,198))),"")</f>
        <v>95</v>
      </c>
      <c r="G304" s="57">
        <f t="array" ref="G304">IFERROR(INDEX(Data!$F$2:$F$750,SMALL(Data!$S$2:$S$750,198)),"")</f>
        <v>47500</v>
      </c>
      <c r="H304" s="58">
        <f t="array" ref="H304">IFERROR(IF(INDEX(Data!$G$2:$G$750,SMALL(Data!$S$2:$S$750,198))=0,"",INDEX(Data!$G$2:$G$750,SMALL(Data!$S$2:$S$750,198))),"")</f>
        <v>46341</v>
      </c>
      <c r="I304" s="56">
        <f t="array" ref="I304">IFERROR(IF(INDEX(Data!$H$2:$H$750,SMALL(Data!$S$2:$S$750,198))=0,"",INDEX(Data!$H$2:$H$750,SMALL(Data!$S$2:$S$750,198))),"")</f>
        <v>6</v>
      </c>
      <c r="J304" s="58">
        <f t="array" ref="J304">IFERROR(INDEX(Data!$I$2:$I$750,SMALL(Data!$S$2:$S$750,198)),"")</f>
        <v>46383</v>
      </c>
      <c r="K304" s="56" t="str">
        <f t="array" ref="K304">IFERROR(INDEX(Data!$J$2:$J$750,SMALL(Data!$S$2:$S$750,198)),"")</f>
        <v>Not Paid</v>
      </c>
      <c r="L304" s="56" t="str">
        <f t="array" ref="L304">IFERROR(INDEX(Data!$K$2:$K$750,SMALL(Data!$S$2:$S$750,198)),"")</f>
        <v>Pending</v>
      </c>
      <c r="M304" s="48" t="s">
        <v>628</v>
      </c>
      <c r="N304" s="48">
        <f>SUMIFS(Data!D2:D750,Data!C2:C750,M304,Data!N2:N750,1)</f>
        <v>4</v>
      </c>
    </row>
    <row r="305" ht="15.75" customHeight="1">
      <c r="B305" s="53" t="str">
        <f t="array" ref="B305">IFERROR(INDEX(Data!$A$2:$A$750,SMALL(Data!$S$2:$S$750,199)),"")</f>
        <v>IDB</v>
      </c>
      <c r="C305" s="53" t="str">
        <f t="array" ref="C305">IFERROR(IF(INDEX(Data!$B$2:$B$750,SMALL(Data!$S$2:$S$750,199))=0,"",INDEX(Data!$B$2:$B$750,SMALL(Data!$S$2:$S$750,199))),"")</f>
        <v/>
      </c>
      <c r="D305" s="53" t="str">
        <f t="array" ref="D305">IFERROR(INDEX(Data!$C$2:$C$750,SMALL(Data!$S$2:$S$750,199)),"")</f>
        <v>AT907</v>
      </c>
      <c r="E305" s="53">
        <f t="array" ref="E305">IFERROR(IF(INDEX(Data!$D$2:$D$750,SMALL(Data!$S$2:$S$750,199))=0,"",INDEX(Data!$D$2:$D$750,SMALL(Data!$S$2:$S$750,199))),"")</f>
        <v>3</v>
      </c>
      <c r="F305" s="54">
        <f t="array" ref="F305">IFERROR(IF(INDEX(Data!$E$2:$E$750,SMALL(Data!$S$2:$S$750,199))=0,"",INDEX(Data!$E$2:$E$750,SMALL(Data!$S$2:$S$750,199))),"")</f>
        <v>574</v>
      </c>
      <c r="G305" s="54">
        <f t="array" ref="G305">IFERROR(INDEX(Data!$F$2:$F$750,SMALL(Data!$S$2:$S$750,199)),"")</f>
        <v>1722</v>
      </c>
      <c r="H305" s="55">
        <f t="array" ref="H305">IFERROR(IF(INDEX(Data!$G$2:$G$750,SMALL(Data!$S$2:$S$750,199))=0,"",INDEX(Data!$G$2:$G$750,SMALL(Data!$S$2:$S$750,199))),"")</f>
        <v>46342</v>
      </c>
      <c r="I305" s="53">
        <f t="array" ref="I305">IFERROR(IF(INDEX(Data!$H$2:$H$750,SMALL(Data!$S$2:$S$750,199))=0,"",INDEX(Data!$H$2:$H$750,SMALL(Data!$S$2:$S$750,199))),"")</f>
        <v>2</v>
      </c>
      <c r="J305" s="55">
        <f t="array" ref="J305">IFERROR(INDEX(Data!$I$2:$I$750,SMALL(Data!$S$2:$S$750,199)),"")</f>
        <v>46356</v>
      </c>
      <c r="K305" s="53" t="str">
        <f t="array" ref="K305">IFERROR(INDEX(Data!$J$2:$J$750,SMALL(Data!$S$2:$S$750,199)),"")</f>
        <v>Not Paid</v>
      </c>
      <c r="L305" s="53" t="str">
        <f t="array" ref="L305">IFERROR(INDEX(Data!$K$2:$K$750,SMALL(Data!$S$2:$S$750,199)),"")</f>
        <v>Pending</v>
      </c>
      <c r="M305" s="48" t="s">
        <v>636</v>
      </c>
      <c r="N305" s="48">
        <f>SUMIFS(Data!D2:D750,Data!C2:C750,M305,Data!N2:N750,1)</f>
        <v>10</v>
      </c>
    </row>
    <row r="306" ht="15.75" customHeight="1">
      <c r="B306" s="56" t="str">
        <f t="array" ref="B306">IFERROR(INDEX(Data!$A$2:$A$750,SMALL(Data!$S$2:$S$750,200)),"")</f>
        <v>IDB</v>
      </c>
      <c r="C306" s="56" t="str">
        <f t="array" ref="C306">IFERROR(IF(INDEX(Data!$B$2:$B$750,SMALL(Data!$S$2:$S$750,200))=0,"",INDEX(Data!$B$2:$B$750,SMALL(Data!$S$2:$S$750,200))),"")</f>
        <v/>
      </c>
      <c r="D306" s="56" t="str">
        <f t="array" ref="D306">IFERROR(INDEX(Data!$C$2:$C$750,SMALL(Data!$S$2:$S$750,200)),"")</f>
        <v>Industrial printer- CL4NX</v>
      </c>
      <c r="E306" s="56">
        <f t="array" ref="E306">IFERROR(IF(INDEX(Data!$D$2:$D$750,SMALL(Data!$S$2:$S$750,200))=0,"",INDEX(Data!$D$2:$D$750,SMALL(Data!$S$2:$S$750,200))),"")</f>
        <v>1</v>
      </c>
      <c r="F306" s="57">
        <f t="array" ref="F306">IFERROR(IF(INDEX(Data!$E$2:$E$750,SMALL(Data!$S$2:$S$750,200))=0,"",INDEX(Data!$E$2:$E$750,SMALL(Data!$S$2:$S$750,200))),"")</f>
        <v>558</v>
      </c>
      <c r="G306" s="57">
        <f t="array" ref="G306">IFERROR(INDEX(Data!$F$2:$F$750,SMALL(Data!$S$2:$S$750,200)),"")</f>
        <v>558</v>
      </c>
      <c r="H306" s="58">
        <f t="array" ref="H306">IFERROR(IF(INDEX(Data!$G$2:$G$750,SMALL(Data!$S$2:$S$750,200))=0,"",INDEX(Data!$G$2:$G$750,SMALL(Data!$S$2:$S$750,200))),"")</f>
        <v>46343</v>
      </c>
      <c r="I306" s="56">
        <f t="array" ref="I306">IFERROR(IF(INDEX(Data!$H$2:$H$750,SMALL(Data!$S$2:$S$750,200))=0,"",INDEX(Data!$H$2:$H$750,SMALL(Data!$S$2:$S$750,200))),"")</f>
        <v>2</v>
      </c>
      <c r="J306" s="58">
        <f t="array" ref="J306">IFERROR(INDEX(Data!$I$2:$I$750,SMALL(Data!$S$2:$S$750,200)),"")</f>
        <v>46357</v>
      </c>
      <c r="K306" s="56" t="str">
        <f t="array" ref="K306">IFERROR(INDEX(Data!$J$2:$J$750,SMALL(Data!$S$2:$S$750,200)),"")</f>
        <v>Not Paid</v>
      </c>
      <c r="L306" s="56" t="str">
        <f t="array" ref="L306">IFERROR(INDEX(Data!$K$2:$K$750,SMALL(Data!$S$2:$S$750,200)),"")</f>
        <v>Pending</v>
      </c>
      <c r="M306" s="48" t="s">
        <v>515</v>
      </c>
      <c r="N306" s="48">
        <f>SUMIFS(Data!D2:D750,Data!C2:C750,M306,Data!N2:N750,1)</f>
        <v>54</v>
      </c>
    </row>
    <row r="307" ht="15.75" customHeight="1">
      <c r="B307" s="53" t="str">
        <f t="array" ref="B307">IFERROR(INDEX(Data!$A$2:$A$750,SMALL(Data!$S$2:$S$750,201)),"")</f>
        <v>IDB</v>
      </c>
      <c r="C307" s="53" t="str">
        <f t="array" ref="C307">IFERROR(IF(INDEX(Data!$B$2:$B$750,SMALL(Data!$S$2:$S$750,201))=0,"",INDEX(Data!$B$2:$B$750,SMALL(Data!$S$2:$S$750,201))),"")</f>
        <v/>
      </c>
      <c r="D307" s="53" t="str">
        <f t="array" ref="D307">IFERROR(INDEX(Data!$C$2:$C$750,SMALL(Data!$S$2:$S$750,201)),"")</f>
        <v>Ribbons</v>
      </c>
      <c r="E307" s="53">
        <f t="array" ref="E307">IFERROR(IF(INDEX(Data!$D$2:$D$750,SMALL(Data!$S$2:$S$750,201))=0,"",INDEX(Data!$D$2:$D$750,SMALL(Data!$S$2:$S$750,201))),"")</f>
        <v>8</v>
      </c>
      <c r="F307" s="54">
        <f t="array" ref="F307">IFERROR(IF(INDEX(Data!$E$2:$E$750,SMALL(Data!$S$2:$S$750,201))=0,"",INDEX(Data!$E$2:$E$750,SMALL(Data!$S$2:$S$750,201))),"")</f>
        <v>2265</v>
      </c>
      <c r="G307" s="54">
        <f t="array" ref="G307">IFERROR(INDEX(Data!$F$2:$F$750,SMALL(Data!$S$2:$S$750,201)),"")</f>
        <v>18120</v>
      </c>
      <c r="H307" s="55">
        <f t="array" ref="H307">IFERROR(IF(INDEX(Data!$G$2:$G$750,SMALL(Data!$S$2:$S$750,201))=0,"",INDEX(Data!$G$2:$G$750,SMALL(Data!$S$2:$S$750,201))),"")</f>
        <v>46144</v>
      </c>
      <c r="I307" s="53">
        <f t="array" ref="I307">IFERROR(IF(INDEX(Data!$H$2:$H$750,SMALL(Data!$S$2:$S$750,201))=0,"",INDEX(Data!$H$2:$H$750,SMALL(Data!$S$2:$S$750,201))),"")</f>
        <v>6</v>
      </c>
      <c r="J307" s="55">
        <f t="array" ref="J307">IFERROR(INDEX(Data!$I$2:$I$750,SMALL(Data!$S$2:$S$750,201)),"")</f>
        <v>46186</v>
      </c>
      <c r="K307" s="53" t="str">
        <f t="array" ref="K307">IFERROR(INDEX(Data!$J$2:$J$750,SMALL(Data!$S$2:$S$750,201)),"")</f>
        <v>Not Paid</v>
      </c>
      <c r="L307" s="53" t="str">
        <f t="array" ref="L307">IFERROR(INDEX(Data!$K$2:$K$750,SMALL(Data!$S$2:$S$750,201)),"")</f>
        <v>Pending</v>
      </c>
      <c r="M307" s="48" t="s">
        <v>643</v>
      </c>
      <c r="N307" s="48">
        <f>SUMIFS(Data!D2:D750,Data!C2:C750,M307,Data!N2:N750,1)</f>
        <v>1</v>
      </c>
    </row>
    <row r="308" ht="15.75" customHeight="1">
      <c r="B308" s="56" t="str">
        <f t="array" ref="B308">IFERROR(INDEX(Data!$A$2:$A$750,SMALL(Data!$S$2:$S$750,202)),"")</f>
        <v>IDB</v>
      </c>
      <c r="C308" s="56" t="str">
        <f t="array" ref="C308">IFERROR(IF(INDEX(Data!$B$2:$B$750,SMALL(Data!$S$2:$S$750,202))=0,"",INDEX(Data!$B$2:$B$750,SMALL(Data!$S$2:$S$750,202))),"")</f>
        <v>Dipole</v>
      </c>
      <c r="D308" s="56" t="str">
        <f t="array" ref="D308">IFERROR(INDEX(Data!$C$2:$C$750,SMALL(Data!$S$2:$S$750,202)),"")</f>
        <v>Web paper tags</v>
      </c>
      <c r="E308" s="56">
        <f t="array" ref="E308">IFERROR(IF(INDEX(Data!$D$2:$D$750,SMALL(Data!$S$2:$S$750,202))=0,"",INDEX(Data!$D$2:$D$750,SMALL(Data!$S$2:$S$750,202))),"")</f>
        <v>20000</v>
      </c>
      <c r="F308" s="57">
        <f t="array" ref="F308">IFERROR(IF(INDEX(Data!$E$2:$E$750,SMALL(Data!$S$2:$S$750,202))=0,"",INDEX(Data!$E$2:$E$750,SMALL(Data!$S$2:$S$750,202))),"")</f>
        <v>45</v>
      </c>
      <c r="G308" s="57">
        <f t="array" ref="G308">IFERROR(INDEX(Data!$F$2:$F$750,SMALL(Data!$S$2:$S$750,202)),"")</f>
        <v>900000</v>
      </c>
      <c r="H308" s="58">
        <f t="array" ref="H308">IFERROR(IF(INDEX(Data!$G$2:$G$750,SMALL(Data!$S$2:$S$750,202))=0,"",INDEX(Data!$G$2:$G$750,SMALL(Data!$S$2:$S$750,202))),"")</f>
        <v>46145</v>
      </c>
      <c r="I308" s="56">
        <f t="array" ref="I308">IFERROR(IF(INDEX(Data!$H$2:$H$750,SMALL(Data!$S$2:$S$750,202))=0,"",INDEX(Data!$H$2:$H$750,SMALL(Data!$S$2:$S$750,202))),"")</f>
        <v>4</v>
      </c>
      <c r="J308" s="58">
        <f t="array" ref="J308">IFERROR(INDEX(Data!$I$2:$I$750,SMALL(Data!$S$2:$S$750,202)),"")</f>
        <v>46173</v>
      </c>
      <c r="K308" s="56" t="str">
        <f t="array" ref="K308">IFERROR(INDEX(Data!$J$2:$J$750,SMALL(Data!$S$2:$S$750,202)),"")</f>
        <v>Not Paid</v>
      </c>
      <c r="L308" s="56" t="str">
        <f t="array" ref="L308">IFERROR(INDEX(Data!$K$2:$K$750,SMALL(Data!$S$2:$S$750,202)),"")</f>
        <v>Pending</v>
      </c>
      <c r="M308" s="48" t="s">
        <v>663</v>
      </c>
      <c r="N308" s="48">
        <f>SUMIFS(Data!D2:D750,Data!C2:C750,M308,Data!N2:N750,1)</f>
        <v>1000</v>
      </c>
    </row>
    <row r="309" ht="15.75" customHeight="1">
      <c r="B309" s="53" t="str">
        <f t="array" ref="B309">IFERROR(INDEX(Data!$A$2:$A$750,SMALL(Data!$S$2:$S$750,203)),"")</f>
        <v>IDB</v>
      </c>
      <c r="C309" s="53" t="str">
        <f t="array" ref="C309">IFERROR(IF(INDEX(Data!$B$2:$B$750,SMALL(Data!$S$2:$S$750,203))=0,"",INDEX(Data!$B$2:$B$750,SMALL(Data!$S$2:$S$750,203))),"")</f>
        <v>RICH RFID</v>
      </c>
      <c r="D309" s="53" t="str">
        <f t="array" ref="D309">IFERROR(INDEX(Data!$C$2:$C$750,SMALL(Data!$S$2:$S$750,203)),"")</f>
        <v>RCO7012 tags- Blank</v>
      </c>
      <c r="E309" s="53">
        <f t="array" ref="E309">IFERROR(IF(INDEX(Data!$D$2:$D$750,SMALL(Data!$S$2:$S$750,203))=0,"",INDEX(Data!$D$2:$D$750,SMALL(Data!$S$2:$S$750,203))),"")</f>
        <v>15000</v>
      </c>
      <c r="F309" s="54">
        <f t="array" ref="F309">IFERROR(IF(INDEX(Data!$E$2:$E$750,SMALL(Data!$S$2:$S$750,203))=0,"",INDEX(Data!$E$2:$E$750,SMALL(Data!$S$2:$S$750,203))),"")</f>
        <v>5554</v>
      </c>
      <c r="G309" s="54">
        <f t="array" ref="G309">IFERROR(INDEX(Data!$F$2:$F$750,SMALL(Data!$S$2:$S$750,203)),"")</f>
        <v>83310000</v>
      </c>
      <c r="H309" s="55">
        <f t="array" ref="H309">IFERROR(IF(INDEX(Data!$G$2:$G$750,SMALL(Data!$S$2:$S$750,203))=0,"",INDEX(Data!$G$2:$G$750,SMALL(Data!$S$2:$S$750,203))),"")</f>
        <v>46146</v>
      </c>
      <c r="I309" s="53">
        <f t="array" ref="I309">IFERROR(IF(INDEX(Data!$H$2:$H$750,SMALL(Data!$S$2:$S$750,203))=0,"",INDEX(Data!$H$2:$H$750,SMALL(Data!$S$2:$S$750,203))),"")</f>
        <v>4</v>
      </c>
      <c r="J309" s="55">
        <f t="array" ref="J309">IFERROR(INDEX(Data!$I$2:$I$750,SMALL(Data!$S$2:$S$750,203)),"")</f>
        <v>46174</v>
      </c>
      <c r="K309" s="53" t="str">
        <f t="array" ref="K309">IFERROR(INDEX(Data!$J$2:$J$750,SMALL(Data!$S$2:$S$750,203)),"")</f>
        <v>Not Paid</v>
      </c>
      <c r="L309" s="53" t="str">
        <f t="array" ref="L309">IFERROR(INDEX(Data!$K$2:$K$750,SMALL(Data!$S$2:$S$750,203)),"")</f>
        <v>Pending</v>
      </c>
      <c r="M309" s="48" t="s">
        <v>132</v>
      </c>
      <c r="N309" s="48">
        <f>SUMIFS(Data!D2:D750,Data!C2:C750,M309,Data!N2:N750,1)</f>
        <v>2000</v>
      </c>
    </row>
    <row r="310" ht="15.75" customHeight="1">
      <c r="B310" s="56" t="str">
        <f t="array" ref="B310">IFERROR(INDEX(Data!$A$2:$A$750,SMALL(Data!$S$2:$S$750,204)),"")</f>
        <v>IDB</v>
      </c>
      <c r="C310" s="56" t="str">
        <f t="array" ref="C310">IFERROR(IF(INDEX(Data!$B$2:$B$750,SMALL(Data!$S$2:$S$750,204))=0,"",INDEX(Data!$B$2:$B$750,SMALL(Data!$S$2:$S$750,204))),"")</f>
        <v/>
      </c>
      <c r="D310" s="56" t="str">
        <f t="array" ref="D310">IFERROR(INDEX(Data!$C$2:$C$750,SMALL(Data!$S$2:$S$750,204)),"")</f>
        <v>Silver labels (1500 label each)</v>
      </c>
      <c r="E310" s="56">
        <f t="array" ref="E310">IFERROR(IF(INDEX(Data!$D$2:$D$750,SMALL(Data!$S$2:$S$750,204))=0,"",INDEX(Data!$D$2:$D$750,SMALL(Data!$S$2:$S$750,204))),"")</f>
        <v>60</v>
      </c>
      <c r="F310" s="57">
        <f t="array" ref="F310">IFERROR(IF(INDEX(Data!$E$2:$E$750,SMALL(Data!$S$2:$S$750,204))=0,"",INDEX(Data!$E$2:$E$750,SMALL(Data!$S$2:$S$750,204))),"")</f>
        <v>41</v>
      </c>
      <c r="G310" s="57">
        <f t="array" ref="G310">IFERROR(INDEX(Data!$F$2:$F$750,SMALL(Data!$S$2:$S$750,204)),"")</f>
        <v>2460</v>
      </c>
      <c r="H310" s="58">
        <f t="array" ref="H310">IFERROR(IF(INDEX(Data!$G$2:$G$750,SMALL(Data!$S$2:$S$750,204))=0,"",INDEX(Data!$G$2:$G$750,SMALL(Data!$S$2:$S$750,204))),"")</f>
        <v>46147</v>
      </c>
      <c r="I310" s="56">
        <f t="array" ref="I310">IFERROR(IF(INDEX(Data!$H$2:$H$750,SMALL(Data!$S$2:$S$750,204))=0,"",INDEX(Data!$H$2:$H$750,SMALL(Data!$S$2:$S$750,204))),"")</f>
        <v>4</v>
      </c>
      <c r="J310" s="58">
        <f t="array" ref="J310">IFERROR(INDEX(Data!$I$2:$I$750,SMALL(Data!$S$2:$S$750,204)),"")</f>
        <v>46175</v>
      </c>
      <c r="K310" s="56" t="str">
        <f t="array" ref="K310">IFERROR(INDEX(Data!$J$2:$J$750,SMALL(Data!$S$2:$S$750,204)),"")</f>
        <v>Not Paid</v>
      </c>
      <c r="L310" s="56" t="str">
        <f t="array" ref="L310">IFERROR(INDEX(Data!$K$2:$K$750,SMALL(Data!$S$2:$S$750,204)),"")</f>
        <v>Pending</v>
      </c>
      <c r="M310" s="48" t="s">
        <v>511</v>
      </c>
      <c r="N310" s="48">
        <f>SUMIFS(Data!D2:D750,Data!C2:C750,M310,Data!N2:N750,1)</f>
        <v>3</v>
      </c>
    </row>
    <row r="311" ht="15.75" customHeight="1">
      <c r="B311" s="53" t="str">
        <f t="array" ref="B311">IFERROR(INDEX(Data!$A$2:$A$750,SMALL(Data!$S$2:$S$750,205)),"")</f>
        <v>Hayat Centric</v>
      </c>
      <c r="C311" s="53" t="str">
        <f t="array" ref="C311">IFERROR(IF(INDEX(Data!$B$2:$B$750,SMALL(Data!$S$2:$S$750,205))=0,"",INDEX(Data!$B$2:$B$750,SMALL(Data!$S$2:$S$750,205))),"")</f>
        <v>RICH RFID</v>
      </c>
      <c r="D311" s="53" t="str">
        <f t="array" ref="D311">IFERROR(INDEX(Data!$C$2:$C$750,SMALL(Data!$S$2:$S$750,205)),"")</f>
        <v>UHF Tags for Metal Assets (RCO7012)</v>
      </c>
      <c r="E311" s="53">
        <f t="array" ref="E311">IFERROR(IF(INDEX(Data!$D$2:$D$750,SMALL(Data!$S$2:$S$750,205))=0,"",INDEX(Data!$D$2:$D$750,SMALL(Data!$S$2:$S$750,205))),"")</f>
        <v>5000</v>
      </c>
      <c r="F311" s="54">
        <f t="array" ref="F311">IFERROR(IF(INDEX(Data!$E$2:$E$750,SMALL(Data!$S$2:$S$750,205))=0,"",INDEX(Data!$E$2:$E$750,SMALL(Data!$S$2:$S$750,205))),"")</f>
        <v>231</v>
      </c>
      <c r="G311" s="54">
        <f t="array" ref="G311">IFERROR(INDEX(Data!$F$2:$F$750,SMALL(Data!$S$2:$S$750,205)),"")</f>
        <v>1155000</v>
      </c>
      <c r="H311" s="55">
        <f t="array" ref="H311">IFERROR(IF(INDEX(Data!$G$2:$G$750,SMALL(Data!$S$2:$S$750,205))=0,"",INDEX(Data!$G$2:$G$750,SMALL(Data!$S$2:$S$750,205))),"")</f>
        <v>46148</v>
      </c>
      <c r="I311" s="53">
        <f t="array" ref="I311">IFERROR(IF(INDEX(Data!$H$2:$H$750,SMALL(Data!$S$2:$S$750,205))=0,"",INDEX(Data!$H$2:$H$750,SMALL(Data!$S$2:$S$750,205))),"")</f>
        <v>4</v>
      </c>
      <c r="J311" s="55">
        <f t="array" ref="J311">IFERROR(INDEX(Data!$I$2:$I$750,SMALL(Data!$S$2:$S$750,205)),"")</f>
        <v>46176</v>
      </c>
      <c r="K311" s="53" t="str">
        <f t="array" ref="K311">IFERROR(INDEX(Data!$J$2:$J$750,SMALL(Data!$S$2:$S$750,205)),"")</f>
        <v>Not Paid</v>
      </c>
      <c r="L311" s="53" t="str">
        <f t="array" ref="L311">IFERROR(INDEX(Data!$K$2:$K$750,SMALL(Data!$S$2:$S$750,205)),"")</f>
        <v>Pending</v>
      </c>
      <c r="M311" s="48" t="s">
        <v>200</v>
      </c>
      <c r="N311" s="48">
        <f>SUMIFS(Data!D2:D750,Data!C2:C750,M311,Data!N2:N750,1)</f>
        <v>12</v>
      </c>
    </row>
    <row r="312" ht="15.75" customHeight="1">
      <c r="B312" s="56" t="str">
        <f t="array" ref="B312">IFERROR(INDEX(Data!$A$2:$A$750,SMALL(Data!$S$2:$S$750,206)),"")</f>
        <v>Hayat Centric</v>
      </c>
      <c r="C312" s="56" t="str">
        <f t="array" ref="C312">IFERROR(IF(INDEX(Data!$B$2:$B$750,SMALL(Data!$S$2:$S$750,206))=0,"",INDEX(Data!$B$2:$B$750,SMALL(Data!$S$2:$S$750,206))),"")</f>
        <v/>
      </c>
      <c r="D312" s="56" t="str">
        <f t="array" ref="D312">IFERROR(INDEX(Data!$C$2:$C$750,SMALL(Data!$S$2:$S$750,206)),"")</f>
        <v>UHF RFID Paper Tags (Dogbone)</v>
      </c>
      <c r="E312" s="56">
        <f t="array" ref="E312">IFERROR(IF(INDEX(Data!$D$2:$D$750,SMALL(Data!$S$2:$S$750,206))=0,"",INDEX(Data!$D$2:$D$750,SMALL(Data!$S$2:$S$750,206))),"")</f>
        <v>15000</v>
      </c>
      <c r="F312" s="57">
        <f t="array" ref="F312">IFERROR(IF(INDEX(Data!$E$2:$E$750,SMALL(Data!$S$2:$S$750,206))=0,"",INDEX(Data!$E$2:$E$750,SMALL(Data!$S$2:$S$750,206))),"")</f>
        <v>25</v>
      </c>
      <c r="G312" s="57">
        <f t="array" ref="G312">IFERROR(INDEX(Data!$F$2:$F$750,SMALL(Data!$S$2:$S$750,206)),"")</f>
        <v>375000</v>
      </c>
      <c r="H312" s="58">
        <f t="array" ref="H312">IFERROR(IF(INDEX(Data!$G$2:$G$750,SMALL(Data!$S$2:$S$750,206))=0,"",INDEX(Data!$G$2:$G$750,SMALL(Data!$S$2:$S$750,206))),"")</f>
        <v>46149</v>
      </c>
      <c r="I312" s="56">
        <f t="array" ref="I312">IFERROR(IF(INDEX(Data!$H$2:$H$750,SMALL(Data!$S$2:$S$750,206))=0,"",INDEX(Data!$H$2:$H$750,SMALL(Data!$S$2:$S$750,206))),"")</f>
        <v>4</v>
      </c>
      <c r="J312" s="58">
        <f t="array" ref="J312">IFERROR(INDEX(Data!$I$2:$I$750,SMALL(Data!$S$2:$S$750,206)),"")</f>
        <v>46177</v>
      </c>
      <c r="K312" s="56" t="str">
        <f t="array" ref="K312">IFERROR(INDEX(Data!$J$2:$J$750,SMALL(Data!$S$2:$S$750,206)),"")</f>
        <v>Not Paid</v>
      </c>
      <c r="L312" s="56" t="str">
        <f t="array" ref="L312">IFERROR(INDEX(Data!$K$2:$K$750,SMALL(Data!$S$2:$S$750,206)),"")</f>
        <v>Pending</v>
      </c>
      <c r="M312" s="48" t="s">
        <v>40</v>
      </c>
      <c r="N312" s="48">
        <f>SUMIFS(Data!D2:D750,Data!C2:C750,M312,Data!N2:N750,1)</f>
        <v>1</v>
      </c>
    </row>
    <row r="313" ht="15.75" customHeight="1">
      <c r="B313" s="53" t="str">
        <f t="array" ref="B313">IFERROR(INDEX(Data!$A$2:$A$750,SMALL(Data!$S$2:$S$750,207)),"")</f>
        <v>Hayat Centric</v>
      </c>
      <c r="C313" s="53" t="str">
        <f t="array" ref="C313">IFERROR(IF(INDEX(Data!$B$2:$B$750,SMALL(Data!$S$2:$S$750,207))=0,"",INDEX(Data!$B$2:$B$750,SMALL(Data!$S$2:$S$750,207))),"")</f>
        <v>The tag factory</v>
      </c>
      <c r="D313" s="53" t="str">
        <f t="array" ref="D313">IFERROR(INDEX(Data!$C$2:$C$750,SMALL(Data!$S$2:$S$750,207)),"")</f>
        <v>M-Crown RFID Hard Tag</v>
      </c>
      <c r="E313" s="53">
        <f t="array" ref="E313">IFERROR(IF(INDEX(Data!$D$2:$D$750,SMALL(Data!$S$2:$S$750,207))=0,"",INDEX(Data!$D$2:$D$750,SMALL(Data!$S$2:$S$750,207))),"")</f>
        <v>1000</v>
      </c>
      <c r="F313" s="54">
        <f t="array" ref="F313">IFERROR(IF(INDEX(Data!$E$2:$E$750,SMALL(Data!$S$2:$S$750,207))=0,"",INDEX(Data!$E$2:$E$750,SMALL(Data!$S$2:$S$750,207))),"")</f>
        <v>245</v>
      </c>
      <c r="G313" s="54">
        <f t="array" ref="G313">IFERROR(INDEX(Data!$F$2:$F$750,SMALL(Data!$S$2:$S$750,207)),"")</f>
        <v>245000</v>
      </c>
      <c r="H313" s="55">
        <f t="array" ref="H313">IFERROR(IF(INDEX(Data!$G$2:$G$750,SMALL(Data!$S$2:$S$750,207))=0,"",INDEX(Data!$G$2:$G$750,SMALL(Data!$S$2:$S$750,207))),"")</f>
        <v>46150</v>
      </c>
      <c r="I313" s="53">
        <f t="array" ref="I313">IFERROR(IF(INDEX(Data!$H$2:$H$750,SMALL(Data!$S$2:$S$750,207))=0,"",INDEX(Data!$H$2:$H$750,SMALL(Data!$S$2:$S$750,207))),"")</f>
        <v>4</v>
      </c>
      <c r="J313" s="55">
        <f t="array" ref="J313">IFERROR(INDEX(Data!$I$2:$I$750,SMALL(Data!$S$2:$S$750,207)),"")</f>
        <v>46178</v>
      </c>
      <c r="K313" s="53" t="str">
        <f t="array" ref="K313">IFERROR(INDEX(Data!$J$2:$J$750,SMALL(Data!$S$2:$S$750,207)),"")</f>
        <v>Not Paid</v>
      </c>
      <c r="L313" s="53" t="str">
        <f t="array" ref="L313">IFERROR(INDEX(Data!$K$2:$K$750,SMALL(Data!$S$2:$S$750,207)),"")</f>
        <v>Pending</v>
      </c>
      <c r="M313" s="48" t="s">
        <v>169</v>
      </c>
      <c r="N313" s="48">
        <f>SUMIFS(Data!D2:D750,Data!C2:C750,M313,Data!N2:N750,1)</f>
        <v>1</v>
      </c>
    </row>
    <row r="314" ht="15.75" customHeight="1">
      <c r="B314" s="56" t="str">
        <f t="array" ref="B314">IFERROR(INDEX(Data!$A$2:$A$750,SMALL(Data!$S$2:$S$750,208)),"")</f>
        <v>Hayat Centric</v>
      </c>
      <c r="C314" s="56" t="str">
        <f t="array" ref="C314">IFERROR(IF(INDEX(Data!$B$2:$B$750,SMALL(Data!$S$2:$S$750,208))=0,"",INDEX(Data!$B$2:$B$750,SMALL(Data!$S$2:$S$750,208))),"")</f>
        <v/>
      </c>
      <c r="D314" s="56" t="str">
        <f t="array" ref="D314">IFERROR(INDEX(Data!$C$2:$C$750,SMALL(Data!$S$2:$S$750,208)),"")</f>
        <v>RFID UHF Handheld (AT907)</v>
      </c>
      <c r="E314" s="56">
        <f t="array" ref="E314">IFERROR(IF(INDEX(Data!$D$2:$D$750,SMALL(Data!$S$2:$S$750,208))=0,"",INDEX(Data!$D$2:$D$750,SMALL(Data!$S$2:$S$750,208))),"")</f>
        <v>1</v>
      </c>
      <c r="F314" s="57">
        <f t="array" ref="F314">IFERROR(IF(INDEX(Data!$E$2:$E$750,SMALL(Data!$S$2:$S$750,208))=0,"",INDEX(Data!$E$2:$E$750,SMALL(Data!$S$2:$S$750,208))),"")</f>
        <v>2555</v>
      </c>
      <c r="G314" s="57">
        <f t="array" ref="G314">IFERROR(INDEX(Data!$F$2:$F$750,SMALL(Data!$S$2:$S$750,208)),"")</f>
        <v>2555</v>
      </c>
      <c r="H314" s="58">
        <f t="array" ref="H314">IFERROR(IF(INDEX(Data!$G$2:$G$750,SMALL(Data!$S$2:$S$750,208))=0,"",INDEX(Data!$G$2:$G$750,SMALL(Data!$S$2:$S$750,208))),"")</f>
        <v>46151</v>
      </c>
      <c r="I314" s="56">
        <f t="array" ref="I314">IFERROR(IF(INDEX(Data!$H$2:$H$750,SMALL(Data!$S$2:$S$750,208))=0,"",INDEX(Data!$H$2:$H$750,SMALL(Data!$S$2:$S$750,208))),"")</f>
        <v>4</v>
      </c>
      <c r="J314" s="58">
        <f t="array" ref="J314">IFERROR(INDEX(Data!$I$2:$I$750,SMALL(Data!$S$2:$S$750,208)),"")</f>
        <v>46179</v>
      </c>
      <c r="K314" s="56" t="str">
        <f t="array" ref="K314">IFERROR(INDEX(Data!$J$2:$J$750,SMALL(Data!$S$2:$S$750,208)),"")</f>
        <v>Not Paid</v>
      </c>
      <c r="L314" s="56" t="str">
        <f t="array" ref="L314">IFERROR(INDEX(Data!$K$2:$K$750,SMALL(Data!$S$2:$S$750,208)),"")</f>
        <v>Pending</v>
      </c>
      <c r="M314" s="48" t="s">
        <v>667</v>
      </c>
      <c r="N314" s="48">
        <f>SUMIFS(Data!D2:D750,Data!C2:C750,M314,Data!N2:N750,1)</f>
        <v>1</v>
      </c>
    </row>
    <row r="315" ht="15.75" customHeight="1">
      <c r="B315" s="53" t="str">
        <f t="array" ref="B315">IFERROR(INDEX(Data!$A$2:$A$750,SMALL(Data!$S$2:$S$750,209)),"")</f>
        <v>Roya</v>
      </c>
      <c r="C315" s="53" t="str">
        <f t="array" ref="C315">IFERROR(IF(INDEX(Data!$B$2:$B$750,SMALL(Data!$S$2:$S$750,209))=0,"",INDEX(Data!$B$2:$B$750,SMALL(Data!$S$2:$S$750,209))),"")</f>
        <v/>
      </c>
      <c r="D315" s="53" t="str">
        <f t="array" ref="D315">IFERROR(INDEX(Data!$C$2:$C$750,SMALL(Data!$S$2:$S$750,209)),"")</f>
        <v>Adapter 24V</v>
      </c>
      <c r="E315" s="53">
        <f t="array" ref="E315">IFERROR(IF(INDEX(Data!$D$2:$D$750,SMALL(Data!$S$2:$S$750,209))=0,"",INDEX(Data!$D$2:$D$750,SMALL(Data!$S$2:$S$750,209))),"")</f>
        <v>2</v>
      </c>
      <c r="F315" s="54">
        <f t="array" ref="F315">IFERROR(IF(INDEX(Data!$E$2:$E$750,SMALL(Data!$S$2:$S$750,209))=0,"",INDEX(Data!$E$2:$E$750,SMALL(Data!$S$2:$S$750,209))),"")</f>
        <v>255</v>
      </c>
      <c r="G315" s="54">
        <f t="array" ref="G315">IFERROR(INDEX(Data!$F$2:$F$750,SMALL(Data!$S$2:$S$750,209)),"")</f>
        <v>510</v>
      </c>
      <c r="H315" s="55">
        <f t="array" ref="H315">IFERROR(IF(INDEX(Data!$G$2:$G$750,SMALL(Data!$S$2:$S$750,209))=0,"",INDEX(Data!$G$2:$G$750,SMALL(Data!$S$2:$S$750,209))),"")</f>
        <v>46152</v>
      </c>
      <c r="I315" s="53">
        <f t="array" ref="I315">IFERROR(IF(INDEX(Data!$H$2:$H$750,SMALL(Data!$S$2:$S$750,209))=0,"",INDEX(Data!$H$2:$H$750,SMALL(Data!$S$2:$S$750,209))),"")</f>
        <v>4</v>
      </c>
      <c r="J315" s="55">
        <f t="array" ref="J315">IFERROR(INDEX(Data!$I$2:$I$750,SMALL(Data!$S$2:$S$750,209)),"")</f>
        <v>46180</v>
      </c>
      <c r="K315" s="53" t="str">
        <f t="array" ref="K315">IFERROR(INDEX(Data!$J$2:$J$750,SMALL(Data!$S$2:$S$750,209)),"")</f>
        <v>Not Paid</v>
      </c>
      <c r="L315" s="53" t="str">
        <f t="array" ref="L315">IFERROR(INDEX(Data!$K$2:$K$750,SMALL(Data!$S$2:$S$750,209)),"")</f>
        <v>Pending</v>
      </c>
      <c r="M315" s="48" t="s">
        <v>634</v>
      </c>
      <c r="N315" s="48">
        <f>SUMIFS(Data!D2:D750,Data!C2:C750,M315,Data!N2:N750,1)</f>
        <v>3</v>
      </c>
    </row>
    <row r="316" ht="15.75" customHeight="1">
      <c r="B316" s="56" t="str">
        <f t="array" ref="B316">IFERROR(INDEX(Data!$A$2:$A$750,SMALL(Data!$S$2:$S$750,210)),"")</f>
        <v>Roya</v>
      </c>
      <c r="C316" s="56" t="str">
        <f t="array" ref="C316">IFERROR(IF(INDEX(Data!$B$2:$B$750,SMALL(Data!$S$2:$S$750,210))=0,"",INDEX(Data!$B$2:$B$750,SMALL(Data!$S$2:$S$750,210))),"")</f>
        <v/>
      </c>
      <c r="D316" s="56" t="str">
        <f t="array" ref="D316">IFERROR(INDEX(Data!$C$2:$C$750,SMALL(Data!$S$2:$S$750,210)),"")</f>
        <v>Adapter 12V</v>
      </c>
      <c r="E316" s="56">
        <f t="array" ref="E316">IFERROR(IF(INDEX(Data!$D$2:$D$750,SMALL(Data!$S$2:$S$750,210))=0,"",INDEX(Data!$D$2:$D$750,SMALL(Data!$S$2:$S$750,210))),"")</f>
        <v>2</v>
      </c>
      <c r="F316" s="57">
        <f t="array" ref="F316">IFERROR(IF(INDEX(Data!$E$2:$E$750,SMALL(Data!$S$2:$S$750,210))=0,"",INDEX(Data!$E$2:$E$750,SMALL(Data!$S$2:$S$750,210))),"")</f>
        <v>45</v>
      </c>
      <c r="G316" s="57">
        <f t="array" ref="G316">IFERROR(INDEX(Data!$F$2:$F$750,SMALL(Data!$S$2:$S$750,210)),"")</f>
        <v>90</v>
      </c>
      <c r="H316" s="58">
        <f t="array" ref="H316">IFERROR(IF(INDEX(Data!$G$2:$G$750,SMALL(Data!$S$2:$S$750,210))=0,"",INDEX(Data!$G$2:$G$750,SMALL(Data!$S$2:$S$750,210))),"")</f>
        <v>46153</v>
      </c>
      <c r="I316" s="56">
        <f t="array" ref="I316">IFERROR(IF(INDEX(Data!$H$2:$H$750,SMALL(Data!$S$2:$S$750,210))=0,"",INDEX(Data!$H$2:$H$750,SMALL(Data!$S$2:$S$750,210))),"")</f>
        <v>4</v>
      </c>
      <c r="J316" s="58">
        <f t="array" ref="J316">IFERROR(INDEX(Data!$I$2:$I$750,SMALL(Data!$S$2:$S$750,210)),"")</f>
        <v>46181</v>
      </c>
      <c r="K316" s="56" t="str">
        <f t="array" ref="K316">IFERROR(INDEX(Data!$J$2:$J$750,SMALL(Data!$S$2:$S$750,210)),"")</f>
        <v>Not Paid</v>
      </c>
      <c r="L316" s="56" t="str">
        <f t="array" ref="L316">IFERROR(INDEX(Data!$K$2:$K$750,SMALL(Data!$S$2:$S$750,210)),"")</f>
        <v>Pending</v>
      </c>
      <c r="M316" s="48" t="s">
        <v>135</v>
      </c>
      <c r="N316" s="48">
        <f>SUMIFS(Data!D2:D750,Data!C2:C750,M316,Data!N2:N750,1)</f>
        <v>2</v>
      </c>
    </row>
    <row r="317" ht="15.75" customHeight="1">
      <c r="B317" s="53" t="str">
        <f t="array" ref="B317">IFERROR(INDEX(Data!$A$2:$A$750,SMALL(Data!$S$2:$S$750,211)),"")</f>
        <v>Roya</v>
      </c>
      <c r="C317" s="53" t="str">
        <f t="array" ref="C317">IFERROR(IF(INDEX(Data!$B$2:$B$750,SMALL(Data!$S$2:$S$750,211))=0,"",INDEX(Data!$B$2:$B$750,SMALL(Data!$S$2:$S$750,211))),"")</f>
        <v/>
      </c>
      <c r="D317" s="53" t="str">
        <f t="array" ref="D317">IFERROR(INDEX(Data!$C$2:$C$750,SMALL(Data!$S$2:$S$750,211)),"")</f>
        <v>KMTRonic</v>
      </c>
      <c r="E317" s="53">
        <f t="array" ref="E317">IFERROR(IF(INDEX(Data!$D$2:$D$750,SMALL(Data!$S$2:$S$750,211))=0,"",INDEX(Data!$D$2:$D$750,SMALL(Data!$S$2:$S$750,211))),"")</f>
        <v>1</v>
      </c>
      <c r="F317" s="54">
        <f t="array" ref="F317">IFERROR(IF(INDEX(Data!$E$2:$E$750,SMALL(Data!$S$2:$S$750,211))=0,"",INDEX(Data!$E$2:$E$750,SMALL(Data!$S$2:$S$750,211))),"")</f>
        <v>36</v>
      </c>
      <c r="G317" s="54">
        <f t="array" ref="G317">IFERROR(INDEX(Data!$F$2:$F$750,SMALL(Data!$S$2:$S$750,211)),"")</f>
        <v>36</v>
      </c>
      <c r="H317" s="55">
        <f t="array" ref="H317">IFERROR(IF(INDEX(Data!$G$2:$G$750,SMALL(Data!$S$2:$S$750,211))=0,"",INDEX(Data!$G$2:$G$750,SMALL(Data!$S$2:$S$750,211))),"")</f>
        <v>46154</v>
      </c>
      <c r="I317" s="53">
        <f t="array" ref="I317">IFERROR(IF(INDEX(Data!$H$2:$H$750,SMALL(Data!$S$2:$S$750,211))=0,"",INDEX(Data!$H$2:$H$750,SMALL(Data!$S$2:$S$750,211))),"")</f>
        <v>4</v>
      </c>
      <c r="J317" s="55">
        <f t="array" ref="J317">IFERROR(INDEX(Data!$I$2:$I$750,SMALL(Data!$S$2:$S$750,211)),"")</f>
        <v>46182</v>
      </c>
      <c r="K317" s="53" t="str">
        <f t="array" ref="K317">IFERROR(INDEX(Data!$J$2:$J$750,SMALL(Data!$S$2:$S$750,211)),"")</f>
        <v>Not Paid</v>
      </c>
      <c r="L317" s="53" t="str">
        <f t="array" ref="L317">IFERROR(INDEX(Data!$K$2:$K$750,SMALL(Data!$S$2:$S$750,211)),"")</f>
        <v>Pending</v>
      </c>
      <c r="M317" s="48" t="s">
        <v>630</v>
      </c>
      <c r="N317" s="48">
        <f>SUMIFS(Data!D2:D750,Data!C2:C750,M317,Data!N2:N750,1)</f>
        <v>1</v>
      </c>
    </row>
    <row r="318" ht="15.75" customHeight="1">
      <c r="B318" s="56" t="str">
        <f t="array" ref="B318">IFERROR(INDEX(Data!$A$2:$A$750,SMALL(Data!$S$2:$S$750,212)),"")</f>
        <v>Roya</v>
      </c>
      <c r="C318" s="56" t="str">
        <f t="array" ref="C318">IFERROR(IF(INDEX(Data!$B$2:$B$750,SMALL(Data!$S$2:$S$750,212))=0,"",INDEX(Data!$B$2:$B$750,SMALL(Data!$S$2:$S$750,212))),"")</f>
        <v/>
      </c>
      <c r="D318" s="56" t="str">
        <f t="array" ref="D318">IFERROR(INDEX(Data!$C$2:$C$750,SMALL(Data!$S$2:$S$750,212)),"")</f>
        <v>Switch 5 port</v>
      </c>
      <c r="E318" s="56">
        <f t="array" ref="E318">IFERROR(IF(INDEX(Data!$D$2:$D$750,SMALL(Data!$S$2:$S$750,212))=0,"",INDEX(Data!$D$2:$D$750,SMALL(Data!$S$2:$S$750,212))),"")</f>
        <v>2</v>
      </c>
      <c r="F318" s="57">
        <f t="array" ref="F318">IFERROR(IF(INDEX(Data!$E$2:$E$750,SMALL(Data!$S$2:$S$750,212))=0,"",INDEX(Data!$E$2:$E$750,SMALL(Data!$S$2:$S$750,212))),"")</f>
        <v>96</v>
      </c>
      <c r="G318" s="57">
        <f t="array" ref="G318">IFERROR(INDEX(Data!$F$2:$F$750,SMALL(Data!$S$2:$S$750,212)),"")</f>
        <v>192</v>
      </c>
      <c r="H318" s="58">
        <f t="array" ref="H318">IFERROR(IF(INDEX(Data!$G$2:$G$750,SMALL(Data!$S$2:$S$750,212))=0,"",INDEX(Data!$G$2:$G$750,SMALL(Data!$S$2:$S$750,212))),"")</f>
        <v>46155</v>
      </c>
      <c r="I318" s="56">
        <f t="array" ref="I318">IFERROR(IF(INDEX(Data!$H$2:$H$750,SMALL(Data!$S$2:$S$750,212))=0,"",INDEX(Data!$H$2:$H$750,SMALL(Data!$S$2:$S$750,212))),"")</f>
        <v>4</v>
      </c>
      <c r="J318" s="58">
        <f t="array" ref="J318">IFERROR(INDEX(Data!$I$2:$I$750,SMALL(Data!$S$2:$S$750,212)),"")</f>
        <v>46183</v>
      </c>
      <c r="K318" s="56" t="str">
        <f t="array" ref="K318">IFERROR(INDEX(Data!$J$2:$J$750,SMALL(Data!$S$2:$S$750,212)),"")</f>
        <v>Not Paid</v>
      </c>
      <c r="L318" s="56" t="str">
        <f t="array" ref="L318">IFERROR(INDEX(Data!$K$2:$K$750,SMALL(Data!$S$2:$S$750,212)),"")</f>
        <v>Pending</v>
      </c>
      <c r="M318" s="48" t="s">
        <v>55</v>
      </c>
      <c r="N318" s="48">
        <f>SUMIFS(Data!D2:D750,Data!C2:C750,M318,Data!N2:N750,1)</f>
        <v>10000</v>
      </c>
    </row>
    <row r="319" ht="15.75" customHeight="1">
      <c r="B319" s="53" t="str">
        <f t="array" ref="B319">IFERROR(INDEX(Data!$A$2:$A$750,SMALL(Data!$S$2:$S$750,213)),"")</f>
        <v>Roya</v>
      </c>
      <c r="C319" s="53" t="str">
        <f t="array" ref="C319">IFERROR(IF(INDEX(Data!$B$2:$B$750,SMALL(Data!$S$2:$S$750,213))=0,"",INDEX(Data!$B$2:$B$750,SMALL(Data!$S$2:$S$750,213))),"")</f>
        <v/>
      </c>
      <c r="D319" s="53" t="str">
        <f t="array" ref="D319">IFERROR(INDEX(Data!$C$2:$C$750,SMALL(Data!$S$2:$S$750,213)),"")</f>
        <v>Protection Cap</v>
      </c>
      <c r="E319" s="53">
        <f t="array" ref="E319">IFERROR(IF(INDEX(Data!$D$2:$D$750,SMALL(Data!$S$2:$S$750,213))=0,"",INDEX(Data!$D$2:$D$750,SMALL(Data!$S$2:$S$750,213))),"")</f>
        <v>2</v>
      </c>
      <c r="F319" s="54">
        <f t="array" ref="F319">IFERROR(IF(INDEX(Data!$E$2:$E$750,SMALL(Data!$S$2:$S$750,213))=0,"",INDEX(Data!$E$2:$E$750,SMALL(Data!$S$2:$S$750,213))),"")</f>
        <v>8</v>
      </c>
      <c r="G319" s="54">
        <f t="array" ref="G319">IFERROR(INDEX(Data!$F$2:$F$750,SMALL(Data!$S$2:$S$750,213)),"")</f>
        <v>16</v>
      </c>
      <c r="H319" s="55">
        <f t="array" ref="H319">IFERROR(IF(INDEX(Data!$G$2:$G$750,SMALL(Data!$S$2:$S$750,213))=0,"",INDEX(Data!$G$2:$G$750,SMALL(Data!$S$2:$S$750,213))),"")</f>
        <v>46156</v>
      </c>
      <c r="I319" s="53">
        <f t="array" ref="I319">IFERROR(IF(INDEX(Data!$H$2:$H$750,SMALL(Data!$S$2:$S$750,213))=0,"",INDEX(Data!$H$2:$H$750,SMALL(Data!$S$2:$S$750,213))),"")</f>
        <v>4</v>
      </c>
      <c r="J319" s="55">
        <f t="array" ref="J319">IFERROR(INDEX(Data!$I$2:$I$750,SMALL(Data!$S$2:$S$750,213)),"")</f>
        <v>46184</v>
      </c>
      <c r="K319" s="53" t="str">
        <f t="array" ref="K319">IFERROR(INDEX(Data!$J$2:$J$750,SMALL(Data!$S$2:$S$750,213)),"")</f>
        <v>Not Paid</v>
      </c>
      <c r="L319" s="53" t="str">
        <f t="array" ref="L319">IFERROR(INDEX(Data!$K$2:$K$750,SMALL(Data!$S$2:$S$750,213)),"")</f>
        <v>Pending</v>
      </c>
      <c r="M319" s="48" t="s">
        <v>619</v>
      </c>
      <c r="N319" s="48">
        <f>SUMIFS(Data!D2:D750,Data!C2:C750,M319,Data!N2:N750,1)</f>
        <v>12000</v>
      </c>
    </row>
    <row r="320" ht="15.75" customHeight="1">
      <c r="B320" s="56" t="str">
        <f t="array" ref="B320">IFERROR(INDEX(Data!$A$2:$A$750,SMALL(Data!$S$2:$S$750,214)),"")</f>
        <v>HAP</v>
      </c>
      <c r="C320" s="56" t="str">
        <f t="array" ref="C320">IFERROR(IF(INDEX(Data!$B$2:$B$750,SMALL(Data!$S$2:$S$750,214))=0,"",INDEX(Data!$B$2:$B$750,SMALL(Data!$S$2:$S$750,214))),"")</f>
        <v/>
      </c>
      <c r="D320" s="56" t="str">
        <f t="array" ref="D320">IFERROR(INDEX(Data!$C$2:$C$750,SMALL(Data!$S$2:$S$750,214)),"")</f>
        <v>Magnetic Toll barrier boom 3 meters</v>
      </c>
      <c r="E320" s="56">
        <f t="array" ref="E320">IFERROR(IF(INDEX(Data!$D$2:$D$750,SMALL(Data!$S$2:$S$750,214))=0,"",INDEX(Data!$D$2:$D$750,SMALL(Data!$S$2:$S$750,214))),"")</f>
        <v>1</v>
      </c>
      <c r="F320" s="57">
        <f t="array" ref="F320">IFERROR(IF(INDEX(Data!$E$2:$E$750,SMALL(Data!$S$2:$S$750,214))=0,"",INDEX(Data!$E$2:$E$750,SMALL(Data!$S$2:$S$750,214))),"")</f>
        <v>5</v>
      </c>
      <c r="G320" s="57">
        <f t="array" ref="G320">IFERROR(INDEX(Data!$F$2:$F$750,SMALL(Data!$S$2:$S$750,214)),"")</f>
        <v>5</v>
      </c>
      <c r="H320" s="58">
        <f t="array" ref="H320">IFERROR(IF(INDEX(Data!$G$2:$G$750,SMALL(Data!$S$2:$S$750,214))=0,"",INDEX(Data!$G$2:$G$750,SMALL(Data!$S$2:$S$750,214))),"")</f>
        <v>46157</v>
      </c>
      <c r="I320" s="56">
        <f t="array" ref="I320">IFERROR(IF(INDEX(Data!$H$2:$H$750,SMALL(Data!$S$2:$S$750,214))=0,"",INDEX(Data!$H$2:$H$750,SMALL(Data!$S$2:$S$750,214))),"")</f>
        <v>20</v>
      </c>
      <c r="J320" s="58">
        <f t="array" ref="J320">IFERROR(INDEX(Data!$I$2:$I$750,SMALL(Data!$S$2:$S$750,214)),"")</f>
        <v>46297</v>
      </c>
      <c r="K320" s="56" t="str">
        <f t="array" ref="K320">IFERROR(INDEX(Data!$J$2:$J$750,SMALL(Data!$S$2:$S$750,214)),"")</f>
        <v>Not Paid</v>
      </c>
      <c r="L320" s="56" t="str">
        <f t="array" ref="L320">IFERROR(INDEX(Data!$K$2:$K$750,SMALL(Data!$S$2:$S$750,214)),"")</f>
        <v>Pending</v>
      </c>
      <c r="M320" s="48" t="s">
        <v>138</v>
      </c>
      <c r="N320" s="48">
        <f>SUMIFS(Data!D2:D750,Data!C2:C750,M320,Data!N2:N750,1)</f>
        <v>501</v>
      </c>
    </row>
    <row r="321" ht="15.75" customHeight="1">
      <c r="B321" s="53" t="str">
        <f t="array" ref="B321">IFERROR(INDEX(Data!$A$2:$A$750,SMALL(Data!$S$2:$S$750,215)),"")</f>
        <v>La vista</v>
      </c>
      <c r="C321" s="53" t="str">
        <f t="array" ref="C321">IFERROR(IF(INDEX(Data!$B$2:$B$750,SMALL(Data!$S$2:$S$750,215))=0,"",INDEX(Data!$B$2:$B$750,SMALL(Data!$S$2:$S$750,215))),"")</f>
        <v/>
      </c>
      <c r="D321" s="53" t="str">
        <f t="array" ref="D321">IFERROR(INDEX(Data!$C$2:$C$750,SMALL(Data!$S$2:$S$750,215)),"")</f>
        <v>QR Scanners</v>
      </c>
      <c r="E321" s="53">
        <f t="array" ref="E321">IFERROR(IF(INDEX(Data!$D$2:$D$750,SMALL(Data!$S$2:$S$750,215))=0,"",INDEX(Data!$D$2:$D$750,SMALL(Data!$S$2:$S$750,215))),"")</f>
        <v>23</v>
      </c>
      <c r="F321" s="54">
        <f t="array" ref="F321">IFERROR(IF(INDEX(Data!$E$2:$E$750,SMALL(Data!$S$2:$S$750,215))=0,"",INDEX(Data!$E$2:$E$750,SMALL(Data!$S$2:$S$750,215))),"")</f>
        <v>4</v>
      </c>
      <c r="G321" s="54">
        <f t="array" ref="G321">IFERROR(INDEX(Data!$F$2:$F$750,SMALL(Data!$S$2:$S$750,215)),"")</f>
        <v>92</v>
      </c>
      <c r="H321" s="55">
        <f t="array" ref="H321">IFERROR(IF(INDEX(Data!$G$2:$G$750,SMALL(Data!$S$2:$S$750,215))=0,"",INDEX(Data!$G$2:$G$750,SMALL(Data!$S$2:$S$750,215))),"")</f>
        <v>46158</v>
      </c>
      <c r="I321" s="53">
        <f t="array" ref="I321">IFERROR(IF(INDEX(Data!$H$2:$H$750,SMALL(Data!$S$2:$S$750,215))=0,"",INDEX(Data!$H$2:$H$750,SMALL(Data!$S$2:$S$750,215))),"")</f>
        <v>21</v>
      </c>
      <c r="J321" s="55">
        <f t="array" ref="J321">IFERROR(INDEX(Data!$I$2:$I$750,SMALL(Data!$S$2:$S$750,215)),"")</f>
        <v>46305</v>
      </c>
      <c r="K321" s="53" t="str">
        <f t="array" ref="K321">IFERROR(INDEX(Data!$J$2:$J$750,SMALL(Data!$S$2:$S$750,215)),"")</f>
        <v>Not Paid</v>
      </c>
      <c r="L321" s="53" t="str">
        <f t="array" ref="L321">IFERROR(INDEX(Data!$K$2:$K$750,SMALL(Data!$S$2:$S$750,215)),"")</f>
        <v>Pending</v>
      </c>
      <c r="M321" s="48" t="s">
        <v>635</v>
      </c>
      <c r="N321" s="48">
        <f>SUMIFS(Data!D2:D750,Data!C2:C750,M321,Data!N2:N750,1)</f>
        <v>1</v>
      </c>
    </row>
    <row r="322" ht="15.75" customHeight="1">
      <c r="B322" s="56" t="str">
        <f t="array" ref="B322">IFERROR(INDEX(Data!$A$2:$A$750,SMALL(Data!$S$2:$S$750,216)),"")</f>
        <v>La vista</v>
      </c>
      <c r="C322" s="56" t="str">
        <f t="array" ref="C322">IFERROR(IF(INDEX(Data!$B$2:$B$750,SMALL(Data!$S$2:$S$750,216))=0,"",INDEX(Data!$B$2:$B$750,SMALL(Data!$S$2:$S$750,216))),"")</f>
        <v/>
      </c>
      <c r="D322" s="56" t="str">
        <f t="array" ref="D322">IFERROR(INDEX(Data!$C$2:$C$750,SMALL(Data!$S$2:$S$750,216)),"")</f>
        <v>QR Stands</v>
      </c>
      <c r="E322" s="56">
        <f t="array" ref="E322">IFERROR(IF(INDEX(Data!$D$2:$D$750,SMALL(Data!$S$2:$S$750,216))=0,"",INDEX(Data!$D$2:$D$750,SMALL(Data!$S$2:$S$750,216))),"")</f>
        <v>23</v>
      </c>
      <c r="F322" s="57">
        <f t="array" ref="F322">IFERROR(IF(INDEX(Data!$E$2:$E$750,SMALL(Data!$S$2:$S$750,216))=0,"",INDEX(Data!$E$2:$E$750,SMALL(Data!$S$2:$S$750,216))),"")</f>
        <v>2</v>
      </c>
      <c r="G322" s="57">
        <f t="array" ref="G322">IFERROR(INDEX(Data!$F$2:$F$750,SMALL(Data!$S$2:$S$750,216)),"")</f>
        <v>46</v>
      </c>
      <c r="H322" s="58">
        <f t="array" ref="H322">IFERROR(IF(INDEX(Data!$G$2:$G$750,SMALL(Data!$S$2:$S$750,216))=0,"",INDEX(Data!$G$2:$G$750,SMALL(Data!$S$2:$S$750,216))),"")</f>
        <v>46159</v>
      </c>
      <c r="I322" s="56">
        <f t="array" ref="I322">IFERROR(IF(INDEX(Data!$H$2:$H$750,SMALL(Data!$S$2:$S$750,216))=0,"",INDEX(Data!$H$2:$H$750,SMALL(Data!$S$2:$S$750,216))),"")</f>
        <v>18</v>
      </c>
      <c r="J322" s="58">
        <f t="array" ref="J322">IFERROR(INDEX(Data!$I$2:$I$750,SMALL(Data!$S$2:$S$750,216)),"")</f>
        <v>46285</v>
      </c>
      <c r="K322" s="56" t="str">
        <f t="array" ref="K322">IFERROR(INDEX(Data!$J$2:$J$750,SMALL(Data!$S$2:$S$750,216)),"")</f>
        <v>Not Paid</v>
      </c>
      <c r="L322" s="56" t="str">
        <f t="array" ref="L322">IFERROR(INDEX(Data!$K$2:$K$750,SMALL(Data!$S$2:$S$750,216)),"")</f>
        <v>Pending</v>
      </c>
      <c r="M322" s="48" t="s">
        <v>525</v>
      </c>
      <c r="N322" s="48">
        <f>SUMIFS(Data!D2:D750,Data!C2:C750,M322,Data!N2:N750,1)</f>
        <v>16</v>
      </c>
    </row>
    <row r="323" ht="15.75" customHeight="1">
      <c r="B323" s="53" t="str">
        <f t="array" ref="B323">IFERROR(INDEX(Data!$A$2:$A$750,SMALL(Data!$S$2:$S$750,217)),"")</f>
        <v>Mediterranean</v>
      </c>
      <c r="C323" s="53" t="str">
        <f t="array" ref="C323">IFERROR(IF(INDEX(Data!$B$2:$B$750,SMALL(Data!$S$2:$S$750,217))=0,"",INDEX(Data!$B$2:$B$750,SMALL(Data!$S$2:$S$750,217))),"")</f>
        <v/>
      </c>
      <c r="D323" s="53" t="str">
        <f t="array" ref="D323">IFERROR(INDEX(Data!$C$2:$C$750,SMALL(Data!$S$2:$S$750,217)),"")</f>
        <v>Paper Label roll, 15X20cm, 500 label each roll</v>
      </c>
      <c r="E323" s="53">
        <f t="array" ref="E323">IFERROR(IF(INDEX(Data!$D$2:$D$750,SMALL(Data!$S$2:$S$750,217))=0,"",INDEX(Data!$D$2:$D$750,SMALL(Data!$S$2:$S$750,217))),"")</f>
        <v>4</v>
      </c>
      <c r="F323" s="54">
        <f t="array" ref="F323">IFERROR(IF(INDEX(Data!$E$2:$E$750,SMALL(Data!$S$2:$S$750,217))=0,"",INDEX(Data!$E$2:$E$750,SMALL(Data!$S$2:$S$750,217))),"")</f>
        <v>36</v>
      </c>
      <c r="G323" s="54">
        <f t="array" ref="G323">IFERROR(INDEX(Data!$F$2:$F$750,SMALL(Data!$S$2:$S$750,217)),"")</f>
        <v>144</v>
      </c>
      <c r="H323" s="55">
        <f t="array" ref="H323">IFERROR(IF(INDEX(Data!$G$2:$G$750,SMALL(Data!$S$2:$S$750,217))=0,"",INDEX(Data!$G$2:$G$750,SMALL(Data!$S$2:$S$750,217))),"")</f>
        <v>46160</v>
      </c>
      <c r="I323" s="53">
        <f t="array" ref="I323">IFERROR(IF(INDEX(Data!$H$2:$H$750,SMALL(Data!$S$2:$S$750,217))=0,"",INDEX(Data!$H$2:$H$750,SMALL(Data!$S$2:$S$750,217))),"")</f>
        <v>19</v>
      </c>
      <c r="J323" s="55">
        <f t="array" ref="J323">IFERROR(INDEX(Data!$I$2:$I$750,SMALL(Data!$S$2:$S$750,217)),"")</f>
        <v>46293</v>
      </c>
      <c r="K323" s="53" t="str">
        <f t="array" ref="K323">IFERROR(INDEX(Data!$J$2:$J$750,SMALL(Data!$S$2:$S$750,217)),"")</f>
        <v>Not Paid</v>
      </c>
      <c r="L323" s="53" t="str">
        <f t="array" ref="L323">IFERROR(INDEX(Data!$K$2:$K$750,SMALL(Data!$S$2:$S$750,217)),"")</f>
        <v>Pending</v>
      </c>
      <c r="M323" s="48" t="s">
        <v>320</v>
      </c>
      <c r="N323" s="48">
        <f>SUMIFS(Data!D2:D750,Data!C2:C750,M323,Data!N2:N750,1)</f>
        <v>2000</v>
      </c>
    </row>
    <row r="324" ht="15.75" customHeight="1">
      <c r="B324" s="56" t="str">
        <f t="array" ref="B324">IFERROR(INDEX(Data!$A$2:$A$750,SMALL(Data!$S$2:$S$750,218)),"")</f>
        <v>EL Sewedy electric</v>
      </c>
      <c r="C324" s="56" t="str">
        <f t="array" ref="C324">IFERROR(IF(INDEX(Data!$B$2:$B$750,SMALL(Data!$S$2:$S$750,218))=0,"",INDEX(Data!$B$2:$B$750,SMALL(Data!$S$2:$S$750,218))),"")</f>
        <v>ATID</v>
      </c>
      <c r="D324" s="56" t="str">
        <f t="array" ref="D324">IFERROR(INDEX(Data!$C$2:$C$750,SMALL(Data!$S$2:$S$750,218)),"")</f>
        <v>RFID UHF Handheld (AT907)</v>
      </c>
      <c r="E324" s="56">
        <f t="array" ref="E324">IFERROR(IF(INDEX(Data!$D$2:$D$750,SMALL(Data!$S$2:$S$750,218))=0,"",INDEX(Data!$D$2:$D$750,SMALL(Data!$S$2:$S$750,218))),"")</f>
        <v>2</v>
      </c>
      <c r="F324" s="57">
        <f t="array" ref="F324">IFERROR(IF(INDEX(Data!$E$2:$E$750,SMALL(Data!$S$2:$S$750,218))=0,"",INDEX(Data!$E$2:$E$750,SMALL(Data!$S$2:$S$750,218))),"")</f>
        <v>2</v>
      </c>
      <c r="G324" s="57">
        <f t="array" ref="G324">IFERROR(INDEX(Data!$F$2:$F$750,SMALL(Data!$S$2:$S$750,218)),"")</f>
        <v>4</v>
      </c>
      <c r="H324" s="58">
        <f t="array" ref="H324">IFERROR(IF(INDEX(Data!$G$2:$G$750,SMALL(Data!$S$2:$S$750,218))=0,"",INDEX(Data!$G$2:$G$750,SMALL(Data!$S$2:$S$750,218))),"")</f>
        <v>46161</v>
      </c>
      <c r="I324" s="56">
        <f t="array" ref="I324">IFERROR(IF(INDEX(Data!$H$2:$H$750,SMALL(Data!$S$2:$S$750,218))=0,"",INDEX(Data!$H$2:$H$750,SMALL(Data!$S$2:$S$750,218))),"")</f>
        <v>20</v>
      </c>
      <c r="J324" s="58">
        <f t="array" ref="J324">IFERROR(INDEX(Data!$I$2:$I$750,SMALL(Data!$S$2:$S$750,218)),"")</f>
        <v>46301</v>
      </c>
      <c r="K324" s="56" t="str">
        <f t="array" ref="K324">IFERROR(INDEX(Data!$J$2:$J$750,SMALL(Data!$S$2:$S$750,218)),"")</f>
        <v>Not Paid</v>
      </c>
      <c r="L324" s="56" t="str">
        <f t="array" ref="L324">IFERROR(INDEX(Data!$K$2:$K$750,SMALL(Data!$S$2:$S$750,218)),"")</f>
        <v>Pending</v>
      </c>
      <c r="M324" s="48" t="s">
        <v>659</v>
      </c>
      <c r="N324" s="48">
        <f>SUMIFS(Data!D2:D750,Data!C2:C750,M324,Data!N2:N750,1)</f>
        <v>1</v>
      </c>
    </row>
    <row r="325" ht="15.75" customHeight="1">
      <c r="B325" s="53" t="str">
        <f t="array" ref="B325">IFERROR(INDEX(Data!$A$2:$A$750,SMALL(Data!$S$2:$S$750,219)),"")</f>
        <v>TMG</v>
      </c>
      <c r="C325" s="53" t="str">
        <f t="array" ref="C325">IFERROR(IF(INDEX(Data!$B$2:$B$750,SMALL(Data!$S$2:$S$750,219))=0,"",INDEX(Data!$B$2:$B$750,SMALL(Data!$S$2:$S$750,219))),"")</f>
        <v/>
      </c>
      <c r="D325" s="53" t="str">
        <f t="array" ref="D325">IFERROR(INDEX(Data!$C$2:$C$750,SMALL(Data!$S$2:$S$750,219)),"")</f>
        <v>Dogbone Tags</v>
      </c>
      <c r="E325" s="53">
        <f t="array" ref="E325">IFERROR(IF(INDEX(Data!$D$2:$D$750,SMALL(Data!$S$2:$S$750,219))=0,"",INDEX(Data!$D$2:$D$750,SMALL(Data!$S$2:$S$750,219))),"")</f>
        <v>500</v>
      </c>
      <c r="F325" s="54">
        <f t="array" ref="F325">IFERROR(IF(INDEX(Data!$E$2:$E$750,SMALL(Data!$S$2:$S$750,219))=0,"",INDEX(Data!$E$2:$E$750,SMALL(Data!$S$2:$S$750,219))),"")</f>
        <v>5</v>
      </c>
      <c r="G325" s="54">
        <f t="array" ref="G325">IFERROR(INDEX(Data!$F$2:$F$750,SMALL(Data!$S$2:$S$750,219)),"")</f>
        <v>2500</v>
      </c>
      <c r="H325" s="55">
        <f t="array" ref="H325">IFERROR(IF(INDEX(Data!$G$2:$G$750,SMALL(Data!$S$2:$S$750,219))=0,"",INDEX(Data!$G$2:$G$750,SMALL(Data!$S$2:$S$750,219))),"")</f>
        <v>46162</v>
      </c>
      <c r="I325" s="53">
        <f t="array" ref="I325">IFERROR(IF(INDEX(Data!$H$2:$H$750,SMALL(Data!$S$2:$S$750,219))=0,"",INDEX(Data!$H$2:$H$750,SMALL(Data!$S$2:$S$750,219))),"")</f>
        <v>18</v>
      </c>
      <c r="J325" s="55">
        <f t="array" ref="J325">IFERROR(INDEX(Data!$I$2:$I$750,SMALL(Data!$S$2:$S$750,219)),"")</f>
        <v>46288</v>
      </c>
      <c r="K325" s="53" t="str">
        <f t="array" ref="K325">IFERROR(INDEX(Data!$J$2:$J$750,SMALL(Data!$S$2:$S$750,219)),"")</f>
        <v>Not Paid</v>
      </c>
      <c r="L325" s="53" t="str">
        <f t="array" ref="L325">IFERROR(INDEX(Data!$K$2:$K$750,SMALL(Data!$S$2:$S$750,219)),"")</f>
        <v>Pending</v>
      </c>
      <c r="M325" s="48" t="s">
        <v>582</v>
      </c>
      <c r="N325" s="48">
        <f>SUMIFS(Data!D2:D750,Data!C2:C750,M325,Data!N2:N750,1)</f>
        <v>1</v>
      </c>
    </row>
    <row r="326" ht="15.75" customHeight="1">
      <c r="B326" s="56" t="str">
        <f t="array" ref="B326">IFERROR(INDEX(Data!$A$2:$A$750,SMALL(Data!$S$2:$S$750,220)),"")</f>
        <v>AlBorouj</v>
      </c>
      <c r="C326" s="56" t="str">
        <f t="array" ref="C326">IFERROR(IF(INDEX(Data!$B$2:$B$750,SMALL(Data!$S$2:$S$750,220))=0,"",INDEX(Data!$B$2:$B$750,SMALL(Data!$S$2:$S$750,220))),"")</f>
        <v/>
      </c>
      <c r="D326" s="56" t="str">
        <f t="array" ref="D326">IFERROR(INDEX(Data!$C$2:$C$750,SMALL(Data!$S$2:$S$750,220)),"")</f>
        <v>Push buttons</v>
      </c>
      <c r="E326" s="56">
        <f t="array" ref="E326">IFERROR(IF(INDEX(Data!$D$2:$D$750,SMALL(Data!$S$2:$S$750,220))=0,"",INDEX(Data!$D$2:$D$750,SMALL(Data!$S$2:$S$750,220))),"")</f>
        <v>3</v>
      </c>
      <c r="F326" s="57">
        <f t="array" ref="F326">IFERROR(IF(INDEX(Data!$E$2:$E$750,SMALL(Data!$S$2:$S$750,220))=0,"",INDEX(Data!$E$2:$E$750,SMALL(Data!$S$2:$S$750,220))),"")</f>
        <v>6</v>
      </c>
      <c r="G326" s="57">
        <f t="array" ref="G326">IFERROR(INDEX(Data!$F$2:$F$750,SMALL(Data!$S$2:$S$750,220)),"")</f>
        <v>18</v>
      </c>
      <c r="H326" s="58">
        <f t="array" ref="H326">IFERROR(IF(INDEX(Data!$G$2:$G$750,SMALL(Data!$S$2:$S$750,220))=0,"",INDEX(Data!$G$2:$G$750,SMALL(Data!$S$2:$S$750,220))),"")</f>
        <v>46163</v>
      </c>
      <c r="I326" s="56">
        <f t="array" ref="I326">IFERROR(IF(INDEX(Data!$H$2:$H$750,SMALL(Data!$S$2:$S$750,220))=0,"",INDEX(Data!$H$2:$H$750,SMALL(Data!$S$2:$S$750,220))),"")</f>
        <v>20</v>
      </c>
      <c r="J326" s="58">
        <f t="array" ref="J326">IFERROR(INDEX(Data!$I$2:$I$750,SMALL(Data!$S$2:$S$750,220)),"")</f>
        <v>46303</v>
      </c>
      <c r="K326" s="56" t="str">
        <f t="array" ref="K326">IFERROR(INDEX(Data!$J$2:$J$750,SMALL(Data!$S$2:$S$750,220)),"")</f>
        <v>Not Paid</v>
      </c>
      <c r="L326" s="56" t="str">
        <f t="array" ref="L326">IFERROR(INDEX(Data!$K$2:$K$750,SMALL(Data!$S$2:$S$750,220)),"")</f>
        <v>Pending</v>
      </c>
      <c r="M326" s="48" t="s">
        <v>656</v>
      </c>
      <c r="N326" s="48">
        <f>SUMIFS(Data!D2:D750,Data!C2:C750,M326,Data!N2:N750,1)</f>
        <v>1</v>
      </c>
    </row>
    <row r="327" ht="15.75" customHeight="1">
      <c r="B327" s="53" t="str">
        <f t="array" ref="B327">IFERROR(INDEX(Data!$A$2:$A$750,SMALL(Data!$S$2:$S$750,221)),"")</f>
        <v>SLR/hap-town</v>
      </c>
      <c r="C327" s="53" t="str">
        <f t="array" ref="C327">IFERROR(IF(INDEX(Data!$B$2:$B$750,SMALL(Data!$S$2:$S$750,221))=0,"",INDEX(Data!$B$2:$B$750,SMALL(Data!$S$2:$S$750,221))),"")</f>
        <v>Metalcraft</v>
      </c>
      <c r="D327" s="53" t="str">
        <f t="array" ref="D327">IFERROR(INDEX(Data!$C$2:$C$750,SMALL(Data!$S$2:$S$750,221)),"")</f>
        <v>RFID Destructive WINDSHIELD Tags/Printed</v>
      </c>
      <c r="E327" s="53">
        <f t="array" ref="E327">IFERROR(IF(INDEX(Data!$D$2:$D$750,SMALL(Data!$S$2:$S$750,221))=0,"",INDEX(Data!$D$2:$D$750,SMALL(Data!$S$2:$S$750,221))),"")</f>
        <v>3000</v>
      </c>
      <c r="F327" s="54">
        <f t="array" ref="F327">IFERROR(IF(INDEX(Data!$E$2:$E$750,SMALL(Data!$S$2:$S$750,221))=0,"",INDEX(Data!$E$2:$E$750,SMALL(Data!$S$2:$S$750,221))),"")</f>
        <v>7</v>
      </c>
      <c r="G327" s="54">
        <f t="array" ref="G327">IFERROR(INDEX(Data!$F$2:$F$750,SMALL(Data!$S$2:$S$750,221)),"")</f>
        <v>21000</v>
      </c>
      <c r="H327" s="55">
        <f t="array" ref="H327">IFERROR(IF(INDEX(Data!$G$2:$G$750,SMALL(Data!$S$2:$S$750,221))=0,"",INDEX(Data!$G$2:$G$750,SMALL(Data!$S$2:$S$750,221))),"")</f>
        <v>46164</v>
      </c>
      <c r="I327" s="53">
        <f t="array" ref="I327">IFERROR(IF(INDEX(Data!$H$2:$H$750,SMALL(Data!$S$2:$S$750,221))=0,"",INDEX(Data!$H$2:$H$750,SMALL(Data!$S$2:$S$750,221))),"")</f>
        <v>20</v>
      </c>
      <c r="J327" s="55">
        <f t="array" ref="J327">IFERROR(INDEX(Data!$I$2:$I$750,SMALL(Data!$S$2:$S$750,221)),"")</f>
        <v>46304</v>
      </c>
      <c r="K327" s="53" t="str">
        <f t="array" ref="K327">IFERROR(INDEX(Data!$J$2:$J$750,SMALL(Data!$S$2:$S$750,221)),"")</f>
        <v>Not Paid</v>
      </c>
      <c r="L327" s="53" t="str">
        <f t="array" ref="L327">IFERROR(INDEX(Data!$K$2:$K$750,SMALL(Data!$S$2:$S$750,221)),"")</f>
        <v>Pending</v>
      </c>
      <c r="M327" s="48" t="s">
        <v>340</v>
      </c>
      <c r="N327" s="48">
        <f>SUMIFS(Data!D2:D750,Data!C2:C750,M327,Data!N2:N750,1)</f>
        <v>93500</v>
      </c>
    </row>
    <row r="328" ht="15.75" customHeight="1">
      <c r="B328" s="56" t="str">
        <f t="array" ref="B328">IFERROR(INDEX(Data!$A$2:$A$750,SMALL(Data!$S$2:$S$750,222)),"")</f>
        <v>SLR/hap-town</v>
      </c>
      <c r="C328" s="56" t="str">
        <f t="array" ref="C328">IFERROR(IF(INDEX(Data!$B$2:$B$750,SMALL(Data!$S$2:$S$750,222))=0,"",INDEX(Data!$B$2:$B$750,SMALL(Data!$S$2:$S$750,222))),"")</f>
        <v>Metalcraft</v>
      </c>
      <c r="D328" s="56" t="str">
        <f t="array" ref="D328">IFERROR(INDEX(Data!$C$2:$C$750,SMALL(Data!$S$2:$S$750,222)),"")</f>
        <v>RFID Destructive WINDSHIELD Tags/Printed</v>
      </c>
      <c r="E328" s="56">
        <f t="array" ref="E328">IFERROR(IF(INDEX(Data!$D$2:$D$750,SMALL(Data!$S$2:$S$750,222))=0,"",INDEX(Data!$D$2:$D$750,SMALL(Data!$S$2:$S$750,222))),"")</f>
        <v>3000</v>
      </c>
      <c r="F328" s="57">
        <f t="array" ref="F328">IFERROR(IF(INDEX(Data!$E$2:$E$750,SMALL(Data!$S$2:$S$750,222))=0,"",INDEX(Data!$E$2:$E$750,SMALL(Data!$S$2:$S$750,222))),"")</f>
        <v>8</v>
      </c>
      <c r="G328" s="57">
        <f t="array" ref="G328">IFERROR(INDEX(Data!$F$2:$F$750,SMALL(Data!$S$2:$S$750,222)),"")</f>
        <v>24000</v>
      </c>
      <c r="H328" s="58">
        <f t="array" ref="H328">IFERROR(IF(INDEX(Data!$G$2:$G$750,SMALL(Data!$S$2:$S$750,222))=0,"",INDEX(Data!$G$2:$G$750,SMALL(Data!$S$2:$S$750,222))),"")</f>
        <v>46165</v>
      </c>
      <c r="I328" s="56">
        <f t="array" ref="I328">IFERROR(IF(INDEX(Data!$H$2:$H$750,SMALL(Data!$S$2:$S$750,222))=0,"",INDEX(Data!$H$2:$H$750,SMALL(Data!$S$2:$S$750,222))),"")</f>
        <v>15</v>
      </c>
      <c r="J328" s="58">
        <f t="array" ref="J328">IFERROR(INDEX(Data!$I$2:$I$750,SMALL(Data!$S$2:$S$750,222)),"")</f>
        <v>46270</v>
      </c>
      <c r="K328" s="56" t="str">
        <f t="array" ref="K328">IFERROR(INDEX(Data!$J$2:$J$750,SMALL(Data!$S$2:$S$750,222)),"")</f>
        <v>Not Paid</v>
      </c>
      <c r="L328" s="56" t="str">
        <f t="array" ref="L328">IFERROR(INDEX(Data!$K$2:$K$750,SMALL(Data!$S$2:$S$750,222)),"")</f>
        <v>Pending</v>
      </c>
      <c r="M328" s="48" t="s">
        <v>614</v>
      </c>
      <c r="N328" s="48">
        <f>SUMIFS(Data!D2:D750,Data!C2:C750,M328,Data!N2:N750,1)</f>
        <v>31500</v>
      </c>
    </row>
    <row r="329" ht="15.75" customHeight="1">
      <c r="B329" s="53" t="str">
        <f t="array" ref="B329">IFERROR(INDEX(Data!$A$2:$A$750,SMALL(Data!$S$2:$S$750,223)),"")</f>
        <v>SLG</v>
      </c>
      <c r="C329" s="53" t="str">
        <f t="array" ref="C329">IFERROR(IF(INDEX(Data!$B$2:$B$750,SMALL(Data!$S$2:$S$750,223))=0,"",INDEX(Data!$B$2:$B$750,SMALL(Data!$S$2:$S$750,223))),"")</f>
        <v/>
      </c>
      <c r="D329" s="53" t="str">
        <f t="array" ref="D329">IFERROR(INDEX(Data!$C$2:$C$750,SMALL(Data!$S$2:$S$750,223)),"")</f>
        <v>QR Reader for entry lane only</v>
      </c>
      <c r="E329" s="53">
        <f t="array" ref="E329">IFERROR(IF(INDEX(Data!$D$2:$D$750,SMALL(Data!$S$2:$S$750,223))=0,"",INDEX(Data!$D$2:$D$750,SMALL(Data!$S$2:$S$750,223))),"")</f>
        <v>1</v>
      </c>
      <c r="F329" s="54">
        <f t="array" ref="F329">IFERROR(IF(INDEX(Data!$E$2:$E$750,SMALL(Data!$S$2:$S$750,223))=0,"",INDEX(Data!$E$2:$E$750,SMALL(Data!$S$2:$S$750,223))),"")</f>
        <v>2</v>
      </c>
      <c r="G329" s="54">
        <f t="array" ref="G329">IFERROR(INDEX(Data!$F$2:$F$750,SMALL(Data!$S$2:$S$750,223)),"")</f>
        <v>2</v>
      </c>
      <c r="H329" s="55">
        <f t="array" ref="H329">IFERROR(IF(INDEX(Data!$G$2:$G$750,SMALL(Data!$S$2:$S$750,223))=0,"",INDEX(Data!$G$2:$G$750,SMALL(Data!$S$2:$S$750,223))),"")</f>
        <v>46166</v>
      </c>
      <c r="I329" s="53">
        <f t="array" ref="I329">IFERROR(IF(INDEX(Data!$H$2:$H$750,SMALL(Data!$S$2:$S$750,223))=0,"",INDEX(Data!$H$2:$H$750,SMALL(Data!$S$2:$S$750,223))),"")</f>
        <v>17</v>
      </c>
      <c r="J329" s="55">
        <f t="array" ref="J329">IFERROR(INDEX(Data!$I$2:$I$750,SMALL(Data!$S$2:$S$750,223)),"")</f>
        <v>46285</v>
      </c>
      <c r="K329" s="53" t="str">
        <f t="array" ref="K329">IFERROR(INDEX(Data!$J$2:$J$750,SMALL(Data!$S$2:$S$750,223)),"")</f>
        <v>Not Paid</v>
      </c>
      <c r="L329" s="53" t="str">
        <f t="array" ref="L329">IFERROR(INDEX(Data!$K$2:$K$750,SMALL(Data!$S$2:$S$750,223)),"")</f>
        <v>Pending</v>
      </c>
      <c r="M329" s="48" t="s">
        <v>661</v>
      </c>
      <c r="N329" s="48">
        <f>SUMIFS(Data!D2:D750,Data!C2:C750,M329,Data!N2:N750,1)</f>
        <v>15000</v>
      </c>
    </row>
    <row r="330" ht="15.75" customHeight="1">
      <c r="B330" s="56" t="str">
        <f t="array" ref="B330">IFERROR(INDEX(Data!$A$2:$A$750,SMALL(Data!$S$2:$S$750,224)),"")</f>
        <v>SLG</v>
      </c>
      <c r="C330" s="56" t="str">
        <f t="array" ref="C330">IFERROR(IF(INDEX(Data!$B$2:$B$750,SMALL(Data!$S$2:$S$750,224))=0,"",INDEX(Data!$B$2:$B$750,SMALL(Data!$S$2:$S$750,224))),"")</f>
        <v/>
      </c>
      <c r="D330" s="56" t="str">
        <f t="array" ref="D330">IFERROR(INDEX(Data!$C$2:$C$750,SMALL(Data!$S$2:$S$750,224)),"")</f>
        <v>Stand (2.4 to 3M)</v>
      </c>
      <c r="E330" s="56">
        <f t="array" ref="E330">IFERROR(IF(INDEX(Data!$D$2:$D$750,SMALL(Data!$S$2:$S$750,224))=0,"",INDEX(Data!$D$2:$D$750,SMALL(Data!$S$2:$S$750,224))),"")</f>
        <v>1</v>
      </c>
      <c r="F330" s="57">
        <f t="array" ref="F330">IFERROR(IF(INDEX(Data!$E$2:$E$750,SMALL(Data!$S$2:$S$750,224))=0,"",INDEX(Data!$E$2:$E$750,SMALL(Data!$S$2:$S$750,224))),"")</f>
        <v>15</v>
      </c>
      <c r="G330" s="57">
        <f t="array" ref="G330">IFERROR(INDEX(Data!$F$2:$F$750,SMALL(Data!$S$2:$S$750,224)),"")</f>
        <v>15</v>
      </c>
      <c r="H330" s="58">
        <f t="array" ref="H330">IFERROR(IF(INDEX(Data!$G$2:$G$750,SMALL(Data!$S$2:$S$750,224))=0,"",INDEX(Data!$G$2:$G$750,SMALL(Data!$S$2:$S$750,224))),"")</f>
        <v>46167</v>
      </c>
      <c r="I330" s="56">
        <f t="array" ref="I330">IFERROR(IF(INDEX(Data!$H$2:$H$750,SMALL(Data!$S$2:$S$750,224))=0,"",INDEX(Data!$H$2:$H$750,SMALL(Data!$S$2:$S$750,224))),"")</f>
        <v>15</v>
      </c>
      <c r="J330" s="58">
        <f t="array" ref="J330">IFERROR(INDEX(Data!$I$2:$I$750,SMALL(Data!$S$2:$S$750,224)),"")</f>
        <v>46272</v>
      </c>
      <c r="K330" s="56" t="str">
        <f t="array" ref="K330">IFERROR(INDEX(Data!$J$2:$J$750,SMALL(Data!$S$2:$S$750,224)),"")</f>
        <v>Not Paid</v>
      </c>
      <c r="L330" s="56" t="str">
        <f t="array" ref="L330">IFERROR(INDEX(Data!$K$2:$K$750,SMALL(Data!$S$2:$S$750,224)),"")</f>
        <v>Pending</v>
      </c>
      <c r="M330" s="48" t="s">
        <v>225</v>
      </c>
      <c r="N330" s="48">
        <f>SUMIFS(Data!D2:D750,Data!C2:C750,M330,Data!N2:N750,1)</f>
        <v>20</v>
      </c>
    </row>
    <row r="331" ht="15.75" customHeight="1">
      <c r="B331" s="53" t="str">
        <f t="array" ref="B331">IFERROR(INDEX(Data!$A$2:$A$750,SMALL(Data!$S$2:$S$750,225)),"")</f>
        <v>Diar</v>
      </c>
      <c r="C331" s="53" t="str">
        <f t="array" ref="C331">IFERROR(IF(INDEX(Data!$B$2:$B$750,SMALL(Data!$S$2:$S$750,225))=0,"",INDEX(Data!$B$2:$B$750,SMALL(Data!$S$2:$S$750,225))),"")</f>
        <v/>
      </c>
      <c r="D331" s="53" t="str">
        <f t="array" ref="D331">IFERROR(INDEX(Data!$C$2:$C$750,SMALL(Data!$S$2:$S$750,225)),"")</f>
        <v>Dest windshield tags- Blank</v>
      </c>
      <c r="E331" s="53">
        <f t="array" ref="E331">IFERROR(IF(INDEX(Data!$D$2:$D$750,SMALL(Data!$S$2:$S$750,225))=0,"",INDEX(Data!$D$2:$D$750,SMALL(Data!$S$2:$S$750,225))),"")</f>
        <v>1000</v>
      </c>
      <c r="F331" s="54">
        <f t="array" ref="F331">IFERROR(IF(INDEX(Data!$E$2:$E$750,SMALL(Data!$S$2:$S$750,225))=0,"",INDEX(Data!$E$2:$E$750,SMALL(Data!$S$2:$S$750,225))),"")</f>
        <v>45</v>
      </c>
      <c r="G331" s="54">
        <f t="array" ref="G331">IFERROR(INDEX(Data!$F$2:$F$750,SMALL(Data!$S$2:$S$750,225)),"")</f>
        <v>45000</v>
      </c>
      <c r="H331" s="55">
        <f t="array" ref="H331">IFERROR(IF(INDEX(Data!$G$2:$G$750,SMALL(Data!$S$2:$S$750,225))=0,"",INDEX(Data!$G$2:$G$750,SMALL(Data!$S$2:$S$750,225))),"")</f>
        <v>46168</v>
      </c>
      <c r="I331" s="53">
        <f t="array" ref="I331">IFERROR(IF(INDEX(Data!$H$2:$H$750,SMALL(Data!$S$2:$S$750,225))=0,"",INDEX(Data!$H$2:$H$750,SMALL(Data!$S$2:$S$750,225))),"")</f>
        <v>15</v>
      </c>
      <c r="J331" s="55">
        <f t="array" ref="J331">IFERROR(INDEX(Data!$I$2:$I$750,SMALL(Data!$S$2:$S$750,225)),"")</f>
        <v>46273</v>
      </c>
      <c r="K331" s="53" t="str">
        <f t="array" ref="K331">IFERROR(INDEX(Data!$J$2:$J$750,SMALL(Data!$S$2:$S$750,225)),"")</f>
        <v>Not Paid</v>
      </c>
      <c r="L331" s="53" t="str">
        <f t="array" ref="L331">IFERROR(INDEX(Data!$K$2:$K$750,SMALL(Data!$S$2:$S$750,225)),"")</f>
        <v>Pending</v>
      </c>
      <c r="M331" s="48" t="s">
        <v>163</v>
      </c>
      <c r="N331" s="48">
        <f>SUMIFS(Data!D2:D750,Data!C2:C750,M331,Data!N2:N750,1)</f>
        <v>7750</v>
      </c>
    </row>
    <row r="332" ht="15.75" customHeight="1">
      <c r="B332" s="56" t="str">
        <f t="array" ref="B332">IFERROR(INDEX(Data!$A$2:$A$750,SMALL(Data!$S$2:$S$750,226)),"")</f>
        <v>Sia Lagoon</v>
      </c>
      <c r="C332" s="56" t="str">
        <f t="array" ref="C332">IFERROR(IF(INDEX(Data!$B$2:$B$750,SMALL(Data!$S$2:$S$750,226))=0,"",INDEX(Data!$B$2:$B$750,SMALL(Data!$S$2:$S$750,226))),"")</f>
        <v/>
      </c>
      <c r="D332" s="56" t="str">
        <f t="array" ref="D332">IFERROR(INDEX(Data!$C$2:$C$750,SMALL(Data!$S$2:$S$750,226)),"")</f>
        <v>Photocell with columns</v>
      </c>
      <c r="E332" s="56">
        <f t="array" ref="E332">IFERROR(IF(INDEX(Data!$D$2:$D$750,SMALL(Data!$S$2:$S$750,226))=0,"",INDEX(Data!$D$2:$D$750,SMALL(Data!$S$2:$S$750,226))),"")</f>
        <v>1</v>
      </c>
      <c r="F332" s="57">
        <f t="array" ref="F332">IFERROR(IF(INDEX(Data!$E$2:$E$750,SMALL(Data!$S$2:$S$750,226))=0,"",INDEX(Data!$E$2:$E$750,SMALL(Data!$S$2:$S$750,226))),"")</f>
        <v>24</v>
      </c>
      <c r="G332" s="57">
        <f t="array" ref="G332">IFERROR(INDEX(Data!$F$2:$F$750,SMALL(Data!$S$2:$S$750,226)),"")</f>
        <v>24</v>
      </c>
      <c r="H332" s="58">
        <f t="array" ref="H332">IFERROR(IF(INDEX(Data!$G$2:$G$750,SMALL(Data!$S$2:$S$750,226))=0,"",INDEX(Data!$G$2:$G$750,SMALL(Data!$S$2:$S$750,226))),"")</f>
        <v>46169</v>
      </c>
      <c r="I332" s="56">
        <f t="array" ref="I332">IFERROR(IF(INDEX(Data!$H$2:$H$750,SMALL(Data!$S$2:$S$750,226))=0,"",INDEX(Data!$H$2:$H$750,SMALL(Data!$S$2:$S$750,226))),"")</f>
        <v>14</v>
      </c>
      <c r="J332" s="58">
        <f t="array" ref="J332">IFERROR(INDEX(Data!$I$2:$I$750,SMALL(Data!$S$2:$S$750,226)),"")</f>
        <v>46267</v>
      </c>
      <c r="K332" s="56" t="str">
        <f t="array" ref="K332">IFERROR(INDEX(Data!$J$2:$J$750,SMALL(Data!$S$2:$S$750,226)),"")</f>
        <v>Not Paid</v>
      </c>
      <c r="L332" s="56" t="str">
        <f t="array" ref="L332">IFERROR(INDEX(Data!$K$2:$K$750,SMALL(Data!$S$2:$S$750,226)),"")</f>
        <v>Pending</v>
      </c>
      <c r="M332" s="48" t="s">
        <v>622</v>
      </c>
      <c r="N332" s="48">
        <f>SUMIFS(Data!D2:D750,Data!C2:C750,M332,Data!N2:N750,1)</f>
        <v>100</v>
      </c>
    </row>
    <row r="333" ht="15.75" customHeight="1">
      <c r="B333" s="53" t="str">
        <f t="array" ref="B333">IFERROR(INDEX(Data!$A$2:$A$750,SMALL(Data!$S$2:$S$750,227)),"")</f>
        <v>Boyot</v>
      </c>
      <c r="C333" s="53" t="str">
        <f t="array" ref="C333">IFERROR(IF(INDEX(Data!$B$2:$B$750,SMALL(Data!$S$2:$S$750,227))=0,"",INDEX(Data!$B$2:$B$750,SMALL(Data!$S$2:$S$750,227))),"")</f>
        <v/>
      </c>
      <c r="D333" s="53" t="str">
        <f t="array" ref="D333">IFERROR(INDEX(Data!$C$2:$C$750,SMALL(Data!$S$2:$S$750,227)),"")</f>
        <v>QR Scanners</v>
      </c>
      <c r="E333" s="53">
        <f t="array" ref="E333">IFERROR(IF(INDEX(Data!$D$2:$D$750,SMALL(Data!$S$2:$S$750,227))=0,"",INDEX(Data!$D$2:$D$750,SMALL(Data!$S$2:$S$750,227))),"")</f>
        <v>2</v>
      </c>
      <c r="F333" s="54">
        <f t="array" ref="F333">IFERROR(IF(INDEX(Data!$E$2:$E$750,SMALL(Data!$S$2:$S$750,227))=0,"",INDEX(Data!$E$2:$E$750,SMALL(Data!$S$2:$S$750,227))),"")</f>
        <v>25</v>
      </c>
      <c r="G333" s="54">
        <f t="array" ref="G333">IFERROR(INDEX(Data!$F$2:$F$750,SMALL(Data!$S$2:$S$750,227)),"")</f>
        <v>50</v>
      </c>
      <c r="H333" s="55">
        <f t="array" ref="H333">IFERROR(IF(INDEX(Data!$G$2:$G$750,SMALL(Data!$S$2:$S$750,227))=0,"",INDEX(Data!$G$2:$G$750,SMALL(Data!$S$2:$S$750,227))),"")</f>
        <v>46170</v>
      </c>
      <c r="I333" s="53">
        <f t="array" ref="I333">IFERROR(IF(INDEX(Data!$H$2:$H$750,SMALL(Data!$S$2:$S$750,227))=0,"",INDEX(Data!$H$2:$H$750,SMALL(Data!$S$2:$S$750,227))),"")</f>
        <v>17</v>
      </c>
      <c r="J333" s="55">
        <f t="array" ref="J333">IFERROR(INDEX(Data!$I$2:$I$750,SMALL(Data!$S$2:$S$750,227)),"")</f>
        <v>46289</v>
      </c>
      <c r="K333" s="53" t="str">
        <f t="array" ref="K333">IFERROR(INDEX(Data!$J$2:$J$750,SMALL(Data!$S$2:$S$750,227)),"")</f>
        <v>Not Paid</v>
      </c>
      <c r="L333" s="53" t="str">
        <f t="array" ref="L333">IFERROR(INDEX(Data!$K$2:$K$750,SMALL(Data!$S$2:$S$750,227)),"")</f>
        <v>Pending</v>
      </c>
      <c r="M333" s="48" t="s">
        <v>175</v>
      </c>
      <c r="N333" s="48">
        <f>SUMIFS(Data!D2:D750,Data!C2:C750,M333,Data!N2:N750,1)</f>
        <v>10</v>
      </c>
    </row>
    <row r="334" ht="15.75" customHeight="1">
      <c r="B334" s="56" t="str">
        <f t="array" ref="B334">IFERROR(INDEX(Data!$A$2:$A$750,SMALL(Data!$S$2:$S$750,228)),"")</f>
        <v>Boyot</v>
      </c>
      <c r="C334" s="56" t="str">
        <f t="array" ref="C334">IFERROR(IF(INDEX(Data!$B$2:$B$750,SMALL(Data!$S$2:$S$750,228))=0,"",INDEX(Data!$B$2:$B$750,SMALL(Data!$S$2:$S$750,228))),"")</f>
        <v/>
      </c>
      <c r="D334" s="56" t="str">
        <f t="array" ref="D334">IFERROR(INDEX(Data!$C$2:$C$750,SMALL(Data!$S$2:$S$750,228)),"")</f>
        <v>QR Stands</v>
      </c>
      <c r="E334" s="56">
        <f t="array" ref="E334">IFERROR(IF(INDEX(Data!$D$2:$D$750,SMALL(Data!$S$2:$S$750,228))=0,"",INDEX(Data!$D$2:$D$750,SMALL(Data!$S$2:$S$750,228))),"")</f>
        <v>2</v>
      </c>
      <c r="F334" s="57">
        <f t="array" ref="F334">IFERROR(IF(INDEX(Data!$E$2:$E$750,SMALL(Data!$S$2:$S$750,228))=0,"",INDEX(Data!$E$2:$E$750,SMALL(Data!$S$2:$S$750,228))),"")</f>
        <v>36</v>
      </c>
      <c r="G334" s="57">
        <f t="array" ref="G334">IFERROR(INDEX(Data!$F$2:$F$750,SMALL(Data!$S$2:$S$750,228)),"")</f>
        <v>72</v>
      </c>
      <c r="H334" s="58">
        <f t="array" ref="H334">IFERROR(IF(INDEX(Data!$G$2:$G$750,SMALL(Data!$S$2:$S$750,228))=0,"",INDEX(Data!$G$2:$G$750,SMALL(Data!$S$2:$S$750,228))),"")</f>
        <v>46171</v>
      </c>
      <c r="I334" s="56">
        <f t="array" ref="I334">IFERROR(IF(INDEX(Data!$H$2:$H$750,SMALL(Data!$S$2:$S$750,228))=0,"",INDEX(Data!$H$2:$H$750,SMALL(Data!$S$2:$S$750,228))),"")</f>
        <v>15</v>
      </c>
      <c r="J334" s="58">
        <f t="array" ref="J334">IFERROR(INDEX(Data!$I$2:$I$750,SMALL(Data!$S$2:$S$750,228)),"")</f>
        <v>46276</v>
      </c>
      <c r="K334" s="56" t="str">
        <f t="array" ref="K334">IFERROR(INDEX(Data!$J$2:$J$750,SMALL(Data!$S$2:$S$750,228)),"")</f>
        <v>Not Paid</v>
      </c>
      <c r="L334" s="56" t="str">
        <f t="array" ref="L334">IFERROR(INDEX(Data!$K$2:$K$750,SMALL(Data!$S$2:$S$750,228)),"")</f>
        <v>Pending</v>
      </c>
      <c r="M334" s="48" t="s">
        <v>122</v>
      </c>
      <c r="N334" s="48">
        <f>SUMIFS(Data!D2:D750,Data!C2:C750,M334,Data!N2:N750,1)</f>
        <v>2</v>
      </c>
    </row>
    <row r="335" ht="15.75" customHeight="1">
      <c r="B335" s="53" t="str">
        <f t="array" ref="B335">IFERROR(INDEX(Data!$A$2:$A$750,SMALL(Data!$S$2:$S$750,229)),"")</f>
        <v>Doit</v>
      </c>
      <c r="C335" s="53" t="str">
        <f t="array" ref="C335">IFERROR(IF(INDEX(Data!$B$2:$B$750,SMALL(Data!$S$2:$S$750,229))=0,"",INDEX(Data!$B$2:$B$750,SMALL(Data!$S$2:$S$750,229))),"")</f>
        <v/>
      </c>
      <c r="D335" s="53" t="str">
        <f t="array" ref="D335">IFERROR(INDEX(Data!$C$2:$C$750,SMALL(Data!$S$2:$S$750,229)),"")</f>
        <v>RFID UHF Handheld (AT907)</v>
      </c>
      <c r="E335" s="53">
        <f t="array" ref="E335">IFERROR(IF(INDEX(Data!$D$2:$D$750,SMALL(Data!$S$2:$S$750,229))=0,"",INDEX(Data!$D$2:$D$750,SMALL(Data!$S$2:$S$750,229))),"")</f>
        <v>2</v>
      </c>
      <c r="F335" s="54">
        <f t="array" ref="F335">IFERROR(IF(INDEX(Data!$E$2:$E$750,SMALL(Data!$S$2:$S$750,229))=0,"",INDEX(Data!$E$2:$E$750,SMALL(Data!$S$2:$S$750,229))),"")</f>
        <v>95</v>
      </c>
      <c r="G335" s="54">
        <f t="array" ref="G335">IFERROR(INDEX(Data!$F$2:$F$750,SMALL(Data!$S$2:$S$750,229)),"")</f>
        <v>190</v>
      </c>
      <c r="H335" s="55">
        <f t="array" ref="H335">IFERROR(IF(INDEX(Data!$G$2:$G$750,SMALL(Data!$S$2:$S$750,229))=0,"",INDEX(Data!$G$2:$G$750,SMALL(Data!$S$2:$S$750,229))),"")</f>
        <v>46172</v>
      </c>
      <c r="I335" s="53">
        <f t="array" ref="I335">IFERROR(IF(INDEX(Data!$H$2:$H$750,SMALL(Data!$S$2:$S$750,229))=0,"",INDEX(Data!$H$2:$H$750,SMALL(Data!$S$2:$S$750,229))),"")</f>
        <v>17</v>
      </c>
      <c r="J335" s="55">
        <f t="array" ref="J335">IFERROR(INDEX(Data!$I$2:$I$750,SMALL(Data!$S$2:$S$750,229)),"")</f>
        <v>46291</v>
      </c>
      <c r="K335" s="53" t="str">
        <f t="array" ref="K335">IFERROR(INDEX(Data!$J$2:$J$750,SMALL(Data!$S$2:$S$750,229)),"")</f>
        <v>Not Paid</v>
      </c>
      <c r="L335" s="53" t="str">
        <f t="array" ref="L335">IFERROR(INDEX(Data!$K$2:$K$750,SMALL(Data!$S$2:$S$750,229)),"")</f>
        <v>Pending</v>
      </c>
      <c r="M335" s="48" t="s">
        <v>631</v>
      </c>
      <c r="N335" s="48">
        <f>SUMIFS(Data!D2:D750,Data!C2:C750,M335,Data!N2:N750,1)</f>
        <v>1</v>
      </c>
    </row>
    <row r="336" ht="15.75" customHeight="1">
      <c r="B336" s="56" t="str">
        <f t="array" ref="B336">IFERROR(INDEX(Data!$A$2:$A$750,SMALL(Data!$S$2:$S$750,230)),"")</f>
        <v>Doit</v>
      </c>
      <c r="C336" s="56" t="str">
        <f t="array" ref="C336">IFERROR(IF(INDEX(Data!$B$2:$B$750,SMALL(Data!$S$2:$S$750,230))=0,"",INDEX(Data!$B$2:$B$750,SMALL(Data!$S$2:$S$750,230))),"")</f>
        <v/>
      </c>
      <c r="D336" s="56" t="str">
        <f t="array" ref="D336">IFERROR(INDEX(Data!$C$2:$C$750,SMALL(Data!$S$2:$S$750,230)),"")</f>
        <v>UHF Paper tags for Non-Metal Assets (Dogbone)</v>
      </c>
      <c r="E336" s="56">
        <f t="array" ref="E336">IFERROR(IF(INDEX(Data!$D$2:$D$750,SMALL(Data!$S$2:$S$750,230))=0,"",INDEX(Data!$D$2:$D$750,SMALL(Data!$S$2:$S$750,230))),"")</f>
        <v>30000</v>
      </c>
      <c r="F336" s="57">
        <f t="array" ref="F336">IFERROR(IF(INDEX(Data!$E$2:$E$750,SMALL(Data!$S$2:$S$750,230))=0,"",INDEX(Data!$E$2:$E$750,SMALL(Data!$S$2:$S$750,230))),"")</f>
        <v>574</v>
      </c>
      <c r="G336" s="57">
        <f t="array" ref="G336">IFERROR(INDEX(Data!$F$2:$F$750,SMALL(Data!$S$2:$S$750,230)),"")</f>
        <v>17220000</v>
      </c>
      <c r="H336" s="58">
        <f t="array" ref="H336">IFERROR(IF(INDEX(Data!$G$2:$G$750,SMALL(Data!$S$2:$S$750,230))=0,"",INDEX(Data!$G$2:$G$750,SMALL(Data!$S$2:$S$750,230))),"")</f>
        <v>46173</v>
      </c>
      <c r="I336" s="56">
        <f t="array" ref="I336">IFERROR(IF(INDEX(Data!$H$2:$H$750,SMALL(Data!$S$2:$S$750,230))=0,"",INDEX(Data!$H$2:$H$750,SMALL(Data!$S$2:$S$750,230))),"")</f>
        <v>14</v>
      </c>
      <c r="J336" s="58">
        <f t="array" ref="J336">IFERROR(INDEX(Data!$I$2:$I$750,SMALL(Data!$S$2:$S$750,230)),"")</f>
        <v>46271</v>
      </c>
      <c r="K336" s="56" t="str">
        <f t="array" ref="K336">IFERROR(INDEX(Data!$J$2:$J$750,SMALL(Data!$S$2:$S$750,230)),"")</f>
        <v>Not Paid</v>
      </c>
      <c r="L336" s="56" t="str">
        <f t="array" ref="L336">IFERROR(INDEX(Data!$K$2:$K$750,SMALL(Data!$S$2:$S$750,230)),"")</f>
        <v>Pending</v>
      </c>
      <c r="M336" s="48" t="s">
        <v>662</v>
      </c>
      <c r="N336" s="48">
        <f>SUMIFS(Data!D2:D750,Data!C2:C750,M336,Data!N2:N750,1)</f>
        <v>130000</v>
      </c>
    </row>
    <row r="337" ht="15.75" customHeight="1">
      <c r="B337" s="53" t="str">
        <f t="array" ref="B337">IFERROR(INDEX(Data!$A$2:$A$750,SMALL(Data!$S$2:$S$750,231)),"")</f>
        <v>Doit</v>
      </c>
      <c r="C337" s="53" t="str">
        <f t="array" ref="C337">IFERROR(IF(INDEX(Data!$B$2:$B$750,SMALL(Data!$S$2:$S$750,231))=0,"",INDEX(Data!$B$2:$B$750,SMALL(Data!$S$2:$S$750,231))),"")</f>
        <v>RICHRFID</v>
      </c>
      <c r="D337" s="53" t="str">
        <f t="array" ref="D337">IFERROR(INDEX(Data!$C$2:$C$750,SMALL(Data!$S$2:$S$750,231)),"")</f>
        <v>RCO7012 On-metal tags</v>
      </c>
      <c r="E337" s="53">
        <f t="array" ref="E337">IFERROR(IF(INDEX(Data!$D$2:$D$750,SMALL(Data!$S$2:$S$750,231))=0,"",INDEX(Data!$D$2:$D$750,SMALL(Data!$S$2:$S$750,231))),"")</f>
        <v>21000</v>
      </c>
      <c r="F337" s="54">
        <f t="array" ref="F337">IFERROR(IF(INDEX(Data!$E$2:$E$750,SMALL(Data!$S$2:$S$750,231))=0,"",INDEX(Data!$E$2:$E$750,SMALL(Data!$S$2:$S$750,231))),"")</f>
        <v>558</v>
      </c>
      <c r="G337" s="54">
        <f t="array" ref="G337">IFERROR(INDEX(Data!$F$2:$F$750,SMALL(Data!$S$2:$S$750,231)),"")</f>
        <v>11718000</v>
      </c>
      <c r="H337" s="55">
        <f t="array" ref="H337">IFERROR(IF(INDEX(Data!$G$2:$G$750,SMALL(Data!$S$2:$S$750,231))=0,"",INDEX(Data!$G$2:$G$750,SMALL(Data!$S$2:$S$750,231))),"")</f>
        <v>46174</v>
      </c>
      <c r="I337" s="53">
        <f t="array" ref="I337">IFERROR(IF(INDEX(Data!$H$2:$H$750,SMALL(Data!$S$2:$S$750,231))=0,"",INDEX(Data!$H$2:$H$750,SMALL(Data!$S$2:$S$750,231))),"")</f>
        <v>15</v>
      </c>
      <c r="J337" s="55">
        <f t="array" ref="J337">IFERROR(INDEX(Data!$I$2:$I$750,SMALL(Data!$S$2:$S$750,231)),"")</f>
        <v>46279</v>
      </c>
      <c r="K337" s="53" t="str">
        <f t="array" ref="K337">IFERROR(INDEX(Data!$J$2:$J$750,SMALL(Data!$S$2:$S$750,231)),"")</f>
        <v>Not Paid</v>
      </c>
      <c r="L337" s="53" t="str">
        <f t="array" ref="L337">IFERROR(INDEX(Data!$K$2:$K$750,SMALL(Data!$S$2:$S$750,231)),"")</f>
        <v>Pending</v>
      </c>
      <c r="M337" s="48" t="s">
        <v>237</v>
      </c>
      <c r="N337" s="48">
        <f>SUMIFS(Data!D2:D750,Data!C2:C750,M337,Data!N2:N750,1)</f>
        <v>20</v>
      </c>
    </row>
    <row r="338" ht="15.75" customHeight="1">
      <c r="B338" s="56" t="str">
        <f t="array" ref="B338">IFERROR(INDEX(Data!$A$2:$A$750,SMALL(Data!$S$2:$S$750,232)),"")</f>
        <v>Doit</v>
      </c>
      <c r="C338" s="56" t="str">
        <f t="array" ref="C338">IFERROR(IF(INDEX(Data!$B$2:$B$750,SMALL(Data!$S$2:$S$750,232))=0,"",INDEX(Data!$B$2:$B$750,SMALL(Data!$S$2:$S$750,232))),"")</f>
        <v>Tag factory</v>
      </c>
      <c r="D338" s="56" t="str">
        <f t="array" ref="D338">IFERROR(INDEX(Data!$C$2:$C$750,SMALL(Data!$S$2:$S$750,232)),"")</f>
        <v>M-Crown RFID Hard Tag </v>
      </c>
      <c r="E338" s="56">
        <f t="array" ref="E338">IFERROR(IF(INDEX(Data!$D$2:$D$750,SMALL(Data!$S$2:$S$750,232))=0,"",INDEX(Data!$D$2:$D$750,SMALL(Data!$S$2:$S$750,232))),"")</f>
        <v>1000</v>
      </c>
      <c r="F338" s="57">
        <f t="array" ref="F338">IFERROR(IF(INDEX(Data!$E$2:$E$750,SMALL(Data!$S$2:$S$750,232))=0,"",INDEX(Data!$E$2:$E$750,SMALL(Data!$S$2:$S$750,232))),"")</f>
        <v>2265</v>
      </c>
      <c r="G338" s="57">
        <f t="array" ref="G338">IFERROR(INDEX(Data!$F$2:$F$750,SMALL(Data!$S$2:$S$750,232)),"")</f>
        <v>2265000</v>
      </c>
      <c r="H338" s="58">
        <f t="array" ref="H338">IFERROR(IF(INDEX(Data!$G$2:$G$750,SMALL(Data!$S$2:$S$750,232))=0,"",INDEX(Data!$G$2:$G$750,SMALL(Data!$S$2:$S$750,232))),"")</f>
        <v>46175</v>
      </c>
      <c r="I338" s="56">
        <f t="array" ref="I338">IFERROR(IF(INDEX(Data!$H$2:$H$750,SMALL(Data!$S$2:$S$750,232))=0,"",INDEX(Data!$H$2:$H$750,SMALL(Data!$S$2:$S$750,232))),"")</f>
        <v>8</v>
      </c>
      <c r="J338" s="58">
        <f t="array" ref="J338">IFERROR(INDEX(Data!$I$2:$I$750,SMALL(Data!$S$2:$S$750,232)),"")</f>
        <v>46231</v>
      </c>
      <c r="K338" s="56" t="str">
        <f t="array" ref="K338">IFERROR(INDEX(Data!$J$2:$J$750,SMALL(Data!$S$2:$S$750,232)),"")</f>
        <v>Not Paid</v>
      </c>
      <c r="L338" s="56" t="str">
        <f t="array" ref="L338">IFERROR(INDEX(Data!$K$2:$K$750,SMALL(Data!$S$2:$S$750,232)),"")</f>
        <v>Pending</v>
      </c>
      <c r="M338" s="48" t="s">
        <v>118</v>
      </c>
      <c r="N338" s="48">
        <f>SUMIFS(Data!D2:D750,Data!C2:C750,M338,Data!N2:N750,1)</f>
        <v>2</v>
      </c>
    </row>
    <row r="339" ht="15.75" customHeight="1">
      <c r="B339" s="53" t="str">
        <f t="array" ref="B339">IFERROR(INDEX(Data!$A$2:$A$750,SMALL(Data!$S$2:$S$750,233)),"")</f>
        <v>Elsewedy</v>
      </c>
      <c r="C339" s="53" t="str">
        <f t="array" ref="C339">IFERROR(IF(INDEX(Data!$B$2:$B$750,SMALL(Data!$S$2:$S$750,233))=0,"",INDEX(Data!$B$2:$B$750,SMALL(Data!$S$2:$S$750,233))),"")</f>
        <v/>
      </c>
      <c r="D339" s="53" t="str">
        <f t="array" ref="D339">IFERROR(INDEX(Data!$C$2:$C$750,SMALL(Data!$S$2:$S$750,233)),"")</f>
        <v>Printer CL4NX Plus</v>
      </c>
      <c r="E339" s="53">
        <f t="array" ref="E339">IFERROR(IF(INDEX(Data!$D$2:$D$750,SMALL(Data!$S$2:$S$750,233))=0,"",INDEX(Data!$D$2:$D$750,SMALL(Data!$S$2:$S$750,233))),"")</f>
        <v>1</v>
      </c>
      <c r="F339" s="54">
        <f t="array" ref="F339">IFERROR(IF(INDEX(Data!$E$2:$E$750,SMALL(Data!$S$2:$S$750,233))=0,"",INDEX(Data!$E$2:$E$750,SMALL(Data!$S$2:$S$750,233))),"")</f>
        <v>45</v>
      </c>
      <c r="G339" s="54">
        <f t="array" ref="G339">IFERROR(INDEX(Data!$F$2:$F$750,SMALL(Data!$S$2:$S$750,233)),"")</f>
        <v>45</v>
      </c>
      <c r="H339" s="55">
        <f t="array" ref="H339">IFERROR(IF(INDEX(Data!$G$2:$G$750,SMALL(Data!$S$2:$S$750,233))=0,"",INDEX(Data!$G$2:$G$750,SMALL(Data!$S$2:$S$750,233))),"")</f>
        <v>46176</v>
      </c>
      <c r="I339" s="53">
        <f t="array" ref="I339">IFERROR(IF(INDEX(Data!$H$2:$H$750,SMALL(Data!$S$2:$S$750,233))=0,"",INDEX(Data!$H$2:$H$750,SMALL(Data!$S$2:$S$750,233))),"")</f>
        <v>6</v>
      </c>
      <c r="J339" s="55">
        <f t="array" ref="J339">IFERROR(INDEX(Data!$I$2:$I$750,SMALL(Data!$S$2:$S$750,233)),"")</f>
        <v>46218</v>
      </c>
      <c r="K339" s="53" t="str">
        <f t="array" ref="K339">IFERROR(INDEX(Data!$J$2:$J$750,SMALL(Data!$S$2:$S$750,233)),"")</f>
        <v>Not Paid</v>
      </c>
      <c r="L339" s="53" t="str">
        <f t="array" ref="L339">IFERROR(INDEX(Data!$K$2:$K$750,SMALL(Data!$S$2:$S$750,233)),"")</f>
        <v>Pending</v>
      </c>
      <c r="M339" s="48" t="s">
        <v>518</v>
      </c>
      <c r="N339" s="48">
        <f>SUMIFS(Data!D2:D750,Data!C2:C750,M339,Data!N2:N750,1)</f>
        <v>1</v>
      </c>
    </row>
    <row r="340" ht="15.75" customHeight="1">
      <c r="B340" s="56" t="str">
        <f t="array" ref="B340">IFERROR(INDEX(Data!$A$2:$A$750,SMALL(Data!$S$2:$S$750,234)),"")</f>
        <v>Elsewedy</v>
      </c>
      <c r="C340" s="56" t="str">
        <f t="array" ref="C340">IFERROR(IF(INDEX(Data!$B$2:$B$750,SMALL(Data!$S$2:$S$750,234))=0,"",INDEX(Data!$B$2:$B$750,SMALL(Data!$S$2:$S$750,234))),"")</f>
        <v/>
      </c>
      <c r="D340" s="56" t="str">
        <f t="array" ref="D340">IFERROR(INDEX(Data!$C$2:$C$750,SMALL(Data!$S$2:$S$750,234)),"")</f>
        <v>ATID RFID Handheld AT907</v>
      </c>
      <c r="E340" s="56">
        <f t="array" ref="E340">IFERROR(IF(INDEX(Data!$D$2:$D$750,SMALL(Data!$S$2:$S$750,234))=0,"",INDEX(Data!$D$2:$D$750,SMALL(Data!$S$2:$S$750,234))),"")</f>
        <v>2</v>
      </c>
      <c r="F340" s="57">
        <f t="array" ref="F340">IFERROR(IF(INDEX(Data!$E$2:$E$750,SMALL(Data!$S$2:$S$750,234))=0,"",INDEX(Data!$E$2:$E$750,SMALL(Data!$S$2:$S$750,234))),"")</f>
        <v>5554</v>
      </c>
      <c r="G340" s="57">
        <f t="array" ref="G340">IFERROR(INDEX(Data!$F$2:$F$750,SMALL(Data!$S$2:$S$750,234)),"")</f>
        <v>11108</v>
      </c>
      <c r="H340" s="58">
        <f t="array" ref="H340">IFERROR(IF(INDEX(Data!$G$2:$G$750,SMALL(Data!$S$2:$S$750,234))=0,"",INDEX(Data!$G$2:$G$750,SMALL(Data!$S$2:$S$750,234))),"")</f>
        <v>46177</v>
      </c>
      <c r="I340" s="56">
        <f t="array" ref="I340">IFERROR(IF(INDEX(Data!$H$2:$H$750,SMALL(Data!$S$2:$S$750,234))=0,"",INDEX(Data!$H$2:$H$750,SMALL(Data!$S$2:$S$750,234))),"")</f>
        <v>7</v>
      </c>
      <c r="J340" s="58">
        <f t="array" ref="J340">IFERROR(INDEX(Data!$I$2:$I$750,SMALL(Data!$S$2:$S$750,234)),"")</f>
        <v>46226</v>
      </c>
      <c r="K340" s="56" t="str">
        <f t="array" ref="K340">IFERROR(INDEX(Data!$J$2:$J$750,SMALL(Data!$S$2:$S$750,234)),"")</f>
        <v>Not Paid</v>
      </c>
      <c r="L340" s="56" t="str">
        <f t="array" ref="L340">IFERROR(INDEX(Data!$K$2:$K$750,SMALL(Data!$S$2:$S$750,234)),"")</f>
        <v>Pending</v>
      </c>
      <c r="M340" s="48" t="s">
        <v>59</v>
      </c>
      <c r="N340" s="48">
        <f>SUMIFS(Data!D2:D750,Data!C2:C750,M340,Data!N2:N750,1)</f>
        <v>100</v>
      </c>
    </row>
    <row r="341" ht="15.75" customHeight="1">
      <c r="B341" s="53" t="str">
        <f t="array" ref="B341">IFERROR(INDEX(Data!$A$2:$A$750,SMALL(Data!$S$2:$S$750,235)),"")</f>
        <v>Mediterranean</v>
      </c>
      <c r="C341" s="53" t="str">
        <f t="array" ref="C341">IFERROR(IF(INDEX(Data!$B$2:$B$750,SMALL(Data!$S$2:$S$750,235))=0,"",INDEX(Data!$B$2:$B$750,SMALL(Data!$S$2:$S$750,235))),"")</f>
        <v>SATO</v>
      </c>
      <c r="D341" s="53" t="str">
        <f t="array" ref="D341">IFERROR(INDEX(Data!$C$2:$C$750,SMALL(Data!$S$2:$S$750,235)),"")</f>
        <v>Paper label 155mm X 300mm 500labels/Roll</v>
      </c>
      <c r="E341" s="53">
        <f t="array" ref="E341">IFERROR(IF(INDEX(Data!$D$2:$D$750,SMALL(Data!$S$2:$S$750,235))=0,"",INDEX(Data!$D$2:$D$750,SMALL(Data!$S$2:$S$750,235))),"")</f>
        <v>50</v>
      </c>
      <c r="F341" s="54">
        <f t="array" ref="F341">IFERROR(IF(INDEX(Data!$E$2:$E$750,SMALL(Data!$S$2:$S$750,235))=0,"",INDEX(Data!$E$2:$E$750,SMALL(Data!$S$2:$S$750,235))),"")</f>
        <v>41</v>
      </c>
      <c r="G341" s="54">
        <f t="array" ref="G341">IFERROR(INDEX(Data!$F$2:$F$750,SMALL(Data!$S$2:$S$750,235)),"")</f>
        <v>2050</v>
      </c>
      <c r="H341" s="55">
        <f t="array" ref="H341">IFERROR(IF(INDEX(Data!$G$2:$G$750,SMALL(Data!$S$2:$S$750,235))=0,"",INDEX(Data!$G$2:$G$750,SMALL(Data!$S$2:$S$750,235))),"")</f>
        <v>46178</v>
      </c>
      <c r="I341" s="53">
        <f t="array" ref="I341">IFERROR(IF(INDEX(Data!$H$2:$H$750,SMALL(Data!$S$2:$S$750,235))=0,"",INDEX(Data!$H$2:$H$750,SMALL(Data!$S$2:$S$750,235))),"")</f>
        <v>8</v>
      </c>
      <c r="J341" s="55">
        <f t="array" ref="J341">IFERROR(INDEX(Data!$I$2:$I$750,SMALL(Data!$S$2:$S$750,235)),"")</f>
        <v>46234</v>
      </c>
      <c r="K341" s="53" t="str">
        <f t="array" ref="K341">IFERROR(INDEX(Data!$J$2:$J$750,SMALL(Data!$S$2:$S$750,235)),"")</f>
        <v>Not Paid</v>
      </c>
      <c r="L341" s="53" t="str">
        <f t="array" ref="L341">IFERROR(INDEX(Data!$K$2:$K$750,SMALL(Data!$S$2:$S$750,235)),"")</f>
        <v>Pending</v>
      </c>
      <c r="M341" s="48" t="s">
        <v>660</v>
      </c>
      <c r="N341" s="48">
        <f>SUMIFS(Data!D2:D750,Data!C2:C750,M341,Data!N2:N750,1)</f>
        <v>20</v>
      </c>
    </row>
    <row r="342" ht="15.75" customHeight="1">
      <c r="B342" s="56" t="str">
        <f t="array" ref="B342">IFERROR(INDEX(Data!$A$2:$A$750,SMALL(Data!$S$2:$S$750,236)),"")</f>
        <v>Egyptian Steel</v>
      </c>
      <c r="C342" s="56" t="str">
        <f t="array" ref="C342">IFERROR(IF(INDEX(Data!$B$2:$B$750,SMALL(Data!$S$2:$S$750,236))=0,"",INDEX(Data!$B$2:$B$750,SMALL(Data!$S$2:$S$750,236))),"")</f>
        <v>jarltech</v>
      </c>
      <c r="D342" s="56" t="str">
        <f t="array" ref="D342">IFERROR(INDEX(Data!$C$2:$C$750,SMALL(Data!$S$2:$S$750,236)),"")</f>
        <v>Zebra 800011-140 Color Ribbon YMCKO</v>
      </c>
      <c r="E342" s="56">
        <f t="array" ref="E342">IFERROR(IF(INDEX(Data!$D$2:$D$750,SMALL(Data!$S$2:$S$750,236))=0,"",INDEX(Data!$D$2:$D$750,SMALL(Data!$S$2:$S$750,236))),"")</f>
        <v>10</v>
      </c>
      <c r="F342" s="57">
        <f t="array" ref="F342">IFERROR(IF(INDEX(Data!$E$2:$E$750,SMALL(Data!$S$2:$S$750,236))=0,"",INDEX(Data!$E$2:$E$750,SMALL(Data!$S$2:$S$750,236))),"")</f>
        <v>231</v>
      </c>
      <c r="G342" s="57">
        <f t="array" ref="G342">IFERROR(INDEX(Data!$F$2:$F$750,SMALL(Data!$S$2:$S$750,236)),"")</f>
        <v>2310</v>
      </c>
      <c r="H342" s="58">
        <f t="array" ref="H342">IFERROR(IF(INDEX(Data!$G$2:$G$750,SMALL(Data!$S$2:$S$750,236))=0,"",INDEX(Data!$G$2:$G$750,SMALL(Data!$S$2:$S$750,236))),"")</f>
        <v>46179</v>
      </c>
      <c r="I342" s="56">
        <f t="array" ref="I342">IFERROR(IF(INDEX(Data!$H$2:$H$750,SMALL(Data!$S$2:$S$750,236))=0,"",INDEX(Data!$H$2:$H$750,SMALL(Data!$S$2:$S$750,236))),"")</f>
        <v>4</v>
      </c>
      <c r="J342" s="58">
        <f t="array" ref="J342">IFERROR(INDEX(Data!$I$2:$I$750,SMALL(Data!$S$2:$S$750,236)),"")</f>
        <v>46207</v>
      </c>
      <c r="K342" s="56" t="str">
        <f t="array" ref="K342">IFERROR(INDEX(Data!$J$2:$J$750,SMALL(Data!$S$2:$S$750,236)),"")</f>
        <v>Not Paid</v>
      </c>
      <c r="L342" s="56" t="str">
        <f t="array" ref="L342">IFERROR(INDEX(Data!$K$2:$K$750,SMALL(Data!$S$2:$S$750,236)),"")</f>
        <v>Pending</v>
      </c>
      <c r="M342" s="48" t="s">
        <v>391</v>
      </c>
      <c r="N342" s="48">
        <f>SUMIFS(Data!D2:D750,Data!C2:C750,M342,Data!N2:N750,1)</f>
        <v>8</v>
      </c>
    </row>
    <row r="343" ht="15.75" customHeight="1">
      <c r="B343" s="53" t="str">
        <f t="array" ref="B343">IFERROR(INDEX(Data!$A$2:$A$750,SMALL(Data!$S$2:$S$750,237)),"")</f>
        <v>Egyptian Steel</v>
      </c>
      <c r="C343" s="53" t="str">
        <f t="array" ref="C343">IFERROR(IF(INDEX(Data!$B$2:$B$750,SMALL(Data!$S$2:$S$750,237))=0,"",INDEX(Data!$B$2:$B$750,SMALL(Data!$S$2:$S$750,237))),"")</f>
        <v/>
      </c>
      <c r="D343" s="59" t="str">
        <f t="array" ref="D343">IFERROR(INDEX(Data!$C$2:$C$750,SMALL(Data!$S$2:$S$750,237)),"")</f>
        <v>Mifare HF cards:
Pre-printed&amp;Pre-encoded</v>
      </c>
      <c r="E343" s="53">
        <f t="array" ref="E343">IFERROR(IF(INDEX(Data!$D$2:$D$750,SMALL(Data!$S$2:$S$750,237))=0,"",INDEX(Data!$D$2:$D$750,SMALL(Data!$S$2:$S$750,237))),"")</f>
        <v>500</v>
      </c>
      <c r="F343" s="54">
        <f t="array" ref="F343">IFERROR(IF(INDEX(Data!$E$2:$E$750,SMALL(Data!$S$2:$S$750,237))=0,"",INDEX(Data!$E$2:$E$750,SMALL(Data!$S$2:$S$750,237))),"")</f>
        <v>25</v>
      </c>
      <c r="G343" s="54">
        <f t="array" ref="G343">IFERROR(INDEX(Data!$F$2:$F$750,SMALL(Data!$S$2:$S$750,237)),"")</f>
        <v>12500</v>
      </c>
      <c r="H343" s="55">
        <f t="array" ref="H343">IFERROR(IF(INDEX(Data!$G$2:$G$750,SMALL(Data!$S$2:$S$750,237))=0,"",INDEX(Data!$G$2:$G$750,SMALL(Data!$S$2:$S$750,237))),"")</f>
        <v>46180</v>
      </c>
      <c r="I343" s="53">
        <f t="array" ref="I343">IFERROR(IF(INDEX(Data!$H$2:$H$750,SMALL(Data!$S$2:$S$750,237))=0,"",INDEX(Data!$H$2:$H$750,SMALL(Data!$S$2:$S$750,237))),"")</f>
        <v>7</v>
      </c>
      <c r="J343" s="55">
        <f t="array" ref="J343">IFERROR(INDEX(Data!$I$2:$I$750,SMALL(Data!$S$2:$S$750,237)),"")</f>
        <v>46229</v>
      </c>
      <c r="K343" s="53" t="str">
        <f t="array" ref="K343">IFERROR(INDEX(Data!$J$2:$J$750,SMALL(Data!$S$2:$S$750,237)),"")</f>
        <v>Not Paid</v>
      </c>
      <c r="L343" s="53" t="str">
        <f t="array" ref="L343">IFERROR(INDEX(Data!$K$2:$K$750,SMALL(Data!$S$2:$S$750,237)),"")</f>
        <v>Pending</v>
      </c>
      <c r="M343" s="48" t="s">
        <v>473</v>
      </c>
      <c r="N343" s="48">
        <f>SUMIFS(Data!D2:D750,Data!C2:C750,M343,Data!N2:N750,1)</f>
        <v>4</v>
      </c>
    </row>
    <row r="344" ht="15.75" customHeight="1">
      <c r="B344" s="56" t="str">
        <f t="array" ref="B344">IFERROR(INDEX(Data!$A$2:$A$750,SMALL(Data!$S$2:$S$750,238)),"")</f>
        <v>Egyptian Steel</v>
      </c>
      <c r="C344" s="56" t="str">
        <f t="array" ref="C344">IFERROR(IF(INDEX(Data!$B$2:$B$750,SMALL(Data!$S$2:$S$750,238))=0,"",INDEX(Data!$B$2:$B$750,SMALL(Data!$S$2:$S$750,238))),"")</f>
        <v/>
      </c>
      <c r="D344" s="60" t="str">
        <f t="array" ref="D344">IFERROR(INDEX(Data!$C$2:$C$750,SMALL(Data!$S$2:$S$750,238)),"")</f>
        <v>UHF cards:
Pre-printed&amp;Pre-encoded</v>
      </c>
      <c r="E344" s="56">
        <f t="array" ref="E344">IFERROR(IF(INDEX(Data!$D$2:$D$750,SMALL(Data!$S$2:$S$750,238))=0,"",INDEX(Data!$D$2:$D$750,SMALL(Data!$S$2:$S$750,238))),"")</f>
        <v>100</v>
      </c>
      <c r="F344" s="57">
        <f t="array" ref="F344">IFERROR(IF(INDEX(Data!$E$2:$E$750,SMALL(Data!$S$2:$S$750,238))=0,"",INDEX(Data!$E$2:$E$750,SMALL(Data!$S$2:$S$750,238))),"")</f>
        <v>245</v>
      </c>
      <c r="G344" s="57">
        <f t="array" ref="G344">IFERROR(INDEX(Data!$F$2:$F$750,SMALL(Data!$S$2:$S$750,238)),"")</f>
        <v>24500</v>
      </c>
      <c r="H344" s="58">
        <f t="array" ref="H344">IFERROR(IF(INDEX(Data!$G$2:$G$750,SMALL(Data!$S$2:$S$750,238))=0,"",INDEX(Data!$G$2:$G$750,SMALL(Data!$S$2:$S$750,238))),"")</f>
        <v>46181</v>
      </c>
      <c r="I344" s="56">
        <f t="array" ref="I344">IFERROR(IF(INDEX(Data!$H$2:$H$750,SMALL(Data!$S$2:$S$750,238))=0,"",INDEX(Data!$H$2:$H$750,SMALL(Data!$S$2:$S$750,238))),"")</f>
        <v>5</v>
      </c>
      <c r="J344" s="58">
        <f t="array" ref="J344">IFERROR(INDEX(Data!$I$2:$I$750,SMALL(Data!$S$2:$S$750,238)),"")</f>
        <v>46216</v>
      </c>
      <c r="K344" s="56" t="str">
        <f t="array" ref="K344">IFERROR(INDEX(Data!$J$2:$J$750,SMALL(Data!$S$2:$S$750,238)),"")</f>
        <v>Not Paid</v>
      </c>
      <c r="L344" s="56" t="str">
        <f t="array" ref="L344">IFERROR(INDEX(Data!$K$2:$K$750,SMALL(Data!$S$2:$S$750,238)),"")</f>
        <v>Pending</v>
      </c>
      <c r="M344" s="48" t="s">
        <v>465</v>
      </c>
      <c r="N344" s="48">
        <f>SUMIFS(Data!D2:D750,Data!C2:C750,M344,Data!N2:N750,1)</f>
        <v>2</v>
      </c>
    </row>
    <row r="345" ht="15.75" customHeight="1">
      <c r="B345" s="53" t="str">
        <f t="array" ref="B345">IFERROR(INDEX(Data!$A$2:$A$750,SMALL(Data!$S$2:$S$750,239)),"")</f>
        <v>Heliopollis Residence</v>
      </c>
      <c r="C345" s="53" t="str">
        <f t="array" ref="C345">IFERROR(IF(INDEX(Data!$B$2:$B$750,SMALL(Data!$S$2:$S$750,239))=0,"",INDEX(Data!$B$2:$B$750,SMALL(Data!$S$2:$S$750,239))),"")</f>
        <v/>
      </c>
      <c r="D345" s="53" t="str">
        <f t="array" ref="D345">IFERROR(INDEX(Data!$C$2:$C$750,SMALL(Data!$S$2:$S$750,239)),"")</f>
        <v>RIB Barrier Rapid S (4m boom)</v>
      </c>
      <c r="E345" s="53">
        <f t="array" ref="E345">IFERROR(IF(INDEX(Data!$D$2:$D$750,SMALL(Data!$S$2:$S$750,239))=0,"",INDEX(Data!$D$2:$D$750,SMALL(Data!$S$2:$S$750,239))),"")</f>
        <v>2</v>
      </c>
      <c r="F345" s="54">
        <f t="array" ref="F345">IFERROR(IF(INDEX(Data!$E$2:$E$750,SMALL(Data!$S$2:$S$750,239))=0,"",INDEX(Data!$E$2:$E$750,SMALL(Data!$S$2:$S$750,239))),"")</f>
        <v>2555</v>
      </c>
      <c r="G345" s="54">
        <f t="array" ref="G345">IFERROR(INDEX(Data!$F$2:$F$750,SMALL(Data!$S$2:$S$750,239)),"")</f>
        <v>5110</v>
      </c>
      <c r="H345" s="55">
        <f t="array" ref="H345">IFERROR(IF(INDEX(Data!$G$2:$G$750,SMALL(Data!$S$2:$S$750,239))=0,"",INDEX(Data!$G$2:$G$750,SMALL(Data!$S$2:$S$750,239))),"")</f>
        <v>46182</v>
      </c>
      <c r="I345" s="53">
        <f t="array" ref="I345">IFERROR(IF(INDEX(Data!$H$2:$H$750,SMALL(Data!$S$2:$S$750,239))=0,"",INDEX(Data!$H$2:$H$750,SMALL(Data!$S$2:$S$750,239))),"")</f>
        <v>8</v>
      </c>
      <c r="J345" s="55">
        <f t="array" ref="J345">IFERROR(INDEX(Data!$I$2:$I$750,SMALL(Data!$S$2:$S$750,239)),"")</f>
        <v>46238</v>
      </c>
      <c r="K345" s="53" t="str">
        <f t="array" ref="K345">IFERROR(INDEX(Data!$J$2:$J$750,SMALL(Data!$S$2:$S$750,239)),"")</f>
        <v>Not Paid</v>
      </c>
      <c r="L345" s="53" t="str">
        <f t="array" ref="L345">IFERROR(INDEX(Data!$K$2:$K$750,SMALL(Data!$S$2:$S$750,239)),"")</f>
        <v>Pending</v>
      </c>
      <c r="M345" s="48" t="s">
        <v>600</v>
      </c>
      <c r="N345" s="48">
        <f>SUMIFS(Data!D2:D750,Data!C2:C750,M345,Data!N2:N750,1)</f>
        <v>34</v>
      </c>
    </row>
    <row r="346" ht="15.75" customHeight="1">
      <c r="B346" s="56" t="str">
        <f t="array" ref="B346">IFERROR(INDEX(Data!$A$2:$A$750,SMALL(Data!$S$2:$S$750,240)),"")</f>
        <v>Diamond Palace</v>
      </c>
      <c r="C346" s="56" t="str">
        <f t="array" ref="C346">IFERROR(IF(INDEX(Data!$B$2:$B$750,SMALL(Data!$S$2:$S$750,240))=0,"",INDEX(Data!$B$2:$B$750,SMALL(Data!$S$2:$S$750,240))),"")</f>
        <v/>
      </c>
      <c r="D346" s="56" t="str">
        <f t="array" ref="D346">IFERROR(INDEX(Data!$C$2:$C$750,SMALL(Data!$S$2:$S$750,240)),"")</f>
        <v>Zebra Ribbon Roll</v>
      </c>
      <c r="E346" s="56">
        <f t="array" ref="E346">IFERROR(IF(INDEX(Data!$D$2:$D$750,SMALL(Data!$S$2:$S$750,240))=0,"",INDEX(Data!$D$2:$D$750,SMALL(Data!$S$2:$S$750,240))),"")</f>
        <v>6</v>
      </c>
      <c r="F346" s="57">
        <f t="array" ref="F346">IFERROR(IF(INDEX(Data!$E$2:$E$750,SMALL(Data!$S$2:$S$750,240))=0,"",INDEX(Data!$E$2:$E$750,SMALL(Data!$S$2:$S$750,240))),"")</f>
        <v>255</v>
      </c>
      <c r="G346" s="57">
        <f t="array" ref="G346">IFERROR(INDEX(Data!$F$2:$F$750,SMALL(Data!$S$2:$S$750,240)),"")</f>
        <v>1530</v>
      </c>
      <c r="H346" s="58">
        <f t="array" ref="H346">IFERROR(IF(INDEX(Data!$G$2:$G$750,SMALL(Data!$S$2:$S$750,240))=0,"",INDEX(Data!$G$2:$G$750,SMALL(Data!$S$2:$S$750,240))),"")</f>
        <v>46183</v>
      </c>
      <c r="I346" s="56">
        <f t="array" ref="I346">IFERROR(IF(INDEX(Data!$H$2:$H$750,SMALL(Data!$S$2:$S$750,240))=0,"",INDEX(Data!$H$2:$H$750,SMALL(Data!$S$2:$S$750,240))),"")</f>
        <v>5</v>
      </c>
      <c r="J346" s="58">
        <f t="array" ref="J346">IFERROR(INDEX(Data!$I$2:$I$750,SMALL(Data!$S$2:$S$750,240)),"")</f>
        <v>46218</v>
      </c>
      <c r="K346" s="56" t="str">
        <f t="array" ref="K346">IFERROR(INDEX(Data!$J$2:$J$750,SMALL(Data!$S$2:$S$750,240)),"")</f>
        <v>Not Paid</v>
      </c>
      <c r="L346" s="56" t="str">
        <f t="array" ref="L346">IFERROR(INDEX(Data!$K$2:$K$750,SMALL(Data!$S$2:$S$750,240)),"")</f>
        <v>Pending</v>
      </c>
      <c r="M346" s="48" t="s">
        <v>107</v>
      </c>
      <c r="N346" s="48">
        <f>SUMIFS(Data!D2:D750,Data!C2:C750,M346,Data!N2:N750,1)</f>
        <v>1</v>
      </c>
    </row>
    <row r="347" ht="15.75" customHeight="1">
      <c r="B347" s="53" t="str">
        <f t="array" ref="B347">IFERROR(INDEX(Data!$A$2:$A$750,SMALL(Data!$S$2:$S$750,241)),"")</f>
        <v>Diamond Palace</v>
      </c>
      <c r="C347" s="53" t="str">
        <f t="array" ref="C347">IFERROR(IF(INDEX(Data!$B$2:$B$750,SMALL(Data!$S$2:$S$750,241))=0,"",INDEX(Data!$B$2:$B$750,SMALL(Data!$S$2:$S$750,241))),"")</f>
        <v/>
      </c>
      <c r="D347" s="53" t="str">
        <f t="array" ref="D347">IFERROR(INDEX(Data!$C$2:$C$750,SMALL(Data!$S$2:$S$750,241)),"")</f>
        <v>Zebra Rattail Label Tag</v>
      </c>
      <c r="E347" s="53">
        <f t="array" ref="E347">IFERROR(IF(INDEX(Data!$D$2:$D$750,SMALL(Data!$S$2:$S$750,241))=0,"",INDEX(Data!$D$2:$D$750,SMALL(Data!$S$2:$S$750,241))),"")</f>
        <v>6</v>
      </c>
      <c r="F347" s="54">
        <f t="array" ref="F347">IFERROR(IF(INDEX(Data!$E$2:$E$750,SMALL(Data!$S$2:$S$750,241))=0,"",INDEX(Data!$E$2:$E$750,SMALL(Data!$S$2:$S$750,241))),"")</f>
        <v>45</v>
      </c>
      <c r="G347" s="54">
        <f t="array" ref="G347">IFERROR(INDEX(Data!$F$2:$F$750,SMALL(Data!$S$2:$S$750,241)),"")</f>
        <v>270</v>
      </c>
      <c r="H347" s="55">
        <f t="array" ref="H347">IFERROR(IF(INDEX(Data!$G$2:$G$750,SMALL(Data!$S$2:$S$750,241))=0,"",INDEX(Data!$G$2:$G$750,SMALL(Data!$S$2:$S$750,241))),"")</f>
        <v>46184</v>
      </c>
      <c r="I347" s="53">
        <f t="array" ref="I347">IFERROR(IF(INDEX(Data!$H$2:$H$750,SMALL(Data!$S$2:$S$750,241))=0,"",INDEX(Data!$H$2:$H$750,SMALL(Data!$S$2:$S$750,241))),"")</f>
        <v>6</v>
      </c>
      <c r="J347" s="55">
        <f t="array" ref="J347">IFERROR(INDEX(Data!$I$2:$I$750,SMALL(Data!$S$2:$S$750,241)),"")</f>
        <v>46226</v>
      </c>
      <c r="K347" s="53" t="str">
        <f t="array" ref="K347">IFERROR(INDEX(Data!$J$2:$J$750,SMALL(Data!$S$2:$S$750,241)),"")</f>
        <v>Not Paid</v>
      </c>
      <c r="L347" s="53" t="str">
        <f t="array" ref="L347">IFERROR(INDEX(Data!$K$2:$K$750,SMALL(Data!$S$2:$S$750,241)),"")</f>
        <v>Pending</v>
      </c>
      <c r="M347" s="48" t="s">
        <v>639</v>
      </c>
      <c r="N347" s="48">
        <f>SUMIFS(Data!D2:D750,Data!C2:C750,M347,Data!N2:N750,1)</f>
        <v>21500</v>
      </c>
    </row>
    <row r="348" ht="15.75" customHeight="1">
      <c r="B348" s="56" t="str">
        <f t="array" ref="B348">IFERROR(INDEX(Data!$A$2:$A$750,SMALL(Data!$S$2:$S$750,242)),"")</f>
        <v>Diamond Palace</v>
      </c>
      <c r="C348" s="56" t="str">
        <f t="array" ref="C348">IFERROR(IF(INDEX(Data!$B$2:$B$750,SMALL(Data!$S$2:$S$750,242))=0,"",INDEX(Data!$B$2:$B$750,SMALL(Data!$S$2:$S$750,242))),"")</f>
        <v/>
      </c>
      <c r="D348" s="56" t="str">
        <f t="array" ref="D348">IFERROR(INDEX(Data!$C$2:$C$750,SMALL(Data!$S$2:$S$750,242)),"")</f>
        <v>R333A Ribbons</v>
      </c>
      <c r="E348" s="56">
        <f t="array" ref="E348">IFERROR(IF(INDEX(Data!$D$2:$D$750,SMALL(Data!$S$2:$S$750,242))=0,"",INDEX(Data!$D$2:$D$750,SMALL(Data!$S$2:$S$750,242))),"")</f>
        <v>2</v>
      </c>
      <c r="F348" s="57">
        <f t="array" ref="F348">IFERROR(IF(INDEX(Data!$E$2:$E$750,SMALL(Data!$S$2:$S$750,242))=0,"",INDEX(Data!$E$2:$E$750,SMALL(Data!$S$2:$S$750,242))),"")</f>
        <v>36</v>
      </c>
      <c r="G348" s="57">
        <f t="array" ref="G348">IFERROR(INDEX(Data!$F$2:$F$750,SMALL(Data!$S$2:$S$750,242)),"")</f>
        <v>72</v>
      </c>
      <c r="H348" s="58">
        <f t="array" ref="H348">IFERROR(IF(INDEX(Data!$G$2:$G$750,SMALL(Data!$S$2:$S$750,242))=0,"",INDEX(Data!$G$2:$G$750,SMALL(Data!$S$2:$S$750,242))),"")</f>
        <v>46185</v>
      </c>
      <c r="I348" s="56">
        <f t="array" ref="I348">IFERROR(IF(INDEX(Data!$H$2:$H$750,SMALL(Data!$S$2:$S$750,242))=0,"",INDEX(Data!$H$2:$H$750,SMALL(Data!$S$2:$S$750,242))),"")</f>
        <v>9</v>
      </c>
      <c r="J348" s="58">
        <f t="array" ref="J348">IFERROR(INDEX(Data!$I$2:$I$750,SMALL(Data!$S$2:$S$750,242)),"")</f>
        <v>46248</v>
      </c>
      <c r="K348" s="56" t="str">
        <f t="array" ref="K348">IFERROR(INDEX(Data!$J$2:$J$750,SMALL(Data!$S$2:$S$750,242)),"")</f>
        <v>Not Paid</v>
      </c>
      <c r="L348" s="56" t="str">
        <f t="array" ref="L348">IFERROR(INDEX(Data!$K$2:$K$750,SMALL(Data!$S$2:$S$750,242)),"")</f>
        <v>Pending</v>
      </c>
      <c r="M348" s="48" t="s">
        <v>542</v>
      </c>
      <c r="N348" s="48">
        <f>SUMIFS(Data!D2:D750,Data!C2:C750,M348,Data!N2:N750,1)</f>
        <v>1</v>
      </c>
    </row>
    <row r="349" ht="15.75" customHeight="1">
      <c r="B349" s="53" t="str">
        <f t="array" ref="B349">IFERROR(INDEX(Data!$A$2:$A$750,SMALL(Data!$S$2:$S$750,243)),"")</f>
        <v>Diamond Palace</v>
      </c>
      <c r="C349" s="53" t="str">
        <f t="array" ref="C349">IFERROR(IF(INDEX(Data!$B$2:$B$750,SMALL(Data!$S$2:$S$750,243))=0,"",INDEX(Data!$B$2:$B$750,SMALL(Data!$S$2:$S$750,243))),"")</f>
        <v/>
      </c>
      <c r="D349" s="53" t="str">
        <f t="array" ref="D349">IFERROR(INDEX(Data!$C$2:$C$750,SMALL(Data!$S$2:$S$750,243)),"")</f>
        <v>UHF jewelry tag with NXP Ucode 8</v>
      </c>
      <c r="E349" s="53">
        <f t="array" ref="E349">IFERROR(IF(INDEX(Data!$D$2:$D$750,SMALL(Data!$S$2:$S$750,243))=0,"",INDEX(Data!$D$2:$D$750,SMALL(Data!$S$2:$S$750,243))),"")</f>
        <v>2</v>
      </c>
      <c r="F349" s="54">
        <f t="array" ref="F349">IFERROR(IF(INDEX(Data!$E$2:$E$750,SMALL(Data!$S$2:$S$750,243))=0,"",INDEX(Data!$E$2:$E$750,SMALL(Data!$S$2:$S$750,243))),"")</f>
        <v>96</v>
      </c>
      <c r="G349" s="54">
        <f t="array" ref="G349">IFERROR(INDEX(Data!$F$2:$F$750,SMALL(Data!$S$2:$S$750,243)),"")</f>
        <v>192</v>
      </c>
      <c r="H349" s="55">
        <f t="array" ref="H349">IFERROR(IF(INDEX(Data!$G$2:$G$750,SMALL(Data!$S$2:$S$750,243))=0,"",INDEX(Data!$G$2:$G$750,SMALL(Data!$S$2:$S$750,243))),"")</f>
        <v>46186</v>
      </c>
      <c r="I349" s="53">
        <f t="array" ref="I349">IFERROR(IF(INDEX(Data!$H$2:$H$750,SMALL(Data!$S$2:$S$750,243))=0,"",INDEX(Data!$H$2:$H$750,SMALL(Data!$S$2:$S$750,243))),"")</f>
        <v>9</v>
      </c>
      <c r="J349" s="55">
        <f t="array" ref="J349">IFERROR(INDEX(Data!$I$2:$I$750,SMALL(Data!$S$2:$S$750,243)),"")</f>
        <v>46249</v>
      </c>
      <c r="K349" s="53" t="str">
        <f t="array" ref="K349">IFERROR(INDEX(Data!$J$2:$J$750,SMALL(Data!$S$2:$S$750,243)),"")</f>
        <v>Not Paid</v>
      </c>
      <c r="L349" s="53" t="str">
        <f t="array" ref="L349">IFERROR(INDEX(Data!$K$2:$K$750,SMALL(Data!$S$2:$S$750,243)),"")</f>
        <v>Pending</v>
      </c>
      <c r="M349" s="48" t="s">
        <v>287</v>
      </c>
      <c r="N349" s="48">
        <f>SUMIFS(Data!D2:D750,Data!C2:C750,M349,Data!N2:N750,1)</f>
        <v>2</v>
      </c>
    </row>
    <row r="350" ht="15.75" customHeight="1">
      <c r="B350" s="56" t="str">
        <f t="array" ref="B350">IFERROR(INDEX(Data!$A$2:$A$750,SMALL(Data!$S$2:$S$750,244)),"")</f>
        <v>DOIT</v>
      </c>
      <c r="C350" s="56" t="str">
        <f t="array" ref="C350">IFERROR(IF(INDEX(Data!$B$2:$B$750,SMALL(Data!$S$2:$S$750,244))=0,"",INDEX(Data!$B$2:$B$750,SMALL(Data!$S$2:$S$750,244))),"")</f>
        <v/>
      </c>
      <c r="D350" s="56" t="str">
        <f t="array" ref="D350">IFERROR(INDEX(Data!$C$2:$C$750,SMALL(Data!$S$2:$S$750,244)),"")</f>
        <v>RFID Industrial Printer CL4NX Plus</v>
      </c>
      <c r="E350" s="56">
        <f t="array" ref="E350">IFERROR(IF(INDEX(Data!$D$2:$D$750,SMALL(Data!$S$2:$S$750,244))=0,"",INDEX(Data!$D$2:$D$750,SMALL(Data!$S$2:$S$750,244))),"")</f>
        <v>1</v>
      </c>
      <c r="F350" s="57">
        <f t="array" ref="F350">IFERROR(IF(INDEX(Data!$E$2:$E$750,SMALL(Data!$S$2:$S$750,244))=0,"",INDEX(Data!$E$2:$E$750,SMALL(Data!$S$2:$S$750,244))),"")</f>
        <v>8</v>
      </c>
      <c r="G350" s="57">
        <f t="array" ref="G350">IFERROR(INDEX(Data!$F$2:$F$750,SMALL(Data!$S$2:$S$750,244)),"")</f>
        <v>8</v>
      </c>
      <c r="H350" s="58">
        <f t="array" ref="H350">IFERROR(IF(INDEX(Data!$G$2:$G$750,SMALL(Data!$S$2:$S$750,244))=0,"",INDEX(Data!$G$2:$G$750,SMALL(Data!$S$2:$S$750,244))),"")</f>
        <v>46187</v>
      </c>
      <c r="I350" s="56">
        <f t="array" ref="I350">IFERROR(IF(INDEX(Data!$H$2:$H$750,SMALL(Data!$S$2:$S$750,244))=0,"",INDEX(Data!$H$2:$H$750,SMALL(Data!$S$2:$S$750,244))),"")</f>
        <v>9</v>
      </c>
      <c r="J350" s="58">
        <f t="array" ref="J350">IFERROR(INDEX(Data!$I$2:$I$750,SMALL(Data!$S$2:$S$750,244)),"")</f>
        <v>46250</v>
      </c>
      <c r="K350" s="56" t="str">
        <f t="array" ref="K350">IFERROR(INDEX(Data!$J$2:$J$750,SMALL(Data!$S$2:$S$750,244)),"")</f>
        <v>Not Paid</v>
      </c>
      <c r="L350" s="56" t="str">
        <f t="array" ref="L350">IFERROR(INDEX(Data!$K$2:$K$750,SMALL(Data!$S$2:$S$750,244)),"")</f>
        <v>Pending</v>
      </c>
      <c r="M350" s="48" t="s">
        <v>115</v>
      </c>
      <c r="N350" s="48">
        <f>SUMIFS(Data!D2:D750,Data!C2:C750,M350,Data!N2:N750,1)</f>
        <v>2</v>
      </c>
    </row>
    <row r="351" ht="15.75" customHeight="1">
      <c r="B351" s="53" t="str">
        <f t="array" ref="B351">IFERROR(INDEX(Data!$A$2:$A$750,SMALL(Data!$S$2:$S$750,245)),"")</f>
        <v>DOIT</v>
      </c>
      <c r="C351" s="53" t="str">
        <f t="array" ref="C351">IFERROR(IF(INDEX(Data!$B$2:$B$750,SMALL(Data!$S$2:$S$750,245))=0,"",INDEX(Data!$B$2:$B$750,SMALL(Data!$S$2:$S$750,245))),"")</f>
        <v/>
      </c>
      <c r="D351" s="53" t="str">
        <f t="array" ref="D351">IFERROR(INDEX(Data!$C$2:$C$750,SMALL(Data!$S$2:$S$750,245)),"")</f>
        <v>Ribbons for SATO Industrial Printer</v>
      </c>
      <c r="E351" s="53">
        <f t="array" ref="E351">IFERROR(IF(INDEX(Data!$D$2:$D$750,SMALL(Data!$S$2:$S$750,245))=0,"",INDEX(Data!$D$2:$D$750,SMALL(Data!$S$2:$S$750,245))),"")</f>
        <v>1</v>
      </c>
      <c r="F351" s="54">
        <f t="array" ref="F351">IFERROR(IF(INDEX(Data!$E$2:$E$750,SMALL(Data!$S$2:$S$750,245))=0,"",INDEX(Data!$E$2:$E$750,SMALL(Data!$S$2:$S$750,245))),"")</f>
        <v>5</v>
      </c>
      <c r="G351" s="54">
        <f t="array" ref="G351">IFERROR(INDEX(Data!$F$2:$F$750,SMALL(Data!$S$2:$S$750,245)),"")</f>
        <v>5</v>
      </c>
      <c r="H351" s="55">
        <f t="array" ref="H351">IFERROR(IF(INDEX(Data!$G$2:$G$750,SMALL(Data!$S$2:$S$750,245))=0,"",INDEX(Data!$G$2:$G$750,SMALL(Data!$S$2:$S$750,245))),"")</f>
        <v>46188</v>
      </c>
      <c r="I351" s="53">
        <f t="array" ref="I351">IFERROR(IF(INDEX(Data!$H$2:$H$750,SMALL(Data!$S$2:$S$750,245))=0,"",INDEX(Data!$H$2:$H$750,SMALL(Data!$S$2:$S$750,245))),"")</f>
        <v>9</v>
      </c>
      <c r="J351" s="55">
        <f t="array" ref="J351">IFERROR(INDEX(Data!$I$2:$I$750,SMALL(Data!$S$2:$S$750,245)),"")</f>
        <v>46251</v>
      </c>
      <c r="K351" s="53" t="str">
        <f t="array" ref="K351">IFERROR(INDEX(Data!$J$2:$J$750,SMALL(Data!$S$2:$S$750,245)),"")</f>
        <v>Not Paid</v>
      </c>
      <c r="L351" s="53" t="str">
        <f t="array" ref="L351">IFERROR(INDEX(Data!$K$2:$K$750,SMALL(Data!$S$2:$S$750,245)),"")</f>
        <v>Pending</v>
      </c>
      <c r="M351" s="48" t="s">
        <v>570</v>
      </c>
      <c r="N351" s="48">
        <f>SUMIFS(Data!D2:D750,Data!C2:C750,M351,Data!N2:N750,1)</f>
        <v>4000</v>
      </c>
    </row>
    <row r="352" ht="15.75" customHeight="1">
      <c r="B352" s="56" t="str">
        <f t="array" ref="B352">IFERROR(INDEX(Data!$A$2:$A$750,SMALL(Data!$S$2:$S$750,246)),"")</f>
        <v>The Sovereign Fund of Egypt</v>
      </c>
      <c r="C352" s="56" t="str">
        <f t="array" ref="C352">IFERROR(IF(INDEX(Data!$B$2:$B$750,SMALL(Data!$S$2:$S$750,246))=0,"",INDEX(Data!$B$2:$B$750,SMALL(Data!$S$2:$S$750,246))),"")</f>
        <v/>
      </c>
      <c r="D352" s="56" t="str">
        <f t="array" ref="D352">IFERROR(INDEX(Data!$C$2:$C$750,SMALL(Data!$S$2:$S$750,246)),"")</f>
        <v>[EG-437750582-001] LF Cards- Printed</v>
      </c>
      <c r="E352" s="56">
        <f t="array" ref="E352">IFERROR(IF(INDEX(Data!$D$2:$D$750,SMALL(Data!$S$2:$S$750,246))=0,"",INDEX(Data!$D$2:$D$750,SMALL(Data!$S$2:$S$750,246))),"")</f>
        <v>4</v>
      </c>
      <c r="F352" s="57">
        <f t="array" ref="F352">IFERROR(IF(INDEX(Data!$E$2:$E$750,SMALL(Data!$S$2:$S$750,246))=0,"",INDEX(Data!$E$2:$E$750,SMALL(Data!$S$2:$S$750,246))),"")</f>
        <v>4</v>
      </c>
      <c r="G352" s="57">
        <f t="array" ref="G352">IFERROR(INDEX(Data!$F$2:$F$750,SMALL(Data!$S$2:$S$750,246)),"")</f>
        <v>16</v>
      </c>
      <c r="H352" s="58">
        <f t="array" ref="H352">IFERROR(IF(INDEX(Data!$G$2:$G$750,SMALL(Data!$S$2:$S$750,246))=0,"",INDEX(Data!$G$2:$G$750,SMALL(Data!$S$2:$S$750,246))),"")</f>
        <v>46189</v>
      </c>
      <c r="I352" s="56">
        <f t="array" ref="I352">IFERROR(IF(INDEX(Data!$H$2:$H$750,SMALL(Data!$S$2:$S$750,246))=0,"",INDEX(Data!$H$2:$H$750,SMALL(Data!$S$2:$S$750,246))),"")</f>
        <v>9</v>
      </c>
      <c r="J352" s="58">
        <f t="array" ref="J352">IFERROR(INDEX(Data!$I$2:$I$750,SMALL(Data!$S$2:$S$750,246)),"")</f>
        <v>46252</v>
      </c>
      <c r="K352" s="56" t="str">
        <f t="array" ref="K352">IFERROR(INDEX(Data!$J$2:$J$750,SMALL(Data!$S$2:$S$750,246)),"")</f>
        <v>Not Paid</v>
      </c>
      <c r="L352" s="56" t="str">
        <f t="array" ref="L352">IFERROR(INDEX(Data!$K$2:$K$750,SMALL(Data!$S$2:$S$750,246)),"")</f>
        <v>Pending</v>
      </c>
      <c r="M352" s="48" t="s">
        <v>535</v>
      </c>
      <c r="N352" s="48">
        <f>SUMIFS(Data!D2:D750,Data!C2:C750,M352,Data!N2:N750,1)</f>
        <v>380</v>
      </c>
    </row>
    <row r="353" ht="15.75" customHeight="1">
      <c r="B353" s="53" t="str">
        <f t="array" ref="B353">IFERROR(INDEX(Data!$A$2:$A$750,SMALL(Data!$S$2:$S$750,247)),"")</f>
        <v>Venus Jewelry</v>
      </c>
      <c r="C353" s="53" t="str">
        <f t="array" ref="C353">IFERROR(IF(INDEX(Data!$B$2:$B$750,SMALL(Data!$S$2:$S$750,247))=0,"",INDEX(Data!$B$2:$B$750,SMALL(Data!$S$2:$S$750,247))),"")</f>
        <v/>
      </c>
      <c r="D353" s="53" t="str">
        <f t="array" ref="D353">IFERROR(INDEX(Data!$C$2:$C$750,SMALL(Data!$S$2:$S$750,247)),"")</f>
        <v>[RC9017-4] UHF jewelry tag with NXP Ucode 8</v>
      </c>
      <c r="E353" s="53">
        <f t="array" ref="E353">IFERROR(IF(INDEX(Data!$D$2:$D$750,SMALL(Data!$S$2:$S$750,247))=0,"",INDEX(Data!$D$2:$D$750,SMALL(Data!$S$2:$S$750,247))),"")</f>
        <v>1</v>
      </c>
      <c r="F353" s="54">
        <f t="array" ref="F353">IFERROR(IF(INDEX(Data!$E$2:$E$750,SMALL(Data!$S$2:$S$750,247))=0,"",INDEX(Data!$E$2:$E$750,SMALL(Data!$S$2:$S$750,247))),"")</f>
        <v>2</v>
      </c>
      <c r="G353" s="54">
        <f t="array" ref="G353">IFERROR(INDEX(Data!$F$2:$F$750,SMALL(Data!$S$2:$S$750,247)),"")</f>
        <v>2</v>
      </c>
      <c r="H353" s="55">
        <f t="array" ref="H353">IFERROR(IF(INDEX(Data!$G$2:$G$750,SMALL(Data!$S$2:$S$750,247))=0,"",INDEX(Data!$G$2:$G$750,SMALL(Data!$S$2:$S$750,247))),"")</f>
        <v>46190</v>
      </c>
      <c r="I353" s="53">
        <f t="array" ref="I353">IFERROR(IF(INDEX(Data!$H$2:$H$750,SMALL(Data!$S$2:$S$750,247))=0,"",INDEX(Data!$H$2:$H$750,SMALL(Data!$S$2:$S$750,247))),"")</f>
        <v>7</v>
      </c>
      <c r="J353" s="55">
        <f t="array" ref="J353">IFERROR(INDEX(Data!$I$2:$I$750,SMALL(Data!$S$2:$S$750,247)),"")</f>
        <v>46239</v>
      </c>
      <c r="K353" s="53" t="str">
        <f t="array" ref="K353">IFERROR(INDEX(Data!$J$2:$J$750,SMALL(Data!$S$2:$S$750,247)),"")</f>
        <v>Not Paid</v>
      </c>
      <c r="L353" s="53" t="str">
        <f t="array" ref="L353">IFERROR(INDEX(Data!$K$2:$K$750,SMALL(Data!$S$2:$S$750,247)),"")</f>
        <v>Pending</v>
      </c>
      <c r="M353" s="48" t="s">
        <v>214</v>
      </c>
      <c r="N353" s="48">
        <f>SUMIFS(Data!D2:D750,Data!C2:C750,M353,Data!N2:N750,1)</f>
        <v>8</v>
      </c>
    </row>
    <row r="354" ht="15.75" customHeight="1">
      <c r="B354" s="56" t="str">
        <f t="array" ref="B354">IFERROR(INDEX(Data!$A$2:$A$750,SMALL(Data!$S$2:$S$750,248)),"")</f>
        <v>Pharma Overseas</v>
      </c>
      <c r="C354" s="56" t="str">
        <f t="array" ref="C354">IFERROR(IF(INDEX(Data!$B$2:$B$750,SMALL(Data!$S$2:$S$750,248))=0,"",INDEX(Data!$B$2:$B$750,SMALL(Data!$S$2:$S$750,248))),"")</f>
        <v/>
      </c>
      <c r="D354" s="56" t="str">
        <f t="array" ref="D354">IFERROR(INDEX(Data!$C$2:$C$750,SMALL(Data!$S$2:$S$750,248)),"")</f>
        <v>UHF Tags for Metal Assets (RCO7012)</v>
      </c>
      <c r="E354" s="56">
        <f t="array" ref="E354">IFERROR(IF(INDEX(Data!$D$2:$D$750,SMALL(Data!$S$2:$S$750,248))=0,"",INDEX(Data!$D$2:$D$750,SMALL(Data!$S$2:$S$750,248))),"")</f>
        <v>1000</v>
      </c>
      <c r="F354" s="57">
        <f t="array" ref="F354">IFERROR(IF(INDEX(Data!$E$2:$E$750,SMALL(Data!$S$2:$S$750,248))=0,"",INDEX(Data!$E$2:$E$750,SMALL(Data!$S$2:$S$750,248))),"")</f>
        <v>36</v>
      </c>
      <c r="G354" s="57">
        <f t="array" ref="G354">IFERROR(INDEX(Data!$F$2:$F$750,SMALL(Data!$S$2:$S$750,248)),"")</f>
        <v>36000</v>
      </c>
      <c r="H354" s="58">
        <f t="array" ref="H354">IFERROR(IF(INDEX(Data!$G$2:$G$750,SMALL(Data!$S$2:$S$750,248))=0,"",INDEX(Data!$G$2:$G$750,SMALL(Data!$S$2:$S$750,248))),"")</f>
        <v>46191</v>
      </c>
      <c r="I354" s="56">
        <f t="array" ref="I354">IFERROR(IF(INDEX(Data!$H$2:$H$750,SMALL(Data!$S$2:$S$750,248))=0,"",INDEX(Data!$H$2:$H$750,SMALL(Data!$S$2:$S$750,248))),"")</f>
        <v>10</v>
      </c>
      <c r="J354" s="58">
        <f t="array" ref="J354">IFERROR(INDEX(Data!$I$2:$I$750,SMALL(Data!$S$2:$S$750,248)),"")</f>
        <v>46261</v>
      </c>
      <c r="K354" s="56" t="str">
        <f t="array" ref="K354">IFERROR(INDEX(Data!$J$2:$J$750,SMALL(Data!$S$2:$S$750,248)),"")</f>
        <v>Not Paid</v>
      </c>
      <c r="L354" s="56" t="str">
        <f t="array" ref="L354">IFERROR(INDEX(Data!$K$2:$K$750,SMALL(Data!$S$2:$S$750,248)),"")</f>
        <v>Pending</v>
      </c>
      <c r="M354" s="48" t="s">
        <v>610</v>
      </c>
      <c r="N354" s="48">
        <f>SUMIFS(Data!D2:D750,Data!C2:C750,M354,Data!N2:N750,1)</f>
        <v>10000</v>
      </c>
    </row>
    <row r="355" ht="15.75" customHeight="1">
      <c r="B355" s="53" t="str">
        <f t="array" ref="B355">IFERROR(INDEX(Data!$A$2:$A$750,SMALL(Data!$S$2:$S$750,249)),"")</f>
        <v>Pharma Overseas</v>
      </c>
      <c r="C355" s="53" t="str">
        <f t="array" ref="C355">IFERROR(IF(INDEX(Data!$B$2:$B$750,SMALL(Data!$S$2:$S$750,249))=0,"",INDEX(Data!$B$2:$B$750,SMALL(Data!$S$2:$S$750,249))),"")</f>
        <v/>
      </c>
      <c r="D355" s="53" t="str">
        <f t="array" ref="D355">IFERROR(INDEX(Data!$C$2:$C$750,SMALL(Data!$S$2:$S$750,249)),"")</f>
        <v>RFID UHF Handheld (2 AT907) 1 AT909</v>
      </c>
      <c r="E355" s="53">
        <f t="array" ref="E355">IFERROR(IF(INDEX(Data!$D$2:$D$750,SMALL(Data!$S$2:$S$750,249))=0,"",INDEX(Data!$D$2:$D$750,SMALL(Data!$S$2:$S$750,249))),"")</f>
        <v>3</v>
      </c>
      <c r="F355" s="54">
        <f t="array" ref="F355">IFERROR(IF(INDEX(Data!$E$2:$E$750,SMALL(Data!$S$2:$S$750,249))=0,"",INDEX(Data!$E$2:$E$750,SMALL(Data!$S$2:$S$750,249))),"")</f>
        <v>2</v>
      </c>
      <c r="G355" s="54">
        <f t="array" ref="G355">IFERROR(INDEX(Data!$F$2:$F$750,SMALL(Data!$S$2:$S$750,249)),"")</f>
        <v>6</v>
      </c>
      <c r="H355" s="55">
        <f t="array" ref="H355">IFERROR(IF(INDEX(Data!$G$2:$G$750,SMALL(Data!$S$2:$S$750,249))=0,"",INDEX(Data!$G$2:$G$750,SMALL(Data!$S$2:$S$750,249))),"")</f>
        <v>46192</v>
      </c>
      <c r="I355" s="53">
        <f t="array" ref="I355">IFERROR(IF(INDEX(Data!$H$2:$H$750,SMALL(Data!$S$2:$S$750,249))=0,"",INDEX(Data!$H$2:$H$750,SMALL(Data!$S$2:$S$750,249))),"")</f>
        <v>9</v>
      </c>
      <c r="J355" s="55">
        <f t="array" ref="J355">IFERROR(INDEX(Data!$I$2:$I$750,SMALL(Data!$S$2:$S$750,249)),"")</f>
        <v>46255</v>
      </c>
      <c r="K355" s="53" t="str">
        <f t="array" ref="K355">IFERROR(INDEX(Data!$J$2:$J$750,SMALL(Data!$S$2:$S$750,249)),"")</f>
        <v>Not Paid</v>
      </c>
      <c r="L355" s="53" t="str">
        <f t="array" ref="L355">IFERROR(INDEX(Data!$K$2:$K$750,SMALL(Data!$S$2:$S$750,249)),"")</f>
        <v>Pending</v>
      </c>
      <c r="M355" s="48" t="s">
        <v>633</v>
      </c>
      <c r="N355" s="48">
        <f>SUMIFS(Data!D2:D750,Data!C2:C750,M355,Data!N2:N750,1)</f>
        <v>5</v>
      </c>
    </row>
    <row r="356" ht="15.75" customHeight="1">
      <c r="B356" s="56" t="str">
        <f t="array" ref="B356">IFERROR(INDEX(Data!$A$2:$A$750,SMALL(Data!$S$2:$S$750,250)),"")</f>
        <v>Pharma Overseas</v>
      </c>
      <c r="C356" s="56" t="str">
        <f t="array" ref="C356">IFERROR(IF(INDEX(Data!$B$2:$B$750,SMALL(Data!$S$2:$S$750,250))=0,"",INDEX(Data!$B$2:$B$750,SMALL(Data!$S$2:$S$750,250))),"")</f>
        <v/>
      </c>
      <c r="D356" s="56" t="str">
        <f t="array" ref="D356">IFERROR(INDEX(Data!$C$2:$C$750,SMALL(Data!$S$2:$S$750,250)),"")</f>
        <v>RFID Industrial printer (CL4NX)</v>
      </c>
      <c r="E356" s="56">
        <f t="array" ref="E356">IFERROR(IF(INDEX(Data!$D$2:$D$750,SMALL(Data!$S$2:$S$750,250))=0,"",INDEX(Data!$D$2:$D$750,SMALL(Data!$S$2:$S$750,250))),"")</f>
        <v>1</v>
      </c>
      <c r="F356" s="57">
        <f t="array" ref="F356">IFERROR(IF(INDEX(Data!$E$2:$E$750,SMALL(Data!$S$2:$S$750,250))=0,"",INDEX(Data!$E$2:$E$750,SMALL(Data!$S$2:$S$750,250))),"")</f>
        <v>5</v>
      </c>
      <c r="G356" s="57">
        <f t="array" ref="G356">IFERROR(INDEX(Data!$F$2:$F$750,SMALL(Data!$S$2:$S$750,250)),"")</f>
        <v>5</v>
      </c>
      <c r="H356" s="58">
        <f t="array" ref="H356">IFERROR(IF(INDEX(Data!$G$2:$G$750,SMALL(Data!$S$2:$S$750,250))=0,"",INDEX(Data!$G$2:$G$750,SMALL(Data!$S$2:$S$750,250))),"")</f>
        <v>46193</v>
      </c>
      <c r="I356" s="56">
        <f t="array" ref="I356">IFERROR(IF(INDEX(Data!$H$2:$H$750,SMALL(Data!$S$2:$S$750,250))=0,"",INDEX(Data!$H$2:$H$750,SMALL(Data!$S$2:$S$750,250))),"")</f>
        <v>9</v>
      </c>
      <c r="J356" s="58">
        <f t="array" ref="J356">IFERROR(INDEX(Data!$I$2:$I$750,SMALL(Data!$S$2:$S$750,250)),"")</f>
        <v>46256</v>
      </c>
      <c r="K356" s="56" t="str">
        <f t="array" ref="K356">IFERROR(INDEX(Data!$J$2:$J$750,SMALL(Data!$S$2:$S$750,250)),"")</f>
        <v>Not Paid</v>
      </c>
      <c r="L356" s="56" t="str">
        <f t="array" ref="L356">IFERROR(INDEX(Data!$K$2:$K$750,SMALL(Data!$S$2:$S$750,250)),"")</f>
        <v>Pending</v>
      </c>
      <c r="M356" s="48" t="s">
        <v>648</v>
      </c>
      <c r="N356" s="48">
        <f>SUMIFS(Data!D2:D750,Data!C2:C750,M356,Data!N2:N750,1)</f>
        <v>5</v>
      </c>
    </row>
    <row r="357" ht="15.75" customHeight="1">
      <c r="B357" s="53" t="str">
        <f t="array" ref="B357">IFERROR(INDEX(Data!$A$2:$A$750,SMALL(Data!$S$2:$S$750,251)),"")</f>
        <v>Pharma Overseas</v>
      </c>
      <c r="C357" s="53" t="str">
        <f t="array" ref="C357">IFERROR(IF(INDEX(Data!$B$2:$B$750,SMALL(Data!$S$2:$S$750,251))=0,"",INDEX(Data!$B$2:$B$750,SMALL(Data!$S$2:$S$750,251))),"")</f>
        <v/>
      </c>
      <c r="D357" s="53" t="str">
        <f t="array" ref="D357">IFERROR(INDEX(Data!$C$2:$C$750,SMALL(Data!$S$2:$S$750,251)),"")</f>
        <v>Ribbons 110mm x 450m</v>
      </c>
      <c r="E357" s="53">
        <f t="array" ref="E357">IFERROR(IF(INDEX(Data!$D$2:$D$750,SMALL(Data!$S$2:$S$750,251))=0,"",INDEX(Data!$D$2:$D$750,SMALL(Data!$S$2:$S$750,251))),"")</f>
        <v>1</v>
      </c>
      <c r="F357" s="54">
        <f t="array" ref="F357">IFERROR(IF(INDEX(Data!$E$2:$E$750,SMALL(Data!$S$2:$S$750,251))=0,"",INDEX(Data!$E$2:$E$750,SMALL(Data!$S$2:$S$750,251))),"")</f>
        <v>6</v>
      </c>
      <c r="G357" s="54">
        <f t="array" ref="G357">IFERROR(INDEX(Data!$F$2:$F$750,SMALL(Data!$S$2:$S$750,251)),"")</f>
        <v>6</v>
      </c>
      <c r="H357" s="55">
        <f t="array" ref="H357">IFERROR(IF(INDEX(Data!$G$2:$G$750,SMALL(Data!$S$2:$S$750,251))=0,"",INDEX(Data!$G$2:$G$750,SMALL(Data!$S$2:$S$750,251))),"")</f>
        <v>46194</v>
      </c>
      <c r="I357" s="53">
        <f t="array" ref="I357">IFERROR(IF(INDEX(Data!$H$2:$H$750,SMALL(Data!$S$2:$S$750,251))=0,"",INDEX(Data!$H$2:$H$750,SMALL(Data!$S$2:$S$750,251))),"")</f>
        <v>9</v>
      </c>
      <c r="J357" s="55">
        <f t="array" ref="J357">IFERROR(INDEX(Data!$I$2:$I$750,SMALL(Data!$S$2:$S$750,251)),"")</f>
        <v>46257</v>
      </c>
      <c r="K357" s="53" t="str">
        <f t="array" ref="K357">IFERROR(INDEX(Data!$J$2:$J$750,SMALL(Data!$S$2:$S$750,251)),"")</f>
        <v>Not Paid</v>
      </c>
      <c r="L357" s="53" t="str">
        <f t="array" ref="L357">IFERROR(INDEX(Data!$K$2:$K$750,SMALL(Data!$S$2:$S$750,251)),"")</f>
        <v>Pending</v>
      </c>
      <c r="M357" s="48" t="s">
        <v>394</v>
      </c>
      <c r="N357" s="48">
        <f>SUMIFS(Data!D2:D750,Data!C2:C750,M357,Data!N2:N750,1)</f>
        <v>12</v>
      </c>
    </row>
    <row r="358" ht="15.75" customHeight="1">
      <c r="B358" s="56" t="str">
        <f t="array" ref="B358">IFERROR(INDEX(Data!$A$2:$A$750,SMALL(Data!$S$2:$S$750,252)),"")</f>
        <v>El-Sewedy Electric</v>
      </c>
      <c r="C358" s="56" t="str">
        <f t="array" ref="C358">IFERROR(IF(INDEX(Data!$B$2:$B$750,SMALL(Data!$S$2:$S$750,252))=0,"",INDEX(Data!$B$2:$B$750,SMALL(Data!$S$2:$S$750,252))),"")</f>
        <v/>
      </c>
      <c r="D358" s="56" t="str">
        <f t="array" ref="D358">IFERROR(INDEX(Data!$C$2:$C$750,SMALL(Data!$S$2:$S$750,252)),"")</f>
        <v>RCO7012</v>
      </c>
      <c r="E358" s="56">
        <f t="array" ref="E358">IFERROR(IF(INDEX(Data!$D$2:$D$750,SMALL(Data!$S$2:$S$750,252))=0,"",INDEX(Data!$D$2:$D$750,SMALL(Data!$S$2:$S$750,252))),"")</f>
        <v>20000</v>
      </c>
      <c r="F358" s="57">
        <f t="array" ref="F358">IFERROR(IF(INDEX(Data!$E$2:$E$750,SMALL(Data!$S$2:$S$750,252))=0,"",INDEX(Data!$E$2:$E$750,SMALL(Data!$S$2:$S$750,252))),"")</f>
        <v>7</v>
      </c>
      <c r="G358" s="57">
        <f t="array" ref="G358">IFERROR(INDEX(Data!$F$2:$F$750,SMALL(Data!$S$2:$S$750,252)),"")</f>
        <v>140000</v>
      </c>
      <c r="H358" s="58">
        <f t="array" ref="H358">IFERROR(IF(INDEX(Data!$G$2:$G$750,SMALL(Data!$S$2:$S$750,252))=0,"",INDEX(Data!$G$2:$G$750,SMALL(Data!$S$2:$S$750,252))),"")</f>
        <v>46195</v>
      </c>
      <c r="I358" s="56">
        <f t="array" ref="I358">IFERROR(IF(INDEX(Data!$H$2:$H$750,SMALL(Data!$S$2:$S$750,252))=0,"",INDEX(Data!$H$2:$H$750,SMALL(Data!$S$2:$S$750,252))),"")</f>
        <v>7</v>
      </c>
      <c r="J358" s="58">
        <f t="array" ref="J358">IFERROR(INDEX(Data!$I$2:$I$750,SMALL(Data!$S$2:$S$750,252)),"")</f>
        <v>46244</v>
      </c>
      <c r="K358" s="56" t="str">
        <f t="array" ref="K358">IFERROR(INDEX(Data!$J$2:$J$750,SMALL(Data!$S$2:$S$750,252)),"")</f>
        <v>Not Paid</v>
      </c>
      <c r="L358" s="56" t="str">
        <f t="array" ref="L358">IFERROR(INDEX(Data!$K$2:$K$750,SMALL(Data!$S$2:$S$750,252)),"")</f>
        <v>Pending</v>
      </c>
      <c r="M358" s="48" t="s">
        <v>602</v>
      </c>
      <c r="N358" s="48">
        <f>SUMIFS(Data!D2:D750,Data!C2:C750,M358,Data!N2:N750,1)</f>
        <v>34</v>
      </c>
    </row>
    <row r="359" ht="15.75" customHeight="1">
      <c r="B359" s="53" t="str">
        <f t="array" ref="B359">IFERROR(INDEX(Data!$A$2:$A$750,SMALL(Data!$S$2:$S$750,253)),"")</f>
        <v>El-Sewedy Electric</v>
      </c>
      <c r="C359" s="53" t="str">
        <f t="array" ref="C359">IFERROR(IF(INDEX(Data!$B$2:$B$750,SMALL(Data!$S$2:$S$750,253))=0,"",INDEX(Data!$B$2:$B$750,SMALL(Data!$S$2:$S$750,253))),"")</f>
        <v/>
      </c>
      <c r="D359" s="53" t="str">
        <f t="array" ref="D359">IFERROR(INDEX(Data!$C$2:$C$750,SMALL(Data!$S$2:$S$750,253)),"")</f>
        <v>RCO7006</v>
      </c>
      <c r="E359" s="53">
        <f t="array" ref="E359">IFERROR(IF(INDEX(Data!$D$2:$D$750,SMALL(Data!$S$2:$S$750,253))=0,"",INDEX(Data!$D$2:$D$750,SMALL(Data!$S$2:$S$750,253))),"")</f>
        <v>20000</v>
      </c>
      <c r="F359" s="54">
        <f t="array" ref="F359">IFERROR(IF(INDEX(Data!$E$2:$E$750,SMALL(Data!$S$2:$S$750,253))=0,"",INDEX(Data!$E$2:$E$750,SMALL(Data!$S$2:$S$750,253))),"")</f>
        <v>8</v>
      </c>
      <c r="G359" s="54">
        <f t="array" ref="G359">IFERROR(INDEX(Data!$F$2:$F$750,SMALL(Data!$S$2:$S$750,253)),"")</f>
        <v>160000</v>
      </c>
      <c r="H359" s="55">
        <f t="array" ref="H359">IFERROR(IF(INDEX(Data!$G$2:$G$750,SMALL(Data!$S$2:$S$750,253))=0,"",INDEX(Data!$G$2:$G$750,SMALL(Data!$S$2:$S$750,253))),"")</f>
        <v>46196</v>
      </c>
      <c r="I359" s="53">
        <f t="array" ref="I359">IFERROR(IF(INDEX(Data!$H$2:$H$750,SMALL(Data!$S$2:$S$750,253))=0,"",INDEX(Data!$H$2:$H$750,SMALL(Data!$S$2:$S$750,253))),"")</f>
        <v>10</v>
      </c>
      <c r="J359" s="55">
        <f t="array" ref="J359">IFERROR(INDEX(Data!$I$2:$I$750,SMALL(Data!$S$2:$S$750,253)),"")</f>
        <v>46266</v>
      </c>
      <c r="K359" s="53" t="str">
        <f t="array" ref="K359">IFERROR(INDEX(Data!$J$2:$J$750,SMALL(Data!$S$2:$S$750,253)),"")</f>
        <v>Not Paid</v>
      </c>
      <c r="L359" s="53" t="str">
        <f t="array" ref="L359">IFERROR(INDEX(Data!$K$2:$K$750,SMALL(Data!$S$2:$S$750,253)),"")</f>
        <v>Pending</v>
      </c>
      <c r="M359" s="48" t="s">
        <v>51</v>
      </c>
      <c r="N359" s="48">
        <f>SUMIFS(Data!D2:D750,Data!C2:C750,M359,Data!N2:N750,1)</f>
        <v>1</v>
      </c>
    </row>
    <row r="360" ht="15.75" customHeight="1">
      <c r="B360" s="56" t="str">
        <f t="array" ref="B360">IFERROR(INDEX(Data!$A$2:$A$750,SMALL(Data!$S$2:$S$750,254)),"")</f>
        <v> Rooya Group</v>
      </c>
      <c r="C360" s="56" t="str">
        <f t="array" ref="C360">IFERROR(IF(INDEX(Data!$B$2:$B$750,SMALL(Data!$S$2:$S$750,254))=0,"",INDEX(Data!$B$2:$B$750,SMALL(Data!$S$2:$S$750,254))),"")</f>
        <v/>
      </c>
      <c r="D360" s="56" t="str">
        <f t="array" ref="D360">IFERROR(INDEX(Data!$C$2:$C$750,SMALL(Data!$S$2:$S$750,254)),"")</f>
        <v>QR Scanners</v>
      </c>
      <c r="E360" s="56">
        <f t="array" ref="E360">IFERROR(IF(INDEX(Data!$D$2:$D$750,SMALL(Data!$S$2:$S$750,254))=0,"",INDEX(Data!$D$2:$D$750,SMALL(Data!$S$2:$S$750,254))),"")</f>
        <v>26</v>
      </c>
      <c r="F360" s="57">
        <f t="array" ref="F360">IFERROR(IF(INDEX(Data!$E$2:$E$750,SMALL(Data!$S$2:$S$750,254))=0,"",INDEX(Data!$E$2:$E$750,SMALL(Data!$S$2:$S$750,254))),"")</f>
        <v>2</v>
      </c>
      <c r="G360" s="57">
        <f t="array" ref="G360">IFERROR(INDEX(Data!$F$2:$F$750,SMALL(Data!$S$2:$S$750,254)),"")</f>
        <v>52</v>
      </c>
      <c r="H360" s="58">
        <f t="array" ref="H360">IFERROR(IF(INDEX(Data!$G$2:$G$750,SMALL(Data!$S$2:$S$750,254))=0,"",INDEX(Data!$G$2:$G$750,SMALL(Data!$S$2:$S$750,254))),"")</f>
        <v>46197</v>
      </c>
      <c r="I360" s="56">
        <f t="array" ref="I360">IFERROR(IF(INDEX(Data!$H$2:$H$750,SMALL(Data!$S$2:$S$750,254))=0,"",INDEX(Data!$H$2:$H$750,SMALL(Data!$S$2:$S$750,254))),"")</f>
        <v>6</v>
      </c>
      <c r="J360" s="58">
        <f t="array" ref="J360">IFERROR(INDEX(Data!$I$2:$I$750,SMALL(Data!$S$2:$S$750,254)),"")</f>
        <v>46239</v>
      </c>
      <c r="K360" s="56" t="str">
        <f t="array" ref="K360">IFERROR(INDEX(Data!$J$2:$J$750,SMALL(Data!$S$2:$S$750,254)),"")</f>
        <v>Not Paid</v>
      </c>
      <c r="L360" s="56" t="str">
        <f t="array" ref="L360">IFERROR(INDEX(Data!$K$2:$K$750,SMALL(Data!$S$2:$S$750,254)),"")</f>
        <v>Pending</v>
      </c>
      <c r="M360" s="48" t="s">
        <v>45</v>
      </c>
      <c r="N360" s="48">
        <f>SUMIFS(Data!D2:D750,Data!C2:C750,M360,Data!N2:N750,1)</f>
        <v>1</v>
      </c>
    </row>
    <row r="361" ht="15.75" customHeight="1">
      <c r="B361" s="53" t="str">
        <f t="array" ref="B361">IFERROR(INDEX(Data!$A$2:$A$750,SMALL(Data!$S$2:$S$750,255)),"")</f>
        <v> Rooya Group</v>
      </c>
      <c r="C361" s="53" t="str">
        <f t="array" ref="C361">IFERROR(IF(INDEX(Data!$B$2:$B$750,SMALL(Data!$S$2:$S$750,255))=0,"",INDEX(Data!$B$2:$B$750,SMALL(Data!$S$2:$S$750,255))),"")</f>
        <v/>
      </c>
      <c r="D361" s="53" t="str">
        <f t="array" ref="D361">IFERROR(INDEX(Data!$C$2:$C$750,SMALL(Data!$S$2:$S$750,255)),"")</f>
        <v>QR Stands</v>
      </c>
      <c r="E361" s="53">
        <f t="array" ref="E361">IFERROR(IF(INDEX(Data!$D$2:$D$750,SMALL(Data!$S$2:$S$750,255))=0,"",INDEX(Data!$D$2:$D$750,SMALL(Data!$S$2:$S$750,255))),"")</f>
        <v>2</v>
      </c>
      <c r="F361" s="54">
        <f t="array" ref="F361">IFERROR(IF(INDEX(Data!$E$2:$E$750,SMALL(Data!$S$2:$S$750,255))=0,"",INDEX(Data!$E$2:$E$750,SMALL(Data!$S$2:$S$750,255))),"")</f>
        <v>15</v>
      </c>
      <c r="G361" s="54">
        <f t="array" ref="G361">IFERROR(INDEX(Data!$F$2:$F$750,SMALL(Data!$S$2:$S$750,255)),"")</f>
        <v>30</v>
      </c>
      <c r="H361" s="55">
        <f t="array" ref="H361">IFERROR(IF(INDEX(Data!$G$2:$G$750,SMALL(Data!$S$2:$S$750,255))=0,"",INDEX(Data!$G$2:$G$750,SMALL(Data!$S$2:$S$750,255))),"")</f>
        <v>46198</v>
      </c>
      <c r="I361" s="53">
        <f t="array" ref="I361">IFERROR(IF(INDEX(Data!$H$2:$H$750,SMALL(Data!$S$2:$S$750,255))=0,"",INDEX(Data!$H$2:$H$750,SMALL(Data!$S$2:$S$750,255))),"")</f>
        <v>9</v>
      </c>
      <c r="J361" s="55">
        <f t="array" ref="J361">IFERROR(INDEX(Data!$I$2:$I$750,SMALL(Data!$S$2:$S$750,255)),"")</f>
        <v>46261</v>
      </c>
      <c r="K361" s="53" t="str">
        <f t="array" ref="K361">IFERROR(INDEX(Data!$J$2:$J$750,SMALL(Data!$S$2:$S$750,255)),"")</f>
        <v>Not Paid</v>
      </c>
      <c r="L361" s="53" t="str">
        <f t="array" ref="L361">IFERROR(INDEX(Data!$K$2:$K$750,SMALL(Data!$S$2:$S$750,255)),"")</f>
        <v>Pending</v>
      </c>
      <c r="M361" s="48" t="s">
        <v>192</v>
      </c>
      <c r="N361" s="48">
        <f>SUMIFS(Data!D2:D750,Data!C2:C750,M361,Data!N2:N750,1)</f>
        <v>1</v>
      </c>
    </row>
    <row r="362" ht="15.75" customHeight="1">
      <c r="B362" s="56" t="str">
        <f t="array" ref="B362">IFERROR(INDEX(Data!$A$2:$A$750,SMALL(Data!$S$2:$S$750,256)),"")</f>
        <v> Rooya Group</v>
      </c>
      <c r="C362" s="56" t="str">
        <f t="array" ref="C362">IFERROR(IF(INDEX(Data!$B$2:$B$750,SMALL(Data!$S$2:$S$750,256))=0,"",INDEX(Data!$B$2:$B$750,SMALL(Data!$S$2:$S$750,256))),"")</f>
        <v/>
      </c>
      <c r="D362" s="56" t="str">
        <f t="array" ref="D362">IFERROR(INDEX(Data!$C$2:$C$750,SMALL(Data!$S$2:$S$750,256)),"")</f>
        <v>Somax Tripod turnstile</v>
      </c>
      <c r="E362" s="56">
        <f t="array" ref="E362">IFERROR(IF(INDEX(Data!$D$2:$D$750,SMALL(Data!$S$2:$S$750,256))=0,"",INDEX(Data!$D$2:$D$750,SMALL(Data!$S$2:$S$750,256))),"")</f>
        <v>10</v>
      </c>
      <c r="F362" s="57">
        <f t="array" ref="F362">IFERROR(IF(INDEX(Data!$E$2:$E$750,SMALL(Data!$S$2:$S$750,256))=0,"",INDEX(Data!$E$2:$E$750,SMALL(Data!$S$2:$S$750,256))),"")</f>
        <v>45</v>
      </c>
      <c r="G362" s="57">
        <f t="array" ref="G362">IFERROR(INDEX(Data!$F$2:$F$750,SMALL(Data!$S$2:$S$750,256)),"")</f>
        <v>450</v>
      </c>
      <c r="H362" s="58">
        <f t="array" ref="H362">IFERROR(IF(INDEX(Data!$G$2:$G$750,SMALL(Data!$S$2:$S$750,256))=0,"",INDEX(Data!$G$2:$G$750,SMALL(Data!$S$2:$S$750,256))),"")</f>
        <v>46199</v>
      </c>
      <c r="I362" s="56">
        <f t="array" ref="I362">IFERROR(IF(INDEX(Data!$H$2:$H$750,SMALL(Data!$S$2:$S$750,256))=0,"",INDEX(Data!$H$2:$H$750,SMALL(Data!$S$2:$S$750,256))),"")</f>
        <v>7</v>
      </c>
      <c r="J362" s="58">
        <f t="array" ref="J362">IFERROR(INDEX(Data!$I$2:$I$750,SMALL(Data!$S$2:$S$750,256)),"")</f>
        <v>46248</v>
      </c>
      <c r="K362" s="56" t="str">
        <f t="array" ref="K362">IFERROR(INDEX(Data!$J$2:$J$750,SMALL(Data!$S$2:$S$750,256)),"")</f>
        <v>Not Paid</v>
      </c>
      <c r="L362" s="56" t="str">
        <f t="array" ref="L362">IFERROR(INDEX(Data!$K$2:$K$750,SMALL(Data!$S$2:$S$750,256)),"")</f>
        <v>Pending</v>
      </c>
      <c r="M362" s="48" t="s">
        <v>513</v>
      </c>
      <c r="N362" s="48">
        <f>SUMIFS(Data!D2:D750,Data!C2:C750,M362,Data!N2:N750,1)</f>
        <v>1</v>
      </c>
    </row>
    <row r="363" ht="15.75" customHeight="1">
      <c r="B363" s="53" t="str">
        <f t="array" ref="B363">IFERROR(INDEX(Data!$A$2:$A$750,SMALL(Data!$S$2:$S$750,257)),"")</f>
        <v> Rooya Group</v>
      </c>
      <c r="C363" s="53" t="str">
        <f t="array" ref="C363">IFERROR(IF(INDEX(Data!$B$2:$B$750,SMALL(Data!$S$2:$S$750,257))=0,"",INDEX(Data!$B$2:$B$750,SMALL(Data!$S$2:$S$750,257))),"")</f>
        <v/>
      </c>
      <c r="D363" s="53" t="str">
        <f t="array" ref="D363">IFERROR(INDEX(Data!$C$2:$C$750,SMALL(Data!$S$2:$S$750,257)),"")</f>
        <v>PerkoTEK AVAX V90 Swing gate turnstile.</v>
      </c>
      <c r="E363" s="53" t="str">
        <f t="array" ref="E363">IFERROR(IF(INDEX(Data!$D$2:$D$750,SMALL(Data!$S$2:$S$750,257))=0,"",INDEX(Data!$D$2:$D$750,SMALL(Data!$S$2:$S$750,257))),"")</f>
        <v>7 got 4 only</v>
      </c>
      <c r="F363" s="54">
        <f t="array" ref="F363">IFERROR(IF(INDEX(Data!$E$2:$E$750,SMALL(Data!$S$2:$S$750,257))=0,"",INDEX(Data!$E$2:$E$750,SMALL(Data!$S$2:$S$750,257))),"")</f>
        <v>24</v>
      </c>
      <c r="G363" s="54" t="str">
        <f t="array" ref="G363">IFERROR(INDEX(Data!$F$2:$F$750,SMALL(Data!$S$2:$S$750,257)),"")</f>
        <v/>
      </c>
      <c r="H363" s="55">
        <f t="array" ref="H363">IFERROR(IF(INDEX(Data!$G$2:$G$750,SMALL(Data!$S$2:$S$750,257))=0,"",INDEX(Data!$G$2:$G$750,SMALL(Data!$S$2:$S$750,257))),"")</f>
        <v>46200</v>
      </c>
      <c r="I363" s="53">
        <f t="array" ref="I363">IFERROR(IF(INDEX(Data!$H$2:$H$750,SMALL(Data!$S$2:$S$750,257))=0,"",INDEX(Data!$H$2:$H$750,SMALL(Data!$S$2:$S$750,257))),"")</f>
        <v>10</v>
      </c>
      <c r="J363" s="55">
        <f t="array" ref="J363">IFERROR(INDEX(Data!$I$2:$I$750,SMALL(Data!$S$2:$S$750,257)),"")</f>
        <v>46270</v>
      </c>
      <c r="K363" s="53" t="str">
        <f t="array" ref="K363">IFERROR(INDEX(Data!$J$2:$J$750,SMALL(Data!$S$2:$S$750,257)),"")</f>
        <v>Not Paid</v>
      </c>
      <c r="L363" s="53" t="str">
        <f t="array" ref="L363">IFERROR(INDEX(Data!$K$2:$K$750,SMALL(Data!$S$2:$S$750,257)),"")</f>
        <v>Pending</v>
      </c>
      <c r="M363" s="48" t="s">
        <v>492</v>
      </c>
      <c r="N363" s="48">
        <f>SUMIFS(Data!D2:D750,Data!C2:C750,M363,Data!N2:N750,1)</f>
        <v>1</v>
      </c>
    </row>
    <row r="364" ht="15.75" customHeight="1">
      <c r="B364" s="56" t="str">
        <f t="array" ref="B364">IFERROR(INDEX(Data!$A$2:$A$750,SMALL(Data!$S$2:$S$750,258)),"")</f>
        <v> Rooya Group</v>
      </c>
      <c r="C364" s="56" t="str">
        <f t="array" ref="C364">IFERROR(IF(INDEX(Data!$B$2:$B$750,SMALL(Data!$S$2:$S$750,258))=0,"",INDEX(Data!$B$2:$B$750,SMALL(Data!$S$2:$S$750,258))),"")</f>
        <v/>
      </c>
      <c r="D364" s="56" t="str">
        <f t="array" ref="D364">IFERROR(INDEX(Data!$C$2:$C$750,SMALL(Data!$S$2:$S$750,258)),"")</f>
        <v>Maxim hi techmour</v>
      </c>
      <c r="E364" s="56">
        <f t="array" ref="E364">IFERROR(IF(INDEX(Data!$D$2:$D$750,SMALL(Data!$S$2:$S$750,258))=0,"",INDEX(Data!$D$2:$D$750,SMALL(Data!$S$2:$S$750,258))),"")</f>
        <v>3</v>
      </c>
      <c r="F364" s="57">
        <f t="array" ref="F364">IFERROR(IF(INDEX(Data!$E$2:$E$750,SMALL(Data!$S$2:$S$750,258))=0,"",INDEX(Data!$E$2:$E$750,SMALL(Data!$S$2:$S$750,258))),"")</f>
        <v>25</v>
      </c>
      <c r="G364" s="57">
        <f t="array" ref="G364">IFERROR(INDEX(Data!$F$2:$F$750,SMALL(Data!$S$2:$S$750,258)),"")</f>
        <v>75</v>
      </c>
      <c r="H364" s="58">
        <f t="array" ref="H364">IFERROR(IF(INDEX(Data!$G$2:$G$750,SMALL(Data!$S$2:$S$750,258))=0,"",INDEX(Data!$G$2:$G$750,SMALL(Data!$S$2:$S$750,258))),"")</f>
        <v>46201</v>
      </c>
      <c r="I364" s="56">
        <f t="array" ref="I364">IFERROR(IF(INDEX(Data!$H$2:$H$750,SMALL(Data!$S$2:$S$750,258))=0,"",INDEX(Data!$H$2:$H$750,SMALL(Data!$S$2:$S$750,258))),"")</f>
        <v>6</v>
      </c>
      <c r="J364" s="58">
        <f t="array" ref="J364">IFERROR(INDEX(Data!$I$2:$I$750,SMALL(Data!$S$2:$S$750,258)),"")</f>
        <v>46243</v>
      </c>
      <c r="K364" s="56" t="str">
        <f t="array" ref="K364">IFERROR(INDEX(Data!$J$2:$J$750,SMALL(Data!$S$2:$S$750,258)),"")</f>
        <v>Not Paid</v>
      </c>
      <c r="L364" s="56" t="str">
        <f t="array" ref="L364">IFERROR(INDEX(Data!$K$2:$K$750,SMALL(Data!$S$2:$S$750,258)),"")</f>
        <v>Pending</v>
      </c>
      <c r="M364" s="48" t="s">
        <v>84</v>
      </c>
      <c r="N364" s="48">
        <f>SUMIFS(Data!D2:D750,Data!C2:C750,M364,Data!N2:N750,1)</f>
        <v>6</v>
      </c>
    </row>
    <row r="365" ht="15.75" customHeight="1">
      <c r="B365" s="53" t="str">
        <f t="array" ref="B365">IFERROR(INDEX(Data!$A$2:$A$750,SMALL(Data!$S$2:$S$750,259)),"")</f>
        <v>Ballah Resort</v>
      </c>
      <c r="C365" s="53" t="str">
        <f t="array" ref="C365">IFERROR(IF(INDEX(Data!$B$2:$B$750,SMALL(Data!$S$2:$S$750,259))=0,"",INDEX(Data!$B$2:$B$750,SMALL(Data!$S$2:$S$750,259))),"")</f>
        <v/>
      </c>
      <c r="D365" s="53" t="str">
        <f t="array" ref="D365">IFERROR(INDEX(Data!$C$2:$C$750,SMALL(Data!$S$2:$S$750,259)),"")</f>
        <v>ZKTeco CMP200 Barrier</v>
      </c>
      <c r="E365" s="53">
        <f t="array" ref="E365">IFERROR(IF(INDEX(Data!$D$2:$D$750,SMALL(Data!$S$2:$S$750,259))=0,"",INDEX(Data!$D$2:$D$750,SMALL(Data!$S$2:$S$750,259))),"")</f>
        <v>1</v>
      </c>
      <c r="F365" s="54">
        <f t="array" ref="F365">IFERROR(IF(INDEX(Data!$E$2:$E$750,SMALL(Data!$S$2:$S$750,259))=0,"",INDEX(Data!$E$2:$E$750,SMALL(Data!$S$2:$S$750,259))),"")</f>
        <v>36</v>
      </c>
      <c r="G365" s="54">
        <f t="array" ref="G365">IFERROR(INDEX(Data!$F$2:$F$750,SMALL(Data!$S$2:$S$750,259)),"")</f>
        <v>36</v>
      </c>
      <c r="H365" s="55">
        <f t="array" ref="H365">IFERROR(IF(INDEX(Data!$G$2:$G$750,SMALL(Data!$S$2:$S$750,259))=0,"",INDEX(Data!$G$2:$G$750,SMALL(Data!$S$2:$S$750,259))),"")</f>
        <v>46202</v>
      </c>
      <c r="I365" s="53">
        <f t="array" ref="I365">IFERROR(IF(INDEX(Data!$H$2:$H$750,SMALL(Data!$S$2:$S$750,259))=0,"",INDEX(Data!$H$2:$H$750,SMALL(Data!$S$2:$S$750,259))),"")</f>
        <v>6</v>
      </c>
      <c r="J365" s="55">
        <f t="array" ref="J365">IFERROR(INDEX(Data!$I$2:$I$750,SMALL(Data!$S$2:$S$750,259)),"")</f>
        <v>46244</v>
      </c>
      <c r="K365" s="53" t="str">
        <f t="array" ref="K365">IFERROR(INDEX(Data!$J$2:$J$750,SMALL(Data!$S$2:$S$750,259)),"")</f>
        <v>Not Paid</v>
      </c>
      <c r="L365" s="53" t="str">
        <f t="array" ref="L365">IFERROR(INDEX(Data!$K$2:$K$750,SMALL(Data!$S$2:$S$750,259)),"")</f>
        <v>Pending</v>
      </c>
      <c r="M365" s="48" t="s">
        <v>220</v>
      </c>
      <c r="N365" s="48">
        <f>SUMIFS(Data!D2:D750,Data!C2:C750,M365,Data!N2:N750,1)</f>
        <v>3</v>
      </c>
    </row>
    <row r="366" ht="15.75" customHeight="1">
      <c r="B366" s="56" t="str">
        <f t="array" ref="B366">IFERROR(INDEX(Data!$A$2:$A$750,SMALL(Data!$S$2:$S$750,260)),"")</f>
        <v>Ballah Resort</v>
      </c>
      <c r="C366" s="56" t="str">
        <f t="array" ref="C366">IFERROR(IF(INDEX(Data!$B$2:$B$750,SMALL(Data!$S$2:$S$750,260))=0,"",INDEX(Data!$B$2:$B$750,SMALL(Data!$S$2:$S$750,260))),"")</f>
        <v/>
      </c>
      <c r="D366" s="56" t="str">
        <f t="array" ref="D366">IFERROR(INDEX(Data!$C$2:$C$750,SMALL(Data!$S$2:$S$750,260)),"")</f>
        <v>[OG-00382] MET QR Code Scanner</v>
      </c>
      <c r="E366" s="56">
        <f t="array" ref="E366">IFERROR(IF(INDEX(Data!$D$2:$D$750,SMALL(Data!$S$2:$S$750,260))=0,"",INDEX(Data!$D$2:$D$750,SMALL(Data!$S$2:$S$750,260))),"")</f>
        <v>5</v>
      </c>
      <c r="F366" s="57">
        <f t="array" ref="F366">IFERROR(IF(INDEX(Data!$E$2:$E$750,SMALL(Data!$S$2:$S$750,260))=0,"",INDEX(Data!$E$2:$E$750,SMALL(Data!$S$2:$S$750,260))),"")</f>
        <v>95</v>
      </c>
      <c r="G366" s="57">
        <f t="array" ref="G366">IFERROR(INDEX(Data!$F$2:$F$750,SMALL(Data!$S$2:$S$750,260)),"")</f>
        <v>475</v>
      </c>
      <c r="H366" s="58">
        <f t="array" ref="H366">IFERROR(IF(INDEX(Data!$G$2:$G$750,SMALL(Data!$S$2:$S$750,260))=0,"",INDEX(Data!$G$2:$G$750,SMALL(Data!$S$2:$S$750,260))),"")</f>
        <v>46203</v>
      </c>
      <c r="I366" s="56">
        <f t="array" ref="I366">IFERROR(IF(INDEX(Data!$H$2:$H$750,SMALL(Data!$S$2:$S$750,260))=0,"",INDEX(Data!$H$2:$H$750,SMALL(Data!$S$2:$S$750,260))),"")</f>
        <v>7</v>
      </c>
      <c r="J366" s="58">
        <f t="array" ref="J366">IFERROR(INDEX(Data!$I$2:$I$750,SMALL(Data!$S$2:$S$750,260)),"")</f>
        <v>46252</v>
      </c>
      <c r="K366" s="56" t="str">
        <f t="array" ref="K366">IFERROR(INDEX(Data!$J$2:$J$750,SMALL(Data!$S$2:$S$750,260)),"")</f>
        <v>Not Paid</v>
      </c>
      <c r="L366" s="56" t="str">
        <f t="array" ref="L366">IFERROR(INDEX(Data!$K$2:$K$750,SMALL(Data!$S$2:$S$750,260)),"")</f>
        <v>Pending</v>
      </c>
      <c r="M366" s="48" t="s">
        <v>413</v>
      </c>
      <c r="N366" s="48">
        <f>SUMIFS(Data!D2:D750,Data!C2:C750,M366,Data!N2:N750,1)</f>
        <v>27</v>
      </c>
    </row>
    <row r="367" ht="15.75" customHeight="1">
      <c r="B367" s="53" t="str">
        <f t="array" ref="B367">IFERROR(INDEX(Data!$A$2:$A$750,SMALL(Data!$S$2:$S$750,261)),"")</f>
        <v>Ballah Resort</v>
      </c>
      <c r="C367" s="53" t="str">
        <f t="array" ref="C367">IFERROR(IF(INDEX(Data!$B$2:$B$750,SMALL(Data!$S$2:$S$750,261))=0,"",INDEX(Data!$B$2:$B$750,SMALL(Data!$S$2:$S$750,261))),"")</f>
        <v/>
      </c>
      <c r="D367" s="53" t="str">
        <f t="array" ref="D367">IFERROR(INDEX(Data!$C$2:$C$750,SMALL(Data!$S$2:$S$750,261)),"")</f>
        <v>QR Stand</v>
      </c>
      <c r="E367" s="53">
        <f t="array" ref="E367">IFERROR(IF(INDEX(Data!$D$2:$D$750,SMALL(Data!$S$2:$S$750,261))=0,"",INDEX(Data!$D$2:$D$750,SMALL(Data!$S$2:$S$750,261))),"")</f>
        <v>1</v>
      </c>
      <c r="F367" s="54">
        <f t="array" ref="F367">IFERROR(IF(INDEX(Data!$E$2:$E$750,SMALL(Data!$S$2:$S$750,261))=0,"",INDEX(Data!$E$2:$E$750,SMALL(Data!$S$2:$S$750,261))),"")</f>
        <v>574</v>
      </c>
      <c r="G367" s="54">
        <f t="array" ref="G367">IFERROR(INDEX(Data!$F$2:$F$750,SMALL(Data!$S$2:$S$750,261)),"")</f>
        <v>574</v>
      </c>
      <c r="H367" s="55">
        <f t="array" ref="H367">IFERROR(IF(INDEX(Data!$G$2:$G$750,SMALL(Data!$S$2:$S$750,261))=0,"",INDEX(Data!$G$2:$G$750,SMALL(Data!$S$2:$S$750,261))),"")</f>
        <v>46204</v>
      </c>
      <c r="I367" s="53">
        <f t="array" ref="I367">IFERROR(IF(INDEX(Data!$H$2:$H$750,SMALL(Data!$S$2:$S$750,261))=0,"",INDEX(Data!$H$2:$H$750,SMALL(Data!$S$2:$S$750,261))),"")</f>
        <v>8</v>
      </c>
      <c r="J367" s="55">
        <f t="array" ref="J367">IFERROR(INDEX(Data!$I$2:$I$750,SMALL(Data!$S$2:$S$750,261)),"")</f>
        <v>46260</v>
      </c>
      <c r="K367" s="53" t="str">
        <f t="array" ref="K367">IFERROR(INDEX(Data!$J$2:$J$750,SMALL(Data!$S$2:$S$750,261)),"")</f>
        <v>Not Paid</v>
      </c>
      <c r="L367" s="53" t="str">
        <f t="array" ref="L367">IFERROR(INDEX(Data!$K$2:$K$750,SMALL(Data!$S$2:$S$750,261)),"")</f>
        <v>Pending</v>
      </c>
      <c r="M367" s="48" t="s">
        <v>262</v>
      </c>
      <c r="N367" s="48">
        <f>SUMIFS(Data!D2:D750,Data!C2:C750,M367,Data!N2:N750,1)</f>
        <v>1</v>
      </c>
    </row>
    <row r="368" ht="15.75" customHeight="1">
      <c r="B368" s="56" t="str">
        <f t="array" ref="B368">IFERROR(INDEX(Data!$A$2:$A$750,SMALL(Data!$S$2:$S$750,262)),"")</f>
        <v>Ballah Resort</v>
      </c>
      <c r="C368" s="56" t="str">
        <f t="array" ref="C368">IFERROR(IF(INDEX(Data!$B$2:$B$750,SMALL(Data!$S$2:$S$750,262))=0,"",INDEX(Data!$B$2:$B$750,SMALL(Data!$S$2:$S$750,262))),"")</f>
        <v/>
      </c>
      <c r="D368" s="56" t="str">
        <f t="array" ref="D368">IFERROR(INDEX(Data!$C$2:$C$750,SMALL(Data!$S$2:$S$750,262)),"")</f>
        <v>LRU1002 UHF Reader with 2 Antennas Kit</v>
      </c>
      <c r="E368" s="56">
        <f t="array" ref="E368">IFERROR(IF(INDEX(Data!$D$2:$D$750,SMALL(Data!$S$2:$S$750,262))=0,"",INDEX(Data!$D$2:$D$750,SMALL(Data!$S$2:$S$750,262))),"")</f>
        <v>1</v>
      </c>
      <c r="F368" s="57">
        <f t="array" ref="F368">IFERROR(IF(INDEX(Data!$E$2:$E$750,SMALL(Data!$S$2:$S$750,262))=0,"",INDEX(Data!$E$2:$E$750,SMALL(Data!$S$2:$S$750,262))),"")</f>
        <v>558</v>
      </c>
      <c r="G368" s="57">
        <f t="array" ref="G368">IFERROR(INDEX(Data!$F$2:$F$750,SMALL(Data!$S$2:$S$750,262)),"")</f>
        <v>558</v>
      </c>
      <c r="H368" s="58">
        <f t="array" ref="H368">IFERROR(IF(INDEX(Data!$G$2:$G$750,SMALL(Data!$S$2:$S$750,262))=0,"",INDEX(Data!$G$2:$G$750,SMALL(Data!$S$2:$S$750,262))),"")</f>
        <v>46205</v>
      </c>
      <c r="I368" s="56">
        <f t="array" ref="I368">IFERROR(IF(INDEX(Data!$H$2:$H$750,SMALL(Data!$S$2:$S$750,262))=0,"",INDEX(Data!$H$2:$H$750,SMALL(Data!$S$2:$S$750,262))),"")</f>
        <v>14</v>
      </c>
      <c r="J368" s="58">
        <f t="array" ref="J368">IFERROR(INDEX(Data!$I$2:$I$750,SMALL(Data!$S$2:$S$750,262)),"")</f>
        <v>46303</v>
      </c>
      <c r="K368" s="56" t="str">
        <f t="array" ref="K368">IFERROR(INDEX(Data!$J$2:$J$750,SMALL(Data!$S$2:$S$750,262)),"")</f>
        <v>Not Paid</v>
      </c>
      <c r="L368" s="56" t="str">
        <f t="array" ref="L368">IFERROR(INDEX(Data!$K$2:$K$750,SMALL(Data!$S$2:$S$750,262)),"")</f>
        <v>Pending</v>
      </c>
      <c r="M368" s="48" t="s">
        <v>141</v>
      </c>
      <c r="N368" s="48">
        <f>SUMIFS(Data!D2:D750,Data!C2:C750,M368,Data!N2:N750,1)</f>
        <v>1</v>
      </c>
    </row>
    <row r="369" ht="15.75" customHeight="1">
      <c r="B369" s="53" t="str">
        <f t="array" ref="B369">IFERROR(INDEX(Data!$A$2:$A$750,SMALL(Data!$S$2:$S$750,263)),"")</f>
        <v>Ballah Resort</v>
      </c>
      <c r="C369" s="53" t="str">
        <f t="array" ref="C369">IFERROR(IF(INDEX(Data!$B$2:$B$750,SMALL(Data!$S$2:$S$750,263))=0,"",INDEX(Data!$B$2:$B$750,SMALL(Data!$S$2:$S$750,263))),"")</f>
        <v/>
      </c>
      <c r="D369" s="53" t="str">
        <f t="array" ref="D369">IFERROR(INDEX(Data!$C$2:$C$750,SMALL(Data!$S$2:$S$750,263)),"")</f>
        <v>TP 201-S WAIST HEIGHT TURNSTILE</v>
      </c>
      <c r="E369" s="53">
        <f t="array" ref="E369">IFERROR(IF(INDEX(Data!$D$2:$D$750,SMALL(Data!$S$2:$S$750,263))=0,"",INDEX(Data!$D$2:$D$750,SMALL(Data!$S$2:$S$750,263))),"")</f>
        <v>2</v>
      </c>
      <c r="F369" s="54">
        <f t="array" ref="F369">IFERROR(IF(INDEX(Data!$E$2:$E$750,SMALL(Data!$S$2:$S$750,263))=0,"",INDEX(Data!$E$2:$E$750,SMALL(Data!$S$2:$S$750,263))),"")</f>
        <v>2265</v>
      </c>
      <c r="G369" s="54">
        <f t="array" ref="G369">IFERROR(INDEX(Data!$F$2:$F$750,SMALL(Data!$S$2:$S$750,263)),"")</f>
        <v>4530</v>
      </c>
      <c r="H369" s="55">
        <f t="array" ref="H369">IFERROR(IF(INDEX(Data!$G$2:$G$750,SMALL(Data!$S$2:$S$750,263))=0,"",INDEX(Data!$G$2:$G$750,SMALL(Data!$S$2:$S$750,263))),"")</f>
        <v>46206</v>
      </c>
      <c r="I369" s="53">
        <f t="array" ref="I369">IFERROR(IF(INDEX(Data!$H$2:$H$750,SMALL(Data!$S$2:$S$750,263))=0,"",INDEX(Data!$H$2:$H$750,SMALL(Data!$S$2:$S$750,263))),"")</f>
        <v>16</v>
      </c>
      <c r="J369" s="55">
        <f t="array" ref="J369">IFERROR(INDEX(Data!$I$2:$I$750,SMALL(Data!$S$2:$S$750,263)),"")</f>
        <v>46318</v>
      </c>
      <c r="K369" s="53" t="str">
        <f t="array" ref="K369">IFERROR(INDEX(Data!$J$2:$J$750,SMALL(Data!$S$2:$S$750,263)),"")</f>
        <v>Not Paid</v>
      </c>
      <c r="L369" s="53" t="str">
        <f t="array" ref="L369">IFERROR(INDEX(Data!$K$2:$K$750,SMALL(Data!$S$2:$S$750,263)),"")</f>
        <v>Pending</v>
      </c>
      <c r="M369" s="48" t="s">
        <v>649</v>
      </c>
      <c r="N369" s="48">
        <f>SUMIFS(Data!D2:D750,Data!C2:C750,M369,Data!N2:N750,1)</f>
        <v>1</v>
      </c>
    </row>
    <row r="370" ht="15.75" customHeight="1">
      <c r="B370" s="56" t="str">
        <f t="array" ref="B370">IFERROR(INDEX(Data!$A$2:$A$750,SMALL(Data!$S$2:$S$750,264)),"")</f>
        <v>Hay Al Worood</v>
      </c>
      <c r="C370" s="56" t="str">
        <f t="array" ref="C370">IFERROR(IF(INDEX(Data!$B$2:$B$750,SMALL(Data!$S$2:$S$750,264))=0,"",INDEX(Data!$B$2:$B$750,SMALL(Data!$S$2:$S$750,264))),"")</f>
        <v/>
      </c>
      <c r="D370" s="56" t="str">
        <f t="array" ref="D370">IFERROR(INDEX(Data!$C$2:$C$750,SMALL(Data!$S$2:$S$750,264)),"")</f>
        <v>RFID Destructive WINDSHIELD Tag</v>
      </c>
      <c r="E370" s="56">
        <f t="array" ref="E370">IFERROR(IF(INDEX(Data!$D$2:$D$750,SMALL(Data!$S$2:$S$750,264))=0,"",INDEX(Data!$D$2:$D$750,SMALL(Data!$S$2:$S$750,264))),"")</f>
        <v>300</v>
      </c>
      <c r="F370" s="57">
        <f t="array" ref="F370">IFERROR(IF(INDEX(Data!$E$2:$E$750,SMALL(Data!$S$2:$S$750,264))=0,"",INDEX(Data!$E$2:$E$750,SMALL(Data!$S$2:$S$750,264))),"")</f>
        <v>45</v>
      </c>
      <c r="G370" s="57">
        <f t="array" ref="G370">IFERROR(INDEX(Data!$F$2:$F$750,SMALL(Data!$S$2:$S$750,264)),"")</f>
        <v>13500</v>
      </c>
      <c r="H370" s="58">
        <f t="array" ref="H370">IFERROR(IF(INDEX(Data!$G$2:$G$750,SMALL(Data!$S$2:$S$750,264))=0,"",INDEX(Data!$G$2:$G$750,SMALL(Data!$S$2:$S$750,264))),"")</f>
        <v>46207</v>
      </c>
      <c r="I370" s="56">
        <f t="array" ref="I370">IFERROR(IF(INDEX(Data!$H$2:$H$750,SMALL(Data!$S$2:$S$750,264))=0,"",INDEX(Data!$H$2:$H$750,SMALL(Data!$S$2:$S$750,264))),"")</f>
        <v>15</v>
      </c>
      <c r="J370" s="58">
        <f t="array" ref="J370">IFERROR(INDEX(Data!$I$2:$I$750,SMALL(Data!$S$2:$S$750,264)),"")</f>
        <v>46312</v>
      </c>
      <c r="K370" s="56" t="str">
        <f t="array" ref="K370">IFERROR(INDEX(Data!$J$2:$J$750,SMALL(Data!$S$2:$S$750,264)),"")</f>
        <v>Not Paid</v>
      </c>
      <c r="L370" s="56" t="str">
        <f t="array" ref="L370">IFERROR(INDEX(Data!$K$2:$K$750,SMALL(Data!$S$2:$S$750,264)),"")</f>
        <v>Pending</v>
      </c>
      <c r="M370" s="48" t="s">
        <v>239</v>
      </c>
      <c r="N370" s="48">
        <f>SUMIFS(Data!D2:D750,Data!C2:C750,M370,Data!N2:N750,1)</f>
        <v>14</v>
      </c>
    </row>
    <row r="371" ht="15.75" customHeight="1">
      <c r="B371" s="53" t="str">
        <f t="array" ref="B371">IFERROR(INDEX(Data!$A$2:$A$750,SMALL(Data!$S$2:$S$750,265)),"")</f>
        <v>Rooya group</v>
      </c>
      <c r="C371" s="53" t="str">
        <f t="array" ref="C371">IFERROR(IF(INDEX(Data!$B$2:$B$750,SMALL(Data!$S$2:$S$750,265))=0,"",INDEX(Data!$B$2:$B$750,SMALL(Data!$S$2:$S$750,265))),"")</f>
        <v/>
      </c>
      <c r="D371" s="53" t="str">
        <f t="array" ref="D371">IFERROR(INDEX(Data!$C$2:$C$750,SMALL(Data!$S$2:$S$750,265)),"")</f>
        <v>QR Scanners</v>
      </c>
      <c r="E371" s="53">
        <f t="array" ref="E371">IFERROR(IF(INDEX(Data!$D$2:$D$750,SMALL(Data!$S$2:$S$750,265))=0,"",INDEX(Data!$D$2:$D$750,SMALL(Data!$S$2:$S$750,265))),"")</f>
        <v>2</v>
      </c>
      <c r="F371" s="54">
        <f t="array" ref="F371">IFERROR(IF(INDEX(Data!$E$2:$E$750,SMALL(Data!$S$2:$S$750,265))=0,"",INDEX(Data!$E$2:$E$750,SMALL(Data!$S$2:$S$750,265))),"")</f>
        <v>5554</v>
      </c>
      <c r="G371" s="54">
        <f t="array" ref="G371">IFERROR(INDEX(Data!$F$2:$F$750,SMALL(Data!$S$2:$S$750,265)),"")</f>
        <v>11108</v>
      </c>
      <c r="H371" s="55">
        <f t="array" ref="H371">IFERROR(IF(INDEX(Data!$G$2:$G$750,SMALL(Data!$S$2:$S$750,265))=0,"",INDEX(Data!$G$2:$G$750,SMALL(Data!$S$2:$S$750,265))),"")</f>
        <v>46208</v>
      </c>
      <c r="I371" s="53">
        <f t="array" ref="I371">IFERROR(IF(INDEX(Data!$H$2:$H$750,SMALL(Data!$S$2:$S$750,265))=0,"",INDEX(Data!$H$2:$H$750,SMALL(Data!$S$2:$S$750,265))),"")</f>
        <v>15</v>
      </c>
      <c r="J371" s="55">
        <f t="array" ref="J371">IFERROR(INDEX(Data!$I$2:$I$750,SMALL(Data!$S$2:$S$750,265)),"")</f>
        <v>46313</v>
      </c>
      <c r="K371" s="53" t="str">
        <f t="array" ref="K371">IFERROR(INDEX(Data!$J$2:$J$750,SMALL(Data!$S$2:$S$750,265)),"")</f>
        <v>Not Paid</v>
      </c>
      <c r="L371" s="53" t="str">
        <f t="array" ref="L371">IFERROR(INDEX(Data!$K$2:$K$750,SMALL(Data!$S$2:$S$750,265)),"")</f>
        <v>Pending</v>
      </c>
      <c r="M371" s="48" t="s">
        <v>268</v>
      </c>
      <c r="N371" s="48">
        <f>SUMIFS(Data!D2:D750,Data!C2:C750,M371,Data!N2:N750,1)</f>
        <v>3</v>
      </c>
    </row>
    <row r="372" ht="15.75" customHeight="1">
      <c r="B372" s="56" t="str">
        <f t="array" ref="B372">IFERROR(INDEX(Data!$A$2:$A$750,SMALL(Data!$S$2:$S$750,266)),"")</f>
        <v>Rooya group</v>
      </c>
      <c r="C372" s="56" t="str">
        <f t="array" ref="C372">IFERROR(IF(INDEX(Data!$B$2:$B$750,SMALL(Data!$S$2:$S$750,266))=0,"",INDEX(Data!$B$2:$B$750,SMALL(Data!$S$2:$S$750,266))),"")</f>
        <v/>
      </c>
      <c r="D372" s="56" t="str">
        <f t="array" ref="D372">IFERROR(INDEX(Data!$C$2:$C$750,SMALL(Data!$S$2:$S$750,266)),"")</f>
        <v>Somax Tripod turnstile</v>
      </c>
      <c r="E372" s="56">
        <f t="array" ref="E372">IFERROR(IF(INDEX(Data!$D$2:$D$750,SMALL(Data!$S$2:$S$750,266))=0,"",INDEX(Data!$D$2:$D$750,SMALL(Data!$S$2:$S$750,266))),"")</f>
        <v>2</v>
      </c>
      <c r="F372" s="57">
        <f t="array" ref="F372">IFERROR(IF(INDEX(Data!$E$2:$E$750,SMALL(Data!$S$2:$S$750,266))=0,"",INDEX(Data!$E$2:$E$750,SMALL(Data!$S$2:$S$750,266))),"")</f>
        <v>41</v>
      </c>
      <c r="G372" s="57">
        <f t="array" ref="G372">IFERROR(INDEX(Data!$F$2:$F$750,SMALL(Data!$S$2:$S$750,266)),"")</f>
        <v>82</v>
      </c>
      <c r="H372" s="58">
        <f t="array" ref="H372">IFERROR(IF(INDEX(Data!$G$2:$G$750,SMALL(Data!$S$2:$S$750,266))=0,"",INDEX(Data!$G$2:$G$750,SMALL(Data!$S$2:$S$750,266))),"")</f>
        <v>46209</v>
      </c>
      <c r="I372" s="56">
        <f t="array" ref="I372">IFERROR(IF(INDEX(Data!$H$2:$H$750,SMALL(Data!$S$2:$S$750,266))=0,"",INDEX(Data!$H$2:$H$750,SMALL(Data!$S$2:$S$750,266))),"")</f>
        <v>14</v>
      </c>
      <c r="J372" s="58">
        <f t="array" ref="J372">IFERROR(INDEX(Data!$I$2:$I$750,SMALL(Data!$S$2:$S$750,266)),"")</f>
        <v>46307</v>
      </c>
      <c r="K372" s="56" t="str">
        <f t="array" ref="K372">IFERROR(INDEX(Data!$J$2:$J$750,SMALL(Data!$S$2:$S$750,266)),"")</f>
        <v>Not Paid</v>
      </c>
      <c r="L372" s="56" t="str">
        <f t="array" ref="L372">IFERROR(INDEX(Data!$K$2:$K$750,SMALL(Data!$S$2:$S$750,266)),"")</f>
        <v>Pending</v>
      </c>
      <c r="M372" s="48" t="s">
        <v>642</v>
      </c>
      <c r="N372" s="48">
        <f>SUMIFS(Data!D2:D750,Data!C2:C750,M372,Data!N2:N750,1)</f>
        <v>2</v>
      </c>
    </row>
    <row r="373" ht="15.75" customHeight="1">
      <c r="B373" s="53" t="str">
        <f t="array" ref="B373">IFERROR(INDEX(Data!$A$2:$A$750,SMALL(Data!$S$2:$S$750,267)),"")</f>
        <v>TMG</v>
      </c>
      <c r="C373" s="53" t="str">
        <f t="array" ref="C373">IFERROR(IF(INDEX(Data!$B$2:$B$750,SMALL(Data!$S$2:$S$750,267))=0,"",INDEX(Data!$B$2:$B$750,SMALL(Data!$S$2:$S$750,267))),"")</f>
        <v/>
      </c>
      <c r="D373" s="53" t="str">
        <f t="array" ref="D373">IFERROR(INDEX(Data!$C$2:$C$750,SMALL(Data!$S$2:$S$750,267)),"")</f>
        <v>RFID Destructive Windshield Tags</v>
      </c>
      <c r="E373" s="53">
        <f t="array" ref="E373">IFERROR(IF(INDEX(Data!$D$2:$D$750,SMALL(Data!$S$2:$S$750,267))=0,"",INDEX(Data!$D$2:$D$750,SMALL(Data!$S$2:$S$750,267))),"")</f>
        <v>22000</v>
      </c>
      <c r="F373" s="54">
        <f t="array" ref="F373">IFERROR(IF(INDEX(Data!$E$2:$E$750,SMALL(Data!$S$2:$S$750,267))=0,"",INDEX(Data!$E$2:$E$750,SMALL(Data!$S$2:$S$750,267))),"")</f>
        <v>231</v>
      </c>
      <c r="G373" s="54">
        <f t="array" ref="G373">IFERROR(INDEX(Data!$F$2:$F$750,SMALL(Data!$S$2:$S$750,267)),"")</f>
        <v>5082000</v>
      </c>
      <c r="H373" s="55">
        <f t="array" ref="H373">IFERROR(IF(INDEX(Data!$G$2:$G$750,SMALL(Data!$S$2:$S$750,267))=0,"",INDEX(Data!$G$2:$G$750,SMALL(Data!$S$2:$S$750,267))),"")</f>
        <v>46210</v>
      </c>
      <c r="I373" s="53">
        <f t="array" ref="I373">IFERROR(IF(INDEX(Data!$H$2:$H$750,SMALL(Data!$S$2:$S$750,267))=0,"",INDEX(Data!$H$2:$H$750,SMALL(Data!$S$2:$S$750,267))),"")</f>
        <v>15</v>
      </c>
      <c r="J373" s="55">
        <f t="array" ref="J373">IFERROR(INDEX(Data!$I$2:$I$750,SMALL(Data!$S$2:$S$750,267)),"")</f>
        <v>46315</v>
      </c>
      <c r="K373" s="53" t="str">
        <f t="array" ref="K373">IFERROR(INDEX(Data!$J$2:$J$750,SMALL(Data!$S$2:$S$750,267)),"")</f>
        <v>Not Paid</v>
      </c>
      <c r="L373" s="53" t="str">
        <f t="array" ref="L373">IFERROR(INDEX(Data!$K$2:$K$750,SMALL(Data!$S$2:$S$750,267)),"")</f>
        <v>Pending</v>
      </c>
      <c r="M373" s="48" t="s">
        <v>178</v>
      </c>
      <c r="N373" s="48">
        <f>SUMIFS(Data!D2:D750,Data!C2:C750,M373,Data!N2:N750,1)</f>
        <v>3</v>
      </c>
    </row>
    <row r="374" ht="15.75" customHeight="1">
      <c r="B374" s="56" t="str">
        <f t="array" ref="B374">IFERROR(INDEX(Data!$A$2:$A$750,SMALL(Data!$S$2:$S$750,268)),"")</f>
        <v>Shefaa Orman Hospital</v>
      </c>
      <c r="C374" s="56" t="str">
        <f t="array" ref="C374">IFERROR(IF(INDEX(Data!$B$2:$B$750,SMALL(Data!$S$2:$S$750,268))=0,"",INDEX(Data!$B$2:$B$750,SMALL(Data!$S$2:$S$750,268))),"")</f>
        <v/>
      </c>
      <c r="D374" s="56" t="str">
        <f t="array" ref="D374">IFERROR(INDEX(Data!$C$2:$C$750,SMALL(Data!$S$2:$S$750,268)),"")</f>
        <v>AT909</v>
      </c>
      <c r="E374" s="56">
        <f t="array" ref="E374">IFERROR(IF(INDEX(Data!$D$2:$D$750,SMALL(Data!$S$2:$S$750,268))=0,"",INDEX(Data!$D$2:$D$750,SMALL(Data!$S$2:$S$750,268))),"")</f>
        <v>5</v>
      </c>
      <c r="F374" s="57">
        <f t="array" ref="F374">IFERROR(IF(INDEX(Data!$E$2:$E$750,SMALL(Data!$S$2:$S$750,268))=0,"",INDEX(Data!$E$2:$E$750,SMALL(Data!$S$2:$S$750,268))),"")</f>
        <v>25</v>
      </c>
      <c r="G374" s="57">
        <f t="array" ref="G374">IFERROR(INDEX(Data!$F$2:$F$750,SMALL(Data!$S$2:$S$750,268)),"")</f>
        <v>125</v>
      </c>
      <c r="H374" s="58">
        <f t="array" ref="H374">IFERROR(IF(INDEX(Data!$G$2:$G$750,SMALL(Data!$S$2:$S$750,268))=0,"",INDEX(Data!$G$2:$G$750,SMALL(Data!$S$2:$S$750,268))),"")</f>
        <v>46211</v>
      </c>
      <c r="I374" s="56">
        <f t="array" ref="I374">IFERROR(IF(INDEX(Data!$H$2:$H$750,SMALL(Data!$S$2:$S$750,268))=0,"",INDEX(Data!$H$2:$H$750,SMALL(Data!$S$2:$S$750,268))),"")</f>
        <v>14</v>
      </c>
      <c r="J374" s="58">
        <f t="array" ref="J374">IFERROR(INDEX(Data!$I$2:$I$750,SMALL(Data!$S$2:$S$750,268)),"")</f>
        <v>46309</v>
      </c>
      <c r="K374" s="56" t="str">
        <f t="array" ref="K374">IFERROR(INDEX(Data!$J$2:$J$750,SMALL(Data!$S$2:$S$750,268)),"")</f>
        <v>Not Paid</v>
      </c>
      <c r="L374" s="56" t="str">
        <f t="array" ref="L374">IFERROR(INDEX(Data!$K$2:$K$750,SMALL(Data!$S$2:$S$750,268)),"")</f>
        <v>Pending</v>
      </c>
      <c r="M374" s="48" t="s">
        <v>666</v>
      </c>
      <c r="N374" s="48">
        <f>SUMIFS(Data!D2:D750,Data!C2:C750,M374,Data!N2:N750,1)</f>
        <v>1</v>
      </c>
    </row>
    <row r="375" ht="15.75" customHeight="1">
      <c r="B375" s="53" t="str">
        <f t="array" ref="B375">IFERROR(INDEX(Data!$A$2:$A$750,SMALL(Data!$S$2:$S$750,269)),"")</f>
        <v>Shefaa Orman Hospital</v>
      </c>
      <c r="C375" s="53" t="str">
        <f t="array" ref="C375">IFERROR(IF(INDEX(Data!$B$2:$B$750,SMALL(Data!$S$2:$S$750,269))=0,"",INDEX(Data!$B$2:$B$750,SMALL(Data!$S$2:$S$750,269))),"")</f>
        <v/>
      </c>
      <c r="D375" s="53" t="str">
        <f t="array" ref="D375">IFERROR(INDEX(Data!$C$2:$C$750,SMALL(Data!$S$2:$S$750,269)),"")</f>
        <v>LRU1002 UHF Reader with 4 Antennas Kit</v>
      </c>
      <c r="E375" s="53">
        <f t="array" ref="E375">IFERROR(IF(INDEX(Data!$D$2:$D$750,SMALL(Data!$S$2:$S$750,269))=0,"",INDEX(Data!$D$2:$D$750,SMALL(Data!$S$2:$S$750,269))),"")</f>
        <v>2</v>
      </c>
      <c r="F375" s="54">
        <f t="array" ref="F375">IFERROR(IF(INDEX(Data!$E$2:$E$750,SMALL(Data!$S$2:$S$750,269))=0,"",INDEX(Data!$E$2:$E$750,SMALL(Data!$S$2:$S$750,269))),"")</f>
        <v>245</v>
      </c>
      <c r="G375" s="54">
        <f t="array" ref="G375">IFERROR(INDEX(Data!$F$2:$F$750,SMALL(Data!$S$2:$S$750,269)),"")</f>
        <v>490</v>
      </c>
      <c r="H375" s="55">
        <f t="array" ref="H375">IFERROR(IF(INDEX(Data!$G$2:$G$750,SMALL(Data!$S$2:$S$750,269))=0,"",INDEX(Data!$G$2:$G$750,SMALL(Data!$S$2:$S$750,269))),"")</f>
        <v>46212</v>
      </c>
      <c r="I375" s="53">
        <f t="array" ref="I375">IFERROR(IF(INDEX(Data!$H$2:$H$750,SMALL(Data!$S$2:$S$750,269))=0,"",INDEX(Data!$H$2:$H$750,SMALL(Data!$S$2:$S$750,269))),"")</f>
        <v>12</v>
      </c>
      <c r="J375" s="55">
        <f t="array" ref="J375">IFERROR(INDEX(Data!$I$2:$I$750,SMALL(Data!$S$2:$S$750,269)),"")</f>
        <v>46296</v>
      </c>
      <c r="K375" s="53" t="str">
        <f t="array" ref="K375">IFERROR(INDEX(Data!$J$2:$J$750,SMALL(Data!$S$2:$S$750,269)),"")</f>
        <v>Not Paid</v>
      </c>
      <c r="L375" s="53" t="str">
        <f t="array" ref="L375">IFERROR(INDEX(Data!$K$2:$K$750,SMALL(Data!$S$2:$S$750,269)),"")</f>
        <v>Pending</v>
      </c>
      <c r="M375" s="48" t="s">
        <v>556</v>
      </c>
      <c r="N375" s="48">
        <f>SUMIFS(Data!D2:D750,Data!C2:C750,M375,Data!N2:N750,1)</f>
        <v>3</v>
      </c>
    </row>
    <row r="376" ht="15.75" customHeight="1">
      <c r="B376" s="56" t="str">
        <f t="array" ref="B376">IFERROR(INDEX(Data!$A$2:$A$750,SMALL(Data!$S$2:$S$750,270)),"")</f>
        <v>Shefaa Orman Hospital</v>
      </c>
      <c r="C376" s="56" t="str">
        <f t="array" ref="C376">IFERROR(IF(INDEX(Data!$B$2:$B$750,SMALL(Data!$S$2:$S$750,270))=0,"",INDEX(Data!$B$2:$B$750,SMALL(Data!$S$2:$S$750,270))),"")</f>
        <v/>
      </c>
      <c r="D376" s="56" t="str">
        <f t="array" ref="D376">IFERROR(INDEX(Data!$C$2:$C$750,SMALL(Data!$S$2:$S$750,270)),"")</f>
        <v>RCO7012</v>
      </c>
      <c r="E376" s="56">
        <f t="array" ref="E376">IFERROR(IF(INDEX(Data!$D$2:$D$750,SMALL(Data!$S$2:$S$750,270))=0,"",INDEX(Data!$D$2:$D$750,SMALL(Data!$S$2:$S$750,270))),"")</f>
        <v>10000</v>
      </c>
      <c r="F376" s="57">
        <f t="array" ref="F376">IFERROR(IF(INDEX(Data!$E$2:$E$750,SMALL(Data!$S$2:$S$750,270))=0,"",INDEX(Data!$E$2:$E$750,SMALL(Data!$S$2:$S$750,270))),"")</f>
        <v>2555</v>
      </c>
      <c r="G376" s="57">
        <f t="array" ref="G376">IFERROR(INDEX(Data!$F$2:$F$750,SMALL(Data!$S$2:$S$750,270)),"")</f>
        <v>25550000</v>
      </c>
      <c r="H376" s="58">
        <f t="array" ref="H376">IFERROR(IF(INDEX(Data!$G$2:$G$750,SMALL(Data!$S$2:$S$750,270))=0,"",INDEX(Data!$G$2:$G$750,SMALL(Data!$S$2:$S$750,270))),"")</f>
        <v>46213</v>
      </c>
      <c r="I376" s="56">
        <f t="array" ref="I376">IFERROR(IF(INDEX(Data!$H$2:$H$750,SMALL(Data!$S$2:$S$750,270))=0,"",INDEX(Data!$H$2:$H$750,SMALL(Data!$S$2:$S$750,270))),"")</f>
        <v>14</v>
      </c>
      <c r="J376" s="58">
        <f t="array" ref="J376">IFERROR(INDEX(Data!$I$2:$I$750,SMALL(Data!$S$2:$S$750,270)),"")</f>
        <v>46311</v>
      </c>
      <c r="K376" s="56" t="str">
        <f t="array" ref="K376">IFERROR(INDEX(Data!$J$2:$J$750,SMALL(Data!$S$2:$S$750,270)),"")</f>
        <v>Not Paid</v>
      </c>
      <c r="L376" s="56" t="str">
        <f t="array" ref="L376">IFERROR(INDEX(Data!$K$2:$K$750,SMALL(Data!$S$2:$S$750,270)),"")</f>
        <v>Pending</v>
      </c>
      <c r="M376" s="48" t="s">
        <v>448</v>
      </c>
      <c r="N376" s="48">
        <f>SUMIFS(Data!D2:D750,Data!C2:C750,M376,Data!N2:N750,1)</f>
        <v>1</v>
      </c>
    </row>
    <row r="377" ht="15.75" customHeight="1">
      <c r="B377" s="53" t="str">
        <f t="array" ref="B377">IFERROR(INDEX(Data!$A$2:$A$750,SMALL(Data!$S$2:$S$750,271)),"")</f>
        <v>Shefaa Orman Hospital</v>
      </c>
      <c r="C377" s="53" t="str">
        <f t="array" ref="C377">IFERROR(IF(INDEX(Data!$B$2:$B$750,SMALL(Data!$S$2:$S$750,271))=0,"",INDEX(Data!$B$2:$B$750,SMALL(Data!$S$2:$S$750,271))),"")</f>
        <v/>
      </c>
      <c r="D377" s="53" t="str">
        <f t="array" ref="D377">IFERROR(INDEX(Data!$C$2:$C$750,SMALL(Data!$S$2:$S$750,271)),"")</f>
        <v>Dogbone</v>
      </c>
      <c r="E377" s="53">
        <f t="array" ref="E377">IFERROR(IF(INDEX(Data!$D$2:$D$750,SMALL(Data!$S$2:$S$750,271))=0,"",INDEX(Data!$D$2:$D$750,SMALL(Data!$S$2:$S$750,271))),"")</f>
        <v>10000</v>
      </c>
      <c r="F377" s="54">
        <f t="array" ref="F377">IFERROR(IF(INDEX(Data!$E$2:$E$750,SMALL(Data!$S$2:$S$750,271))=0,"",INDEX(Data!$E$2:$E$750,SMALL(Data!$S$2:$S$750,271))),"")</f>
        <v>255</v>
      </c>
      <c r="G377" s="54">
        <f t="array" ref="G377">IFERROR(INDEX(Data!$F$2:$F$750,SMALL(Data!$S$2:$S$750,271)),"")</f>
        <v>2550000</v>
      </c>
      <c r="H377" s="55">
        <f t="array" ref="H377">IFERROR(IF(INDEX(Data!$G$2:$G$750,SMALL(Data!$S$2:$S$750,271))=0,"",INDEX(Data!$G$2:$G$750,SMALL(Data!$S$2:$S$750,271))),"")</f>
        <v>46214</v>
      </c>
      <c r="I377" s="53">
        <f t="array" ref="I377">IFERROR(IF(INDEX(Data!$H$2:$H$750,SMALL(Data!$S$2:$S$750,271))=0,"",INDEX(Data!$H$2:$H$750,SMALL(Data!$S$2:$S$750,271))),"")</f>
        <v>13</v>
      </c>
      <c r="J377" s="55">
        <f t="array" ref="J377">IFERROR(INDEX(Data!$I$2:$I$750,SMALL(Data!$S$2:$S$750,271)),"")</f>
        <v>46305</v>
      </c>
      <c r="K377" s="53" t="str">
        <f t="array" ref="K377">IFERROR(INDEX(Data!$J$2:$J$750,SMALL(Data!$S$2:$S$750,271)),"")</f>
        <v>Not Paid</v>
      </c>
      <c r="L377" s="53" t="str">
        <f t="array" ref="L377">IFERROR(INDEX(Data!$K$2:$K$750,SMALL(Data!$S$2:$S$750,271)),"")</f>
        <v>Pending</v>
      </c>
      <c r="M377" s="48" t="s">
        <v>347</v>
      </c>
      <c r="N377" s="48">
        <f>SUMIFS(Data!D2:D750,Data!C2:C750,M377,Data!N2:N750,1)</f>
        <v>3700</v>
      </c>
    </row>
    <row r="378" ht="15.75" customHeight="1">
      <c r="B378" s="56" t="str">
        <f t="array" ref="B378">IFERROR(INDEX(Data!$A$2:$A$750,SMALL(Data!$S$2:$S$750,272)),"")</f>
        <v>Shefaa Orman Hospital</v>
      </c>
      <c r="C378" s="56" t="str">
        <f t="array" ref="C378">IFERROR(IF(INDEX(Data!$B$2:$B$750,SMALL(Data!$S$2:$S$750,272))=0,"",INDEX(Data!$B$2:$B$750,SMALL(Data!$S$2:$S$750,272))),"")</f>
        <v/>
      </c>
      <c r="D378" s="56" t="str">
        <f t="array" ref="D378">IFERROR(INDEX(Data!$C$2:$C$750,SMALL(Data!$S$2:$S$750,272)),"")</f>
        <v>Destructive Windshield Tags-printed give him 30 tags blank</v>
      </c>
      <c r="E378" s="56">
        <f t="array" ref="E378">IFERROR(IF(INDEX(Data!$D$2:$D$750,SMALL(Data!$S$2:$S$750,272))=0,"",INDEX(Data!$D$2:$D$750,SMALL(Data!$S$2:$S$750,272))),"")</f>
        <v>20</v>
      </c>
      <c r="F378" s="57">
        <f t="array" ref="F378">IFERROR(IF(INDEX(Data!$E$2:$E$750,SMALL(Data!$S$2:$S$750,272))=0,"",INDEX(Data!$E$2:$E$750,SMALL(Data!$S$2:$S$750,272))),"")</f>
        <v>45</v>
      </c>
      <c r="G378" s="57">
        <f t="array" ref="G378">IFERROR(INDEX(Data!$F$2:$F$750,SMALL(Data!$S$2:$S$750,272)),"")</f>
        <v>900</v>
      </c>
      <c r="H378" s="58">
        <f t="array" ref="H378">IFERROR(IF(INDEX(Data!$G$2:$G$750,SMALL(Data!$S$2:$S$750,272))=0,"",INDEX(Data!$G$2:$G$750,SMALL(Data!$S$2:$S$750,272))),"")</f>
        <v>46215</v>
      </c>
      <c r="I378" s="56">
        <f t="array" ref="I378">IFERROR(IF(INDEX(Data!$H$2:$H$750,SMALL(Data!$S$2:$S$750,272))=0,"",INDEX(Data!$H$2:$H$750,SMALL(Data!$S$2:$S$750,272))),"")</f>
        <v>19</v>
      </c>
      <c r="J378" s="58">
        <f t="array" ref="J378">IFERROR(INDEX(Data!$I$2:$I$750,SMALL(Data!$S$2:$S$750,272)),"")</f>
        <v>46348</v>
      </c>
      <c r="K378" s="56" t="str">
        <f t="array" ref="K378">IFERROR(INDEX(Data!$J$2:$J$750,SMALL(Data!$S$2:$S$750,272)),"")</f>
        <v>Not Paid</v>
      </c>
      <c r="L378" s="56" t="str">
        <f t="array" ref="L378">IFERROR(INDEX(Data!$K$2:$K$750,SMALL(Data!$S$2:$S$750,272)),"")</f>
        <v>Pending</v>
      </c>
      <c r="M378" s="48" t="s">
        <v>373</v>
      </c>
      <c r="N378" s="48">
        <f>SUMIFS(Data!D2:D750,Data!C2:C750,M378,Data!N2:N750,1)</f>
        <v>1000</v>
      </c>
    </row>
    <row r="379" ht="15.75" customHeight="1">
      <c r="B379" s="53" t="str">
        <f t="array" ref="B379">IFERROR(INDEX(Data!$A$2:$A$750,SMALL(Data!$S$2:$S$750,273)),"")</f>
        <v>Hassan Allam Properties (HQ)</v>
      </c>
      <c r="C379" s="53" t="str">
        <f t="array" ref="C379">IFERROR(IF(INDEX(Data!$B$2:$B$750,SMALL(Data!$S$2:$S$750,273))=0,"",INDEX(Data!$B$2:$B$750,SMALL(Data!$S$2:$S$750,273))),"")</f>
        <v/>
      </c>
      <c r="D379" s="53" t="str">
        <f t="array" ref="D379">IFERROR(INDEX(Data!$C$2:$C$750,SMALL(Data!$S$2:$S$750,273)),"")</f>
        <v>ID MAX50.10-RE Proximity Reader</v>
      </c>
      <c r="E379" s="53">
        <f t="array" ref="E379">IFERROR(IF(INDEX(Data!$D$2:$D$750,SMALL(Data!$S$2:$S$750,273))=0,"",INDEX(Data!$D$2:$D$750,SMALL(Data!$S$2:$S$750,273))),"")</f>
        <v>30</v>
      </c>
      <c r="F379" s="54">
        <f t="array" ref="F379">IFERROR(IF(INDEX(Data!$E$2:$E$750,SMALL(Data!$S$2:$S$750,273))=0,"",INDEX(Data!$E$2:$E$750,SMALL(Data!$S$2:$S$750,273))),"")</f>
        <v>36</v>
      </c>
      <c r="G379" s="54">
        <f t="array" ref="G379">IFERROR(INDEX(Data!$F$2:$F$750,SMALL(Data!$S$2:$S$750,273)),"")</f>
        <v>1080</v>
      </c>
      <c r="H379" s="55">
        <f t="array" ref="H379">IFERROR(IF(INDEX(Data!$G$2:$G$750,SMALL(Data!$S$2:$S$750,273))=0,"",INDEX(Data!$G$2:$G$750,SMALL(Data!$S$2:$S$750,273))),"")</f>
        <v>46216</v>
      </c>
      <c r="I379" s="53">
        <f t="array" ref="I379">IFERROR(IF(INDEX(Data!$H$2:$H$750,SMALL(Data!$S$2:$S$750,273))=0,"",INDEX(Data!$H$2:$H$750,SMALL(Data!$S$2:$S$750,273))),"")</f>
        <v>17</v>
      </c>
      <c r="J379" s="55">
        <f t="array" ref="J379">IFERROR(INDEX(Data!$I$2:$I$750,SMALL(Data!$S$2:$S$750,273)),"")</f>
        <v>46335</v>
      </c>
      <c r="K379" s="53" t="str">
        <f t="array" ref="K379">IFERROR(INDEX(Data!$J$2:$J$750,SMALL(Data!$S$2:$S$750,273)),"")</f>
        <v>Not Paid</v>
      </c>
      <c r="L379" s="53" t="str">
        <f t="array" ref="L379">IFERROR(INDEX(Data!$K$2:$K$750,SMALL(Data!$S$2:$S$750,273)),"")</f>
        <v>Pending</v>
      </c>
      <c r="M379" s="48" t="s">
        <v>230</v>
      </c>
      <c r="N379" s="48">
        <f>SUMIFS(Data!D2:D750,Data!C2:C750,M379,Data!N2:N750,1)</f>
        <v>2</v>
      </c>
    </row>
    <row r="380" ht="15.75" customHeight="1">
      <c r="B380" s="56" t="str">
        <f t="array" ref="B380">IFERROR(INDEX(Data!$A$2:$A$750,SMALL(Data!$S$2:$S$750,274)),"")</f>
        <v>Hassan Allam Properties (HQ)</v>
      </c>
      <c r="C380" s="56" t="str">
        <f t="array" ref="C380">IFERROR(IF(INDEX(Data!$B$2:$B$750,SMALL(Data!$S$2:$S$750,274))=0,"",INDEX(Data!$B$2:$B$750,SMALL(Data!$S$2:$S$750,274))),"")</f>
        <v/>
      </c>
      <c r="D380" s="56" t="str">
        <f t="array" ref="D380">IFERROR(INDEX(Data!$C$2:$C$750,SMALL(Data!$S$2:$S$750,274)),"")</f>
        <v>HF Card Mifare "one side printed"</v>
      </c>
      <c r="E380" s="56">
        <f t="array" ref="E380">IFERROR(IF(INDEX(Data!$D$2:$D$750,SMALL(Data!$S$2:$S$750,274))=0,"",INDEX(Data!$D$2:$D$750,SMALL(Data!$S$2:$S$750,274))),"")</f>
        <v>500</v>
      </c>
      <c r="F380" s="57">
        <f t="array" ref="F380">IFERROR(IF(INDEX(Data!$E$2:$E$750,SMALL(Data!$S$2:$S$750,274))=0,"",INDEX(Data!$E$2:$E$750,SMALL(Data!$S$2:$S$750,274))),"")</f>
        <v>96</v>
      </c>
      <c r="G380" s="57">
        <f t="array" ref="G380">IFERROR(INDEX(Data!$F$2:$F$750,SMALL(Data!$S$2:$S$750,274)),"")</f>
        <v>48000</v>
      </c>
      <c r="H380" s="58">
        <f t="array" ref="H380">IFERROR(IF(INDEX(Data!$G$2:$G$750,SMALL(Data!$S$2:$S$750,274))=0,"",INDEX(Data!$G$2:$G$750,SMALL(Data!$S$2:$S$750,274))),"")</f>
        <v>46217</v>
      </c>
      <c r="I380" s="56">
        <f t="array" ref="I380">IFERROR(IF(INDEX(Data!$H$2:$H$750,SMALL(Data!$S$2:$S$750,274))=0,"",INDEX(Data!$H$2:$H$750,SMALL(Data!$S$2:$S$750,274))),"")</f>
        <v>19</v>
      </c>
      <c r="J380" s="58">
        <f t="array" ref="J380">IFERROR(INDEX(Data!$I$2:$I$750,SMALL(Data!$S$2:$S$750,274)),"")</f>
        <v>46350</v>
      </c>
      <c r="K380" s="56" t="str">
        <f t="array" ref="K380">IFERROR(INDEX(Data!$J$2:$J$750,SMALL(Data!$S$2:$S$750,274)),"")</f>
        <v>Not Paid</v>
      </c>
      <c r="L380" s="56" t="str">
        <f t="array" ref="L380">IFERROR(INDEX(Data!$K$2:$K$750,SMALL(Data!$S$2:$S$750,274)),"")</f>
        <v>Pending</v>
      </c>
      <c r="M380" s="48" t="s">
        <v>325</v>
      </c>
      <c r="N380" s="48">
        <f>SUMIFS(Data!D2:D750,Data!C2:C750,M380,Data!N2:N750,1)</f>
        <v>10050</v>
      </c>
    </row>
    <row r="381" ht="15.75" customHeight="1">
      <c r="B381" s="53" t="str">
        <f t="array" ref="B381">IFERROR(INDEX(Data!$A$2:$A$750,SMALL(Data!$S$2:$S$750,275)),"")</f>
        <v>Hassan Allam Properties (HQ)</v>
      </c>
      <c r="C381" s="53" t="str">
        <f t="array" ref="C381">IFERROR(IF(INDEX(Data!$B$2:$B$750,SMALL(Data!$S$2:$S$750,275))=0,"",INDEX(Data!$B$2:$B$750,SMALL(Data!$S$2:$S$750,275))),"")</f>
        <v/>
      </c>
      <c r="D381" s="53" t="str">
        <f t="array" ref="D381">IFERROR(INDEX(Data!$C$2:$C$750,SMALL(Data!$S$2:$S$750,275)),"")</f>
        <v>Push button</v>
      </c>
      <c r="E381" s="53">
        <f t="array" ref="E381">IFERROR(IF(INDEX(Data!$D$2:$D$750,SMALL(Data!$S$2:$S$750,275))=0,"",INDEX(Data!$D$2:$D$750,SMALL(Data!$S$2:$S$750,275))),"")</f>
        <v>13</v>
      </c>
      <c r="F381" s="54">
        <f t="array" ref="F381">IFERROR(IF(INDEX(Data!$E$2:$E$750,SMALL(Data!$S$2:$S$750,275))=0,"",INDEX(Data!$E$2:$E$750,SMALL(Data!$S$2:$S$750,275))),"")</f>
        <v>8</v>
      </c>
      <c r="G381" s="54">
        <f t="array" ref="G381">IFERROR(INDEX(Data!$F$2:$F$750,SMALL(Data!$S$2:$S$750,275)),"")</f>
        <v>104</v>
      </c>
      <c r="H381" s="55">
        <f t="array" ref="H381">IFERROR(IF(INDEX(Data!$G$2:$G$750,SMALL(Data!$S$2:$S$750,275))=0,"",INDEX(Data!$G$2:$G$750,SMALL(Data!$S$2:$S$750,275))),"")</f>
        <v>46218</v>
      </c>
      <c r="I381" s="53">
        <f t="array" ref="I381">IFERROR(IF(INDEX(Data!$H$2:$H$750,SMALL(Data!$S$2:$S$750,275))=0,"",INDEX(Data!$H$2:$H$750,SMALL(Data!$S$2:$S$750,275))),"")</f>
        <v>21</v>
      </c>
      <c r="J381" s="55">
        <f t="array" ref="J381">IFERROR(INDEX(Data!$I$2:$I$750,SMALL(Data!$S$2:$S$750,275)),"")</f>
        <v>46365</v>
      </c>
      <c r="K381" s="53" t="str">
        <f t="array" ref="K381">IFERROR(INDEX(Data!$J$2:$J$750,SMALL(Data!$S$2:$S$750,275)),"")</f>
        <v>Not Paid</v>
      </c>
      <c r="L381" s="53" t="str">
        <f t="array" ref="L381">IFERROR(INDEX(Data!$K$2:$K$750,SMALL(Data!$S$2:$S$750,275)),"")</f>
        <v>Pending</v>
      </c>
      <c r="M381" s="48" t="s">
        <v>454</v>
      </c>
      <c r="N381" s="48">
        <f>SUMIFS(Data!D2:D750,Data!C2:C750,M381,Data!N2:N750,1)</f>
        <v>150</v>
      </c>
    </row>
    <row r="382" ht="15.75" customHeight="1">
      <c r="B382" s="56" t="str">
        <f t="array" ref="B382">IFERROR(INDEX(Data!$A$2:$A$750,SMALL(Data!$S$2:$S$750,276)),"")</f>
        <v>NASPS</v>
      </c>
      <c r="C382" s="56" t="str">
        <f t="array" ref="C382">IFERROR(IF(INDEX(Data!$B$2:$B$750,SMALL(Data!$S$2:$S$750,276))=0,"",INDEX(Data!$B$2:$B$750,SMALL(Data!$S$2:$S$750,276))),"")</f>
        <v/>
      </c>
      <c r="D382" s="56" t="str">
        <f t="array" ref="D382">IFERROR(INDEX(Data!$C$2:$C$750,SMALL(Data!$S$2:$S$750,276)),"")</f>
        <v>Resin Ribbon SATO R333A (273mmx210m)</v>
      </c>
      <c r="E382" s="56">
        <f t="array" ref="E382">IFERROR(IF(INDEX(Data!$D$2:$D$750,SMALL(Data!$S$2:$S$750,276))=0,"",INDEX(Data!$D$2:$D$750,SMALL(Data!$S$2:$S$750,276))),"")</f>
        <v>100</v>
      </c>
      <c r="F382" s="57">
        <f t="array" ref="F382">IFERROR(IF(INDEX(Data!$E$2:$E$750,SMALL(Data!$S$2:$S$750,276))=0,"",INDEX(Data!$E$2:$E$750,SMALL(Data!$S$2:$S$750,276))),"")</f>
        <v>5</v>
      </c>
      <c r="G382" s="57">
        <f t="array" ref="G382">IFERROR(INDEX(Data!$F$2:$F$750,SMALL(Data!$S$2:$S$750,276)),"")</f>
        <v>500</v>
      </c>
      <c r="H382" s="58">
        <f t="array" ref="H382">IFERROR(IF(INDEX(Data!$G$2:$G$750,SMALL(Data!$S$2:$S$750,276))=0,"",INDEX(Data!$G$2:$G$750,SMALL(Data!$S$2:$S$750,276))),"")</f>
        <v>46219</v>
      </c>
      <c r="I382" s="56">
        <f t="array" ref="I382">IFERROR(IF(INDEX(Data!$H$2:$H$750,SMALL(Data!$S$2:$S$750,276))=0,"",INDEX(Data!$H$2:$H$750,SMALL(Data!$S$2:$S$750,276))),"")</f>
        <v>20</v>
      </c>
      <c r="J382" s="58">
        <f t="array" ref="J382">IFERROR(INDEX(Data!$I$2:$I$750,SMALL(Data!$S$2:$S$750,276)),"")</f>
        <v>46359</v>
      </c>
      <c r="K382" s="56" t="str">
        <f t="array" ref="K382">IFERROR(INDEX(Data!$J$2:$J$750,SMALL(Data!$S$2:$S$750,276)),"")</f>
        <v>Not Paid</v>
      </c>
      <c r="L382" s="56" t="str">
        <f t="array" ref="L382">IFERROR(INDEX(Data!$K$2:$K$750,SMALL(Data!$S$2:$S$750,276)),"")</f>
        <v>Pending</v>
      </c>
      <c r="M382" s="48" t="s">
        <v>129</v>
      </c>
      <c r="N382" s="48">
        <f>SUMIFS(Data!D2:D750,Data!C2:C750,M382,Data!N2:N750,1)</f>
        <v>2700</v>
      </c>
    </row>
    <row r="383" ht="15.75" customHeight="1">
      <c r="B383" s="53" t="str">
        <f t="array" ref="B383">IFERROR(INDEX(Data!$A$2:$A$750,SMALL(Data!$S$2:$S$750,277)),"")</f>
        <v>Al Baraka Bank</v>
      </c>
      <c r="C383" s="53" t="str">
        <f t="array" ref="C383">IFERROR(IF(INDEX(Data!$B$2:$B$750,SMALL(Data!$S$2:$S$750,277))=0,"",INDEX(Data!$B$2:$B$750,SMALL(Data!$S$2:$S$750,277))),"")</f>
        <v/>
      </c>
      <c r="D383" s="53" t="str">
        <f t="array" ref="D383">IFERROR(INDEX(Data!$C$2:$C$750,SMALL(Data!$S$2:$S$750,277)),"")</f>
        <v>AT909</v>
      </c>
      <c r="E383" s="53">
        <f t="array" ref="E383">IFERROR(IF(INDEX(Data!$D$2:$D$750,SMALL(Data!$S$2:$S$750,277))=0,"",INDEX(Data!$D$2:$D$750,SMALL(Data!$S$2:$S$750,277))),"")</f>
        <v>4</v>
      </c>
      <c r="F383" s="54">
        <f t="array" ref="F383">IFERROR(IF(INDEX(Data!$E$2:$E$750,SMALL(Data!$S$2:$S$750,277))=0,"",INDEX(Data!$E$2:$E$750,SMALL(Data!$S$2:$S$750,277))),"")</f>
        <v>4</v>
      </c>
      <c r="G383" s="54">
        <f t="array" ref="G383">IFERROR(INDEX(Data!$F$2:$F$750,SMALL(Data!$S$2:$S$750,277)),"")</f>
        <v>16</v>
      </c>
      <c r="H383" s="55">
        <f t="array" ref="H383">IFERROR(IF(INDEX(Data!$G$2:$G$750,SMALL(Data!$S$2:$S$750,277))=0,"",INDEX(Data!$G$2:$G$750,SMALL(Data!$S$2:$S$750,277))),"")</f>
        <v>46220</v>
      </c>
      <c r="I383" s="53">
        <f t="array" ref="I383">IFERROR(IF(INDEX(Data!$H$2:$H$750,SMALL(Data!$S$2:$S$750,277))=0,"",INDEX(Data!$H$2:$H$750,SMALL(Data!$S$2:$S$750,277))),"")</f>
        <v>21</v>
      </c>
      <c r="J383" s="55">
        <f t="array" ref="J383">IFERROR(INDEX(Data!$I$2:$I$750,SMALL(Data!$S$2:$S$750,277)),"")</f>
        <v>46367</v>
      </c>
      <c r="K383" s="53" t="str">
        <f t="array" ref="K383">IFERROR(INDEX(Data!$J$2:$J$750,SMALL(Data!$S$2:$S$750,277)),"")</f>
        <v>Not Paid</v>
      </c>
      <c r="L383" s="53" t="str">
        <f t="array" ref="L383">IFERROR(INDEX(Data!$K$2:$K$750,SMALL(Data!$S$2:$S$750,277)),"")</f>
        <v>Pending</v>
      </c>
      <c r="M383" s="48" t="s">
        <v>538</v>
      </c>
      <c r="N383" s="48">
        <f>SUMIFS(Data!D2:D750,Data!C2:C750,M383,Data!N2:N750,1)</f>
        <v>6</v>
      </c>
    </row>
    <row r="384" ht="15.75" customHeight="1">
      <c r="B384" s="56" t="str">
        <f t="array" ref="B384">IFERROR(INDEX(Data!$A$2:$A$750,SMALL(Data!$S$2:$S$750,278)),"")</f>
        <v>Al Baraka Bank</v>
      </c>
      <c r="C384" s="56" t="str">
        <f t="array" ref="C384">IFERROR(IF(INDEX(Data!$B$2:$B$750,SMALL(Data!$S$2:$S$750,278))=0,"",INDEX(Data!$B$2:$B$750,SMALL(Data!$S$2:$S$750,278))),"")</f>
        <v/>
      </c>
      <c r="D384" s="56" t="str">
        <f t="array" ref="D384">IFERROR(INDEX(Data!$C$2:$C$750,SMALL(Data!$S$2:$S$750,278)),"")</f>
        <v>RFID Industrial Printer CL4NX Plus Kit</v>
      </c>
      <c r="E384" s="56">
        <f t="array" ref="E384">IFERROR(IF(INDEX(Data!$D$2:$D$750,SMALL(Data!$S$2:$S$750,278))=0,"",INDEX(Data!$D$2:$D$750,SMALL(Data!$S$2:$S$750,278))),"")</f>
        <v>4</v>
      </c>
      <c r="F384" s="57">
        <f t="array" ref="F384">IFERROR(IF(INDEX(Data!$E$2:$E$750,SMALL(Data!$S$2:$S$750,278))=0,"",INDEX(Data!$E$2:$E$750,SMALL(Data!$S$2:$S$750,278))),"")</f>
        <v>2</v>
      </c>
      <c r="G384" s="57">
        <f t="array" ref="G384">IFERROR(INDEX(Data!$F$2:$F$750,SMALL(Data!$S$2:$S$750,278)),"")</f>
        <v>8</v>
      </c>
      <c r="H384" s="58">
        <f t="array" ref="H384">IFERROR(IF(INDEX(Data!$G$2:$G$750,SMALL(Data!$S$2:$S$750,278))=0,"",INDEX(Data!$G$2:$G$750,SMALL(Data!$S$2:$S$750,278))),"")</f>
        <v>46221</v>
      </c>
      <c r="I384" s="56">
        <f t="array" ref="I384">IFERROR(IF(INDEX(Data!$H$2:$H$750,SMALL(Data!$S$2:$S$750,278))=0,"",INDEX(Data!$H$2:$H$750,SMALL(Data!$S$2:$S$750,278))),"")</f>
        <v>18</v>
      </c>
      <c r="J384" s="58">
        <f t="array" ref="J384">IFERROR(INDEX(Data!$I$2:$I$750,SMALL(Data!$S$2:$S$750,278)),"")</f>
        <v>46347</v>
      </c>
      <c r="K384" s="56" t="str">
        <f t="array" ref="K384">IFERROR(INDEX(Data!$J$2:$J$750,SMALL(Data!$S$2:$S$750,278)),"")</f>
        <v>Not Paid</v>
      </c>
      <c r="L384" s="56" t="str">
        <f t="array" ref="L384">IFERROR(INDEX(Data!$K$2:$K$750,SMALL(Data!$S$2:$S$750,278)),"")</f>
        <v>Pending</v>
      </c>
      <c r="M384" s="48" t="s">
        <v>527</v>
      </c>
      <c r="N384" s="48">
        <f>SUMIFS(Data!D2:D750,Data!C2:C750,M384,Data!N2:N750,1)</f>
        <v>5</v>
      </c>
    </row>
    <row r="385" ht="15.75" customHeight="1">
      <c r="B385" s="53" t="str">
        <f t="array" ref="B385">IFERROR(INDEX(Data!$A$2:$A$750,SMALL(Data!$S$2:$S$750,279)),"")</f>
        <v>Al Baraka Bank</v>
      </c>
      <c r="C385" s="53" t="str">
        <f t="array" ref="C385">IFERROR(IF(INDEX(Data!$B$2:$B$750,SMALL(Data!$S$2:$S$750,279))=0,"",INDEX(Data!$B$2:$B$750,SMALL(Data!$S$2:$S$750,279))),"")</f>
        <v/>
      </c>
      <c r="D385" s="53" t="str">
        <f t="array" ref="D385">IFERROR(INDEX(Data!$C$2:$C$750,SMALL(Data!$S$2:$S$750,279)),"")</f>
        <v>Ribbons for SATO Industrial Printer</v>
      </c>
      <c r="E385" s="53">
        <f t="array" ref="E385">IFERROR(IF(INDEX(Data!$D$2:$D$750,SMALL(Data!$S$2:$S$750,279))=0,"",INDEX(Data!$D$2:$D$750,SMALL(Data!$S$2:$S$750,279))),"")</f>
        <v>4</v>
      </c>
      <c r="F385" s="54">
        <f t="array" ref="F385">IFERROR(IF(INDEX(Data!$E$2:$E$750,SMALL(Data!$S$2:$S$750,279))=0,"",INDEX(Data!$E$2:$E$750,SMALL(Data!$S$2:$S$750,279))),"")</f>
        <v>36</v>
      </c>
      <c r="G385" s="54">
        <f t="array" ref="G385">IFERROR(INDEX(Data!$F$2:$F$750,SMALL(Data!$S$2:$S$750,279)),"")</f>
        <v>144</v>
      </c>
      <c r="H385" s="55">
        <f t="array" ref="H385">IFERROR(IF(INDEX(Data!$G$2:$G$750,SMALL(Data!$S$2:$S$750,279))=0,"",INDEX(Data!$G$2:$G$750,SMALL(Data!$S$2:$S$750,279))),"")</f>
        <v>46222</v>
      </c>
      <c r="I385" s="53">
        <f t="array" ref="I385">IFERROR(IF(INDEX(Data!$H$2:$H$750,SMALL(Data!$S$2:$S$750,279))=0,"",INDEX(Data!$H$2:$H$750,SMALL(Data!$S$2:$S$750,279))),"")</f>
        <v>17</v>
      </c>
      <c r="J385" s="55">
        <f t="array" ref="J385">IFERROR(INDEX(Data!$I$2:$I$750,SMALL(Data!$S$2:$S$750,279)),"")</f>
        <v>46341</v>
      </c>
      <c r="K385" s="53" t="str">
        <f t="array" ref="K385">IFERROR(INDEX(Data!$J$2:$J$750,SMALL(Data!$S$2:$S$750,279)),"")</f>
        <v>Not Paid</v>
      </c>
      <c r="L385" s="53" t="str">
        <f t="array" ref="L385">IFERROR(INDEX(Data!$K$2:$K$750,SMALL(Data!$S$2:$S$750,279)),"")</f>
        <v>Pending</v>
      </c>
      <c r="M385" s="48" t="s">
        <v>547</v>
      </c>
      <c r="N385" s="48">
        <f>SUMIFS(Data!D2:D750,Data!C2:C750,M385,Data!N2:N750,1)</f>
        <v>7</v>
      </c>
    </row>
    <row r="386" ht="15.75" customHeight="1">
      <c r="B386" s="56" t="str">
        <f t="array" ref="B386">IFERROR(INDEX(Data!$A$2:$A$750,SMALL(Data!$S$2:$S$750,280)),"")</f>
        <v>Al Baraka Bank</v>
      </c>
      <c r="C386" s="56" t="str">
        <f t="array" ref="C386">IFERROR(IF(INDEX(Data!$B$2:$B$750,SMALL(Data!$S$2:$S$750,280))=0,"",INDEX(Data!$B$2:$B$750,SMALL(Data!$S$2:$S$750,280))),"")</f>
        <v/>
      </c>
      <c r="D386" s="56" t="str">
        <f t="array" ref="D386">IFERROR(INDEX(Data!$C$2:$C$750,SMALL(Data!$S$2:$S$750,280)),"")</f>
        <v>Dogbone</v>
      </c>
      <c r="E386" s="56">
        <f t="array" ref="E386">IFERROR(IF(INDEX(Data!$D$2:$D$750,SMALL(Data!$S$2:$S$750,280))=0,"",INDEX(Data!$D$2:$D$750,SMALL(Data!$S$2:$S$750,280))),"")</f>
        <v>50000</v>
      </c>
      <c r="F386" s="57">
        <f t="array" ref="F386">IFERROR(IF(INDEX(Data!$E$2:$E$750,SMALL(Data!$S$2:$S$750,280))=0,"",INDEX(Data!$E$2:$E$750,SMALL(Data!$S$2:$S$750,280))),"")</f>
        <v>2</v>
      </c>
      <c r="G386" s="57">
        <f t="array" ref="G386">IFERROR(INDEX(Data!$F$2:$F$750,SMALL(Data!$S$2:$S$750,280)),"")</f>
        <v>100000</v>
      </c>
      <c r="H386" s="58">
        <f t="array" ref="H386">IFERROR(IF(INDEX(Data!$G$2:$G$750,SMALL(Data!$S$2:$S$750,280))=0,"",INDEX(Data!$G$2:$G$750,SMALL(Data!$S$2:$S$750,280))),"")</f>
        <v>46223</v>
      </c>
      <c r="I386" s="56">
        <f t="array" ref="I386">IFERROR(IF(INDEX(Data!$H$2:$H$750,SMALL(Data!$S$2:$S$750,280))=0,"",INDEX(Data!$H$2:$H$750,SMALL(Data!$S$2:$S$750,280))),"")</f>
        <v>20</v>
      </c>
      <c r="J386" s="58">
        <f t="array" ref="J386">IFERROR(INDEX(Data!$I$2:$I$750,SMALL(Data!$S$2:$S$750,280)),"")</f>
        <v>46363</v>
      </c>
      <c r="K386" s="56" t="str">
        <f t="array" ref="K386">IFERROR(INDEX(Data!$J$2:$J$750,SMALL(Data!$S$2:$S$750,280)),"")</f>
        <v>Not Paid</v>
      </c>
      <c r="L386" s="56" t="str">
        <f t="array" ref="L386">IFERROR(INDEX(Data!$K$2:$K$750,SMALL(Data!$S$2:$S$750,280)),"")</f>
        <v>Pending</v>
      </c>
      <c r="M386" s="48" t="s">
        <v>555</v>
      </c>
      <c r="N386" s="48">
        <f>SUMIFS(Data!D2:D750,Data!C2:C750,M386,Data!N2:N750,1)</f>
        <v>6</v>
      </c>
    </row>
    <row r="387" ht="15.75" customHeight="1">
      <c r="B387" s="53" t="str">
        <f t="array" ref="B387">IFERROR(INDEX(Data!$A$2:$A$750,SMALL(Data!$S$2:$S$750,281)),"")</f>
        <v>Al Baraka Bank</v>
      </c>
      <c r="C387" s="53" t="str">
        <f t="array" ref="C387">IFERROR(IF(INDEX(Data!$B$2:$B$750,SMALL(Data!$S$2:$S$750,281))=0,"",INDEX(Data!$B$2:$B$750,SMALL(Data!$S$2:$S$750,281))),"")</f>
        <v/>
      </c>
      <c r="D387" s="53" t="str">
        <f t="array" ref="D387">IFERROR(INDEX(Data!$C$2:$C$750,SMALL(Data!$S$2:$S$750,281)),"")</f>
        <v>RCO7012-Blank</v>
      </c>
      <c r="E387" s="53">
        <f t="array" ref="E387">IFERROR(IF(INDEX(Data!$D$2:$D$750,SMALL(Data!$S$2:$S$750,281))=0,"",INDEX(Data!$D$2:$D$750,SMALL(Data!$S$2:$S$750,281))),"")</f>
        <v>10000</v>
      </c>
      <c r="F387" s="54">
        <f t="array" ref="F387">IFERROR(IF(INDEX(Data!$E$2:$E$750,SMALL(Data!$S$2:$S$750,281))=0,"",INDEX(Data!$E$2:$E$750,SMALL(Data!$S$2:$S$750,281))),"")</f>
        <v>5</v>
      </c>
      <c r="G387" s="54">
        <f t="array" ref="G387">IFERROR(INDEX(Data!$F$2:$F$750,SMALL(Data!$S$2:$S$750,281)),"")</f>
        <v>50000</v>
      </c>
      <c r="H387" s="55">
        <f t="array" ref="H387">IFERROR(IF(INDEX(Data!$G$2:$G$750,SMALL(Data!$S$2:$S$750,281))=0,"",INDEX(Data!$G$2:$G$750,SMALL(Data!$S$2:$S$750,281))),"")</f>
        <v>46224</v>
      </c>
      <c r="I387" s="53">
        <f t="array" ref="I387">IFERROR(IF(INDEX(Data!$H$2:$H$750,SMALL(Data!$S$2:$S$750,281))=0,"",INDEX(Data!$H$2:$H$750,SMALL(Data!$S$2:$S$750,281))),"")</f>
        <v>20</v>
      </c>
      <c r="J387" s="55">
        <f t="array" ref="J387">IFERROR(INDEX(Data!$I$2:$I$750,SMALL(Data!$S$2:$S$750,281)),"")</f>
        <v>46364</v>
      </c>
      <c r="K387" s="53" t="str">
        <f t="array" ref="K387">IFERROR(INDEX(Data!$J$2:$J$750,SMALL(Data!$S$2:$S$750,281)),"")</f>
        <v>Not Paid</v>
      </c>
      <c r="L387" s="53" t="str">
        <f t="array" ref="L387">IFERROR(INDEX(Data!$K$2:$K$750,SMALL(Data!$S$2:$S$750,281)),"")</f>
        <v>Pending</v>
      </c>
      <c r="M387" s="48" t="s">
        <v>452</v>
      </c>
      <c r="N387" s="48">
        <f>SUMIFS(Data!D2:D750,Data!C2:C750,M387,Data!N2:N750,1)</f>
        <v>30</v>
      </c>
    </row>
    <row r="388" ht="15.75" customHeight="1">
      <c r="B388" s="56" t="str">
        <f t="array" ref="B388">IFERROR(INDEX(Data!$A$2:$A$750,SMALL(Data!$S$2:$S$750,282)),"")</f>
        <v>EIM Group</v>
      </c>
      <c r="C388" s="56" t="str">
        <f t="array" ref="C388">IFERROR(IF(INDEX(Data!$B$2:$B$750,SMALL(Data!$S$2:$S$750,282))=0,"",INDEX(Data!$B$2:$B$750,SMALL(Data!$S$2:$S$750,282))),"")</f>
        <v/>
      </c>
      <c r="D388" s="56" t="str">
        <f t="array" ref="D388">IFERROR(INDEX(Data!$C$2:$C$750,SMALL(Data!$S$2:$S$750,282)),"")</f>
        <v>Rich tags (RCO7012) Printed</v>
      </c>
      <c r="E388" s="56">
        <f t="array" ref="E388">IFERROR(IF(INDEX(Data!$D$2:$D$750,SMALL(Data!$S$2:$S$750,282))=0,"",INDEX(Data!$D$2:$D$750,SMALL(Data!$S$2:$S$750,282))),"")</f>
        <v>20000</v>
      </c>
      <c r="F388" s="57">
        <f t="array" ref="F388">IFERROR(IF(INDEX(Data!$E$2:$E$750,SMALL(Data!$S$2:$S$750,282))=0,"",INDEX(Data!$E$2:$E$750,SMALL(Data!$S$2:$S$750,282))),"")</f>
        <v>6</v>
      </c>
      <c r="G388" s="57">
        <f t="array" ref="G388">IFERROR(INDEX(Data!$F$2:$F$750,SMALL(Data!$S$2:$S$750,282)),"")</f>
        <v>120000</v>
      </c>
      <c r="H388" s="58">
        <f t="array" ref="H388">IFERROR(IF(INDEX(Data!$G$2:$G$750,SMALL(Data!$S$2:$S$750,282))=0,"",INDEX(Data!$G$2:$G$750,SMALL(Data!$S$2:$S$750,282))),"")</f>
        <v>46225</v>
      </c>
      <c r="I388" s="56">
        <f t="array" ref="I388">IFERROR(IF(INDEX(Data!$H$2:$H$750,SMALL(Data!$S$2:$S$750,282))=0,"",INDEX(Data!$H$2:$H$750,SMALL(Data!$S$2:$S$750,282))),"")</f>
        <v>23</v>
      </c>
      <c r="J388" s="58">
        <f t="array" ref="J388">IFERROR(INDEX(Data!$I$2:$I$750,SMALL(Data!$S$2:$S$750,282)),"")</f>
        <v>46386</v>
      </c>
      <c r="K388" s="56" t="str">
        <f t="array" ref="K388">IFERROR(INDEX(Data!$J$2:$J$750,SMALL(Data!$S$2:$S$750,282)),"")</f>
        <v>Not Paid</v>
      </c>
      <c r="L388" s="56" t="str">
        <f t="array" ref="L388">IFERROR(INDEX(Data!$K$2:$K$750,SMALL(Data!$S$2:$S$750,282)),"")</f>
        <v>Pending</v>
      </c>
      <c r="M388" s="48" t="s">
        <v>668</v>
      </c>
      <c r="N388" s="48">
        <f>SUMIFS(Data!D2:D750,Data!C2:C750,M388,Data!N2:N750,1)</f>
        <v>2</v>
      </c>
    </row>
    <row r="389" ht="15.75" customHeight="1">
      <c r="B389" s="53" t="str">
        <f t="array" ref="B389">IFERROR(INDEX(Data!$A$2:$A$750,SMALL(Data!$S$2:$S$750,283)),"")</f>
        <v>EIM Group</v>
      </c>
      <c r="C389" s="53" t="str">
        <f t="array" ref="C389">IFERROR(IF(INDEX(Data!$B$2:$B$750,SMALL(Data!$S$2:$S$750,283))=0,"",INDEX(Data!$B$2:$B$750,SMALL(Data!$S$2:$S$750,283))),"")</f>
        <v/>
      </c>
      <c r="D389" s="53" t="str">
        <f t="array" ref="D389">IFERROR(INDEX(Data!$C$2:$C$750,SMALL(Data!$S$2:$S$750,283)),"")</f>
        <v>AT909</v>
      </c>
      <c r="E389" s="53">
        <f t="array" ref="E389">IFERROR(IF(INDEX(Data!$D$2:$D$750,SMALL(Data!$S$2:$S$750,283))=0,"",INDEX(Data!$D$2:$D$750,SMALL(Data!$S$2:$S$750,283))),"")</f>
        <v>4</v>
      </c>
      <c r="F389" s="54">
        <f t="array" ref="F389">IFERROR(IF(INDEX(Data!$E$2:$E$750,SMALL(Data!$S$2:$S$750,283))=0,"",INDEX(Data!$E$2:$E$750,SMALL(Data!$S$2:$S$750,283))),"")</f>
        <v>7</v>
      </c>
      <c r="G389" s="54">
        <f t="array" ref="G389">IFERROR(INDEX(Data!$F$2:$F$750,SMALL(Data!$S$2:$S$750,283)),"")</f>
        <v>28</v>
      </c>
      <c r="H389" s="55">
        <f t="array" ref="H389">IFERROR(IF(INDEX(Data!$G$2:$G$750,SMALL(Data!$S$2:$S$750,283))=0,"",INDEX(Data!$G$2:$G$750,SMALL(Data!$S$2:$S$750,283))),"")</f>
        <v>46226</v>
      </c>
      <c r="I389" s="53">
        <f t="array" ref="I389">IFERROR(IF(INDEX(Data!$H$2:$H$750,SMALL(Data!$S$2:$S$750,283))=0,"",INDEX(Data!$H$2:$H$750,SMALL(Data!$S$2:$S$750,283))),"")</f>
        <v>24</v>
      </c>
      <c r="J389" s="55">
        <f t="array" ref="J389">IFERROR(INDEX(Data!$I$2:$I$750,SMALL(Data!$S$2:$S$750,283)),"")</f>
        <v>46394</v>
      </c>
      <c r="K389" s="53" t="str">
        <f t="array" ref="K389">IFERROR(INDEX(Data!$J$2:$J$750,SMALL(Data!$S$2:$S$750,283)),"")</f>
        <v>Not Paid</v>
      </c>
      <c r="L389" s="53" t="str">
        <f t="array" ref="L389">IFERROR(INDEX(Data!$K$2:$K$750,SMALL(Data!$S$2:$S$750,283)),"")</f>
        <v>Pending</v>
      </c>
      <c r="M389" s="48" t="s">
        <v>664</v>
      </c>
      <c r="N389" s="48">
        <f>SUMIFS(Data!D2:D750,Data!C2:C750,M389,Data!N2:N750,1)</f>
        <v>1</v>
      </c>
    </row>
    <row r="390" ht="15.75" customHeight="1">
      <c r="B390" s="56" t="str">
        <f t="array" ref="B390">IFERROR(INDEX(Data!$A$2:$A$750,SMALL(Data!$S$2:$S$750,284)),"")</f>
        <v>La Hacienda</v>
      </c>
      <c r="C390" s="56" t="str">
        <f t="array" ref="C390">IFERROR(IF(INDEX(Data!$B$2:$B$750,SMALL(Data!$S$2:$S$750,284))=0,"",INDEX(Data!$B$2:$B$750,SMALL(Data!$S$2:$S$750,284))),"")</f>
        <v/>
      </c>
      <c r="D390" s="56" t="str">
        <f t="array" ref="D390">IFERROR(INDEX(Data!$C$2:$C$750,SMALL(Data!$S$2:$S$750,284)),"")</f>
        <v>Fixing hub for round boom - Diam. 80mm</v>
      </c>
      <c r="E390" s="56">
        <f t="array" ref="E390">IFERROR(IF(INDEX(Data!$D$2:$D$750,SMALL(Data!$S$2:$S$750,284))=0,"",INDEX(Data!$D$2:$D$750,SMALL(Data!$S$2:$S$750,284))),"")</f>
        <v>1</v>
      </c>
      <c r="F390" s="57">
        <f t="array" ref="F390">IFERROR(IF(INDEX(Data!$E$2:$E$750,SMALL(Data!$S$2:$S$750,284))=0,"",INDEX(Data!$E$2:$E$750,SMALL(Data!$S$2:$S$750,284))),"")</f>
        <v>8</v>
      </c>
      <c r="G390" s="57">
        <f t="array" ref="G390">IFERROR(INDEX(Data!$F$2:$F$750,SMALL(Data!$S$2:$S$750,284)),"")</f>
        <v>8</v>
      </c>
      <c r="H390" s="58">
        <f t="array" ref="H390">IFERROR(IF(INDEX(Data!$G$2:$G$750,SMALL(Data!$S$2:$S$750,284))=0,"",INDEX(Data!$G$2:$G$750,SMALL(Data!$S$2:$S$750,284))),"")</f>
        <v>46227</v>
      </c>
      <c r="I390" s="56">
        <f t="array" ref="I390">IFERROR(IF(INDEX(Data!$H$2:$H$750,SMALL(Data!$S$2:$S$750,284))=0,"",INDEX(Data!$H$2:$H$750,SMALL(Data!$S$2:$S$750,284))),"")</f>
        <v>23</v>
      </c>
      <c r="J390" s="58">
        <f t="array" ref="J390">IFERROR(INDEX(Data!$I$2:$I$750,SMALL(Data!$S$2:$S$750,284)),"")</f>
        <v>46388</v>
      </c>
      <c r="K390" s="56" t="str">
        <f t="array" ref="K390">IFERROR(INDEX(Data!$J$2:$J$750,SMALL(Data!$S$2:$S$750,284)),"")</f>
        <v>Not Paid</v>
      </c>
      <c r="L390" s="56" t="str">
        <f t="array" ref="L390">IFERROR(INDEX(Data!$K$2:$K$750,SMALL(Data!$S$2:$S$750,284)),"")</f>
        <v>Pending</v>
      </c>
      <c r="M390" s="48" t="s">
        <v>665</v>
      </c>
      <c r="N390" s="48">
        <f>SUMIFS(Data!D2:D750,Data!C2:C750,M390,Data!N2:N750,1)</f>
        <v>3</v>
      </c>
    </row>
    <row r="391" ht="15.75" customHeight="1">
      <c r="B391" s="53" t="str">
        <f t="array" ref="B391">IFERROR(INDEX(Data!$A$2:$A$750,SMALL(Data!$S$2:$S$750,285)),"")</f>
        <v>La Hacienda</v>
      </c>
      <c r="C391" s="53" t="str">
        <f t="array" ref="C391">IFERROR(IF(INDEX(Data!$B$2:$B$750,SMALL(Data!$S$2:$S$750,285))=0,"",INDEX(Data!$B$2:$B$750,SMALL(Data!$S$2:$S$750,285))),"")</f>
        <v/>
      </c>
      <c r="D391" s="53" t="str">
        <f t="array" ref="D391">IFERROR(INDEX(Data!$C$2:$C$750,SMALL(Data!$S$2:$S$750,285)),"")</f>
        <v>[ACG8502] RIB Boom arm 4 m. - Ø80mm</v>
      </c>
      <c r="E391" s="53">
        <f t="array" ref="E391">IFERROR(IF(INDEX(Data!$D$2:$D$750,SMALL(Data!$S$2:$S$750,285))=0,"",INDEX(Data!$D$2:$D$750,SMALL(Data!$S$2:$S$750,285))),"")</f>
        <v>1</v>
      </c>
      <c r="F391" s="54">
        <f t="array" ref="F391">IFERROR(IF(INDEX(Data!$E$2:$E$750,SMALL(Data!$S$2:$S$750,285))=0,"",INDEX(Data!$E$2:$E$750,SMALL(Data!$S$2:$S$750,285))),"")</f>
        <v>2</v>
      </c>
      <c r="G391" s="54">
        <f t="array" ref="G391">IFERROR(INDEX(Data!$F$2:$F$750,SMALL(Data!$S$2:$S$750,285)),"")</f>
        <v>2</v>
      </c>
      <c r="H391" s="55">
        <f t="array" ref="H391">IFERROR(IF(INDEX(Data!$G$2:$G$750,SMALL(Data!$S$2:$S$750,285))=0,"",INDEX(Data!$G$2:$G$750,SMALL(Data!$S$2:$S$750,285))),"")</f>
        <v>46228</v>
      </c>
      <c r="I391" s="53">
        <f t="array" ref="I391">IFERROR(IF(INDEX(Data!$H$2:$H$750,SMALL(Data!$S$2:$S$750,285))=0,"",INDEX(Data!$H$2:$H$750,SMALL(Data!$S$2:$S$750,285))),"")</f>
        <v>21</v>
      </c>
      <c r="J391" s="55">
        <f t="array" ref="J391">IFERROR(INDEX(Data!$I$2:$I$750,SMALL(Data!$S$2:$S$750,285)),"")</f>
        <v>46375</v>
      </c>
      <c r="K391" s="53" t="str">
        <f t="array" ref="K391">IFERROR(INDEX(Data!$J$2:$J$750,SMALL(Data!$S$2:$S$750,285)),"")</f>
        <v>Not Paid</v>
      </c>
      <c r="L391" s="53" t="str">
        <f t="array" ref="L391">IFERROR(INDEX(Data!$K$2:$K$750,SMALL(Data!$S$2:$S$750,285)),"")</f>
        <v>Pending</v>
      </c>
      <c r="M391" s="48" t="s">
        <v>568</v>
      </c>
      <c r="N391" s="48">
        <f>SUMIFS(Data!D2:D750,Data!C2:C750,M391,Data!N2:N750,1)</f>
        <v>11500</v>
      </c>
    </row>
    <row r="392" ht="15.75" customHeight="1">
      <c r="B392" s="56" t="str">
        <f t="array" ref="B392">IFERROR(INDEX(Data!$A$2:$A$750,SMALL(Data!$S$2:$S$750,286)),"")</f>
        <v>Mirage City</v>
      </c>
      <c r="C392" s="56" t="str">
        <f t="array" ref="C392">IFERROR(IF(INDEX(Data!$B$2:$B$750,SMALL(Data!$S$2:$S$750,286))=0,"",INDEX(Data!$B$2:$B$750,SMALL(Data!$S$2:$S$750,286))),"")</f>
        <v/>
      </c>
      <c r="D392" s="56" t="str">
        <f t="array" ref="D392">IFERROR(INDEX(Data!$C$2:$C$750,SMALL(Data!$S$2:$S$750,286)),"")</f>
        <v>LRU1002</v>
      </c>
      <c r="E392" s="56">
        <f t="array" ref="E392">IFERROR(IF(INDEX(Data!$D$2:$D$750,SMALL(Data!$S$2:$S$750,286))=0,"",INDEX(Data!$D$2:$D$750,SMALL(Data!$S$2:$S$750,286))),"")</f>
        <v>1</v>
      </c>
      <c r="F392" s="57">
        <f t="array" ref="F392">IFERROR(IF(INDEX(Data!$E$2:$E$750,SMALL(Data!$S$2:$S$750,286))=0,"",INDEX(Data!$E$2:$E$750,SMALL(Data!$S$2:$S$750,286))),"")</f>
        <v>15</v>
      </c>
      <c r="G392" s="57">
        <f t="array" ref="G392">IFERROR(INDEX(Data!$F$2:$F$750,SMALL(Data!$S$2:$S$750,286)),"")</f>
        <v>15</v>
      </c>
      <c r="H392" s="58">
        <f t="array" ref="H392">IFERROR(IF(INDEX(Data!$G$2:$G$750,SMALL(Data!$S$2:$S$750,286))=0,"",INDEX(Data!$G$2:$G$750,SMALL(Data!$S$2:$S$750,286))),"")</f>
        <v>46229</v>
      </c>
      <c r="I392" s="56">
        <f t="array" ref="I392">IFERROR(IF(INDEX(Data!$H$2:$H$750,SMALL(Data!$S$2:$S$750,286))=0,"",INDEX(Data!$H$2:$H$750,SMALL(Data!$S$2:$S$750,286))),"")</f>
        <v>24</v>
      </c>
      <c r="J392" s="58">
        <f t="array" ref="J392">IFERROR(INDEX(Data!$I$2:$I$750,SMALL(Data!$S$2:$S$750,286)),"")</f>
        <v>46397</v>
      </c>
      <c r="K392" s="56" t="str">
        <f t="array" ref="K392">IFERROR(INDEX(Data!$J$2:$J$750,SMALL(Data!$S$2:$S$750,286)),"")</f>
        <v>Not Paid</v>
      </c>
      <c r="L392" s="56" t="str">
        <f t="array" ref="L392">IFERROR(INDEX(Data!$K$2:$K$750,SMALL(Data!$S$2:$S$750,286)),"")</f>
        <v>Pending</v>
      </c>
      <c r="M392" s="48" t="s">
        <v>460</v>
      </c>
      <c r="N392" s="48">
        <f>SUMIFS(Data!D2:D750,Data!C2:C750,M392,Data!N2:N750,1)</f>
        <v>1400</v>
      </c>
    </row>
    <row r="393" ht="15.75" customHeight="1">
      <c r="B393" s="53" t="str">
        <f t="array" ref="B393">IFERROR(INDEX(Data!$A$2:$A$750,SMALL(Data!$S$2:$S$750,287)),"")</f>
        <v>Nissan</v>
      </c>
      <c r="C393" s="53" t="str">
        <f t="array" ref="C393">IFERROR(IF(INDEX(Data!$B$2:$B$750,SMALL(Data!$S$2:$S$750,287))=0,"",INDEX(Data!$B$2:$B$750,SMALL(Data!$S$2:$S$750,287))),"")</f>
        <v/>
      </c>
      <c r="D393" s="53" t="str">
        <f t="array" ref="D393">IFERROR(INDEX(Data!$C$2:$C$750,SMALL(Data!$S$2:$S$750,287)),"")</f>
        <v>WWCLP202NSP SATO Printer</v>
      </c>
      <c r="E393" s="53">
        <f t="array" ref="E393">IFERROR(IF(INDEX(Data!$D$2:$D$750,SMALL(Data!$S$2:$S$750,287))=0,"",INDEX(Data!$D$2:$D$750,SMALL(Data!$S$2:$S$750,287))),"")</f>
        <v>2</v>
      </c>
      <c r="F393" s="54">
        <f t="array" ref="F393">IFERROR(IF(INDEX(Data!$E$2:$E$750,SMALL(Data!$S$2:$S$750,287))=0,"",INDEX(Data!$E$2:$E$750,SMALL(Data!$S$2:$S$750,287))),"")</f>
        <v>45</v>
      </c>
      <c r="G393" s="54">
        <f t="array" ref="G393">IFERROR(INDEX(Data!$F$2:$F$750,SMALL(Data!$S$2:$S$750,287)),"")</f>
        <v>90</v>
      </c>
      <c r="H393" s="55">
        <f t="array" ref="H393">IFERROR(IF(INDEX(Data!$G$2:$G$750,SMALL(Data!$S$2:$S$750,287))=0,"",INDEX(Data!$G$2:$G$750,SMALL(Data!$S$2:$S$750,287))),"")</f>
        <v>46230</v>
      </c>
      <c r="I393" s="53">
        <f t="array" ref="I393">IFERROR(IF(INDEX(Data!$H$2:$H$750,SMALL(Data!$S$2:$S$750,287))=0,"",INDEX(Data!$H$2:$H$750,SMALL(Data!$S$2:$S$750,287))),"")</f>
        <v>22</v>
      </c>
      <c r="J393" s="55">
        <f t="array" ref="J393">IFERROR(INDEX(Data!$I$2:$I$750,SMALL(Data!$S$2:$S$750,287)),"")</f>
        <v>46384</v>
      </c>
      <c r="K393" s="53" t="str">
        <f t="array" ref="K393">IFERROR(INDEX(Data!$J$2:$J$750,SMALL(Data!$S$2:$S$750,287)),"")</f>
        <v>Not Paid</v>
      </c>
      <c r="L393" s="53" t="str">
        <f t="array" ref="L393">IFERROR(INDEX(Data!$K$2:$K$750,SMALL(Data!$S$2:$S$750,287)),"")</f>
        <v>Pending</v>
      </c>
      <c r="M393" s="48" t="s">
        <v>530</v>
      </c>
      <c r="N393" s="48">
        <f>SUMIFS(Data!D2:D750,Data!C2:C750,M393,Data!N2:N750,1)</f>
        <v>3</v>
      </c>
    </row>
    <row r="394" ht="15.75" customHeight="1">
      <c r="B394" s="56" t="str">
        <f t="array" ref="B394">IFERROR(INDEX(Data!$A$2:$A$750,SMALL(Data!$S$2:$S$750,288)),"")</f>
        <v>Nissan</v>
      </c>
      <c r="C394" s="56" t="str">
        <f t="array" ref="C394">IFERROR(IF(INDEX(Data!$B$2:$B$750,SMALL(Data!$S$2:$S$750,288))=0,"",INDEX(Data!$B$2:$B$750,SMALL(Data!$S$2:$S$750,288))),"")</f>
        <v/>
      </c>
      <c r="D394" s="56" t="str">
        <f t="array" ref="D394">IFERROR(INDEX(Data!$C$2:$C$750,SMALL(Data!$S$2:$S$750,288)),"")</f>
        <v>[WWCL05100] CUTTER KIT</v>
      </c>
      <c r="E394" s="56">
        <f t="array" ref="E394">IFERROR(IF(INDEX(Data!$D$2:$D$750,SMALL(Data!$S$2:$S$750,288))=0,"",INDEX(Data!$D$2:$D$750,SMALL(Data!$S$2:$S$750,288))),"")</f>
        <v>2</v>
      </c>
      <c r="F394" s="57">
        <f t="array" ref="F394">IFERROR(IF(INDEX(Data!$E$2:$E$750,SMALL(Data!$S$2:$S$750,288))=0,"",INDEX(Data!$E$2:$E$750,SMALL(Data!$S$2:$S$750,288))),"")</f>
        <v>24</v>
      </c>
      <c r="G394" s="57">
        <f t="array" ref="G394">IFERROR(INDEX(Data!$F$2:$F$750,SMALL(Data!$S$2:$S$750,288)),"")</f>
        <v>48</v>
      </c>
      <c r="H394" s="58">
        <f t="array" ref="H394">IFERROR(IF(INDEX(Data!$G$2:$G$750,SMALL(Data!$S$2:$S$750,288))=0,"",INDEX(Data!$G$2:$G$750,SMALL(Data!$S$2:$S$750,288))),"")</f>
        <v>46231</v>
      </c>
      <c r="I394" s="56">
        <f t="array" ref="I394">IFERROR(IF(INDEX(Data!$H$2:$H$750,SMALL(Data!$S$2:$S$750,288))=0,"",INDEX(Data!$H$2:$H$750,SMALL(Data!$S$2:$S$750,288))),"")</f>
        <v>23</v>
      </c>
      <c r="J394" s="58">
        <f t="array" ref="J394">IFERROR(INDEX(Data!$I$2:$I$750,SMALL(Data!$S$2:$S$750,288)),"")</f>
        <v>46392</v>
      </c>
      <c r="K394" s="56" t="str">
        <f t="array" ref="K394">IFERROR(INDEX(Data!$J$2:$J$750,SMALL(Data!$S$2:$S$750,288)),"")</f>
        <v>Not Paid</v>
      </c>
      <c r="L394" s="56" t="str">
        <f t="array" ref="L394">IFERROR(INDEX(Data!$K$2:$K$750,SMALL(Data!$S$2:$S$750,288)),"")</f>
        <v>Pending</v>
      </c>
      <c r="M394" s="48" t="s">
        <v>432</v>
      </c>
      <c r="N394" s="48">
        <f>SUMIFS(Data!D2:D750,Data!C2:C750,M394,Data!N2:N750,1)</f>
        <v>1</v>
      </c>
    </row>
    <row r="395" ht="15.75" customHeight="1">
      <c r="B395" s="53" t="str">
        <f t="array" ref="B395">IFERROR(INDEX(Data!$A$2:$A$750,SMALL(Data!$S$2:$S$750,289)),"")</f>
        <v>Nissan</v>
      </c>
      <c r="C395" s="53" t="str">
        <f t="array" ref="C395">IFERROR(IF(INDEX(Data!$B$2:$B$750,SMALL(Data!$S$2:$S$750,289))=0,"",INDEX(Data!$B$2:$B$750,SMALL(Data!$S$2:$S$750,289))),"")</f>
        <v/>
      </c>
      <c r="D395" s="53" t="str">
        <f t="array" ref="D395">IFERROR(INDEX(Data!$C$2:$C$750,SMALL(Data!$S$2:$S$750,289)),"")</f>
        <v>Zebra DS3678 Barcode Reader</v>
      </c>
      <c r="E395" s="53">
        <f t="array" ref="E395">IFERROR(IF(INDEX(Data!$D$2:$D$750,SMALL(Data!$S$2:$S$750,289))=0,"",INDEX(Data!$D$2:$D$750,SMALL(Data!$S$2:$S$750,289))),"")</f>
        <v>2</v>
      </c>
      <c r="F395" s="54">
        <f t="array" ref="F395">IFERROR(IF(INDEX(Data!$E$2:$E$750,SMALL(Data!$S$2:$S$750,289))=0,"",INDEX(Data!$E$2:$E$750,SMALL(Data!$S$2:$S$750,289))),"")</f>
        <v>25</v>
      </c>
      <c r="G395" s="54">
        <f t="array" ref="G395">IFERROR(INDEX(Data!$F$2:$F$750,SMALL(Data!$S$2:$S$750,289)),"")</f>
        <v>50</v>
      </c>
      <c r="H395" s="55">
        <f t="array" ref="H395">IFERROR(IF(INDEX(Data!$G$2:$G$750,SMALL(Data!$S$2:$S$750,289))=0,"",INDEX(Data!$G$2:$G$750,SMALL(Data!$S$2:$S$750,289))),"")</f>
        <v>46232</v>
      </c>
      <c r="I395" s="53">
        <f t="array" ref="I395">IFERROR(IF(INDEX(Data!$H$2:$H$750,SMALL(Data!$S$2:$S$750,289))=0,"",INDEX(Data!$H$2:$H$750,SMALL(Data!$S$2:$S$750,289))),"")</f>
        <v>21</v>
      </c>
      <c r="J395" s="55">
        <f t="array" ref="J395">IFERROR(INDEX(Data!$I$2:$I$750,SMALL(Data!$S$2:$S$750,289)),"")</f>
        <v>46379</v>
      </c>
      <c r="K395" s="53" t="str">
        <f t="array" ref="K395">IFERROR(INDEX(Data!$J$2:$J$750,SMALL(Data!$S$2:$S$750,289)),"")</f>
        <v>Not Paid</v>
      </c>
      <c r="L395" s="53" t="str">
        <f t="array" ref="L395">IFERROR(INDEX(Data!$K$2:$K$750,SMALL(Data!$S$2:$S$750,289)),"")</f>
        <v>Pending</v>
      </c>
      <c r="M395" s="48" t="s">
        <v>641</v>
      </c>
      <c r="N395" s="48">
        <f>SUMIFS(Data!D2:D750,Data!C2:C750,M395,Data!N2:N750,1)</f>
        <v>6</v>
      </c>
    </row>
    <row r="396" ht="15.75" customHeight="1">
      <c r="B396" s="56" t="str">
        <f t="array" ref="B396">IFERROR(INDEX(Data!$A$2:$A$750,SMALL(Data!$S$2:$S$750,290)),"")</f>
        <v>Nissan</v>
      </c>
      <c r="C396" s="56" t="str">
        <f t="array" ref="C396">IFERROR(IF(INDEX(Data!$B$2:$B$750,SMALL(Data!$S$2:$S$750,290))=0,"",INDEX(Data!$B$2:$B$750,SMALL(Data!$S$2:$S$750,290))),"")</f>
        <v/>
      </c>
      <c r="D396" s="56" t="str">
        <f t="array" ref="D396">IFERROR(INDEX(Data!$C$2:$C$750,SMALL(Data!$S$2:$S$750,290)),"")</f>
        <v>APC Easy UPS On-Line 1000VA/800W</v>
      </c>
      <c r="E396" s="56">
        <f t="array" ref="E396">IFERROR(IF(INDEX(Data!$D$2:$D$750,SMALL(Data!$S$2:$S$750,290))=0,"",INDEX(Data!$D$2:$D$750,SMALL(Data!$S$2:$S$750,290))),"")</f>
        <v>1</v>
      </c>
      <c r="F396" s="57">
        <f t="array" ref="F396">IFERROR(IF(INDEX(Data!$E$2:$E$750,SMALL(Data!$S$2:$S$750,290))=0,"",INDEX(Data!$E$2:$E$750,SMALL(Data!$S$2:$S$750,290))),"")</f>
        <v>36</v>
      </c>
      <c r="G396" s="57">
        <f t="array" ref="G396">IFERROR(INDEX(Data!$F$2:$F$750,SMALL(Data!$S$2:$S$750,290)),"")</f>
        <v>36</v>
      </c>
      <c r="H396" s="58">
        <f t="array" ref="H396">IFERROR(IF(INDEX(Data!$G$2:$G$750,SMALL(Data!$S$2:$S$750,290))=0,"",INDEX(Data!$G$2:$G$750,SMALL(Data!$S$2:$S$750,290))),"")</f>
        <v>46233</v>
      </c>
      <c r="I396" s="56">
        <f t="array" ref="I396">IFERROR(IF(INDEX(Data!$H$2:$H$750,SMALL(Data!$S$2:$S$750,290))=0,"",INDEX(Data!$H$2:$H$750,SMALL(Data!$S$2:$S$750,290))),"")</f>
        <v>24</v>
      </c>
      <c r="J396" s="58">
        <f t="array" ref="J396">IFERROR(INDEX(Data!$I$2:$I$750,SMALL(Data!$S$2:$S$750,290)),"")</f>
        <v>46401</v>
      </c>
      <c r="K396" s="56" t="str">
        <f t="array" ref="K396">IFERROR(INDEX(Data!$J$2:$J$750,SMALL(Data!$S$2:$S$750,290)),"")</f>
        <v>Not Paid</v>
      </c>
      <c r="L396" s="56" t="str">
        <f t="array" ref="L396">IFERROR(INDEX(Data!$K$2:$K$750,SMALL(Data!$S$2:$S$750,290)),"")</f>
        <v>Pending</v>
      </c>
      <c r="M396" s="48" t="s">
        <v>375</v>
      </c>
      <c r="N396" s="48">
        <f>SUMIFS(Data!D2:D750,Data!C2:C750,M396,Data!N2:N750,1)</f>
        <v>3800</v>
      </c>
    </row>
    <row r="397" ht="15.75" customHeight="1">
      <c r="B397" s="53" t="str">
        <f t="array" ref="B397">IFERROR(INDEX(Data!$A$2:$A$750,SMALL(Data!$S$2:$S$750,291)),"")</f>
        <v>Nissan</v>
      </c>
      <c r="C397" s="53" t="str">
        <f t="array" ref="C397">IFERROR(IF(INDEX(Data!$B$2:$B$750,SMALL(Data!$S$2:$S$750,291))=0,"",INDEX(Data!$B$2:$B$750,SMALL(Data!$S$2:$S$750,291))),"")</f>
        <v/>
      </c>
      <c r="D397" s="53" t="str">
        <f t="array" ref="D397">IFERROR(INDEX(Data!$C$2:$C$750,SMALL(Data!$S$2:$S$750,291)),"")</f>
        <v>LR5-LAN Tower Lamp</v>
      </c>
      <c r="E397" s="53">
        <f t="array" ref="E397">IFERROR(IF(INDEX(Data!$D$2:$D$750,SMALL(Data!$S$2:$S$750,291))=0,"",INDEX(Data!$D$2:$D$750,SMALL(Data!$S$2:$S$750,291))),"")</f>
        <v>1</v>
      </c>
      <c r="F397" s="54">
        <f t="array" ref="F397">IFERROR(IF(INDEX(Data!$E$2:$E$750,SMALL(Data!$S$2:$S$750,291))=0,"",INDEX(Data!$E$2:$E$750,SMALL(Data!$S$2:$S$750,291))),"")</f>
        <v>95</v>
      </c>
      <c r="G397" s="54">
        <f t="array" ref="G397">IFERROR(INDEX(Data!$F$2:$F$750,SMALL(Data!$S$2:$S$750,291)),"")</f>
        <v>95</v>
      </c>
      <c r="H397" s="55">
        <f t="array" ref="H397">IFERROR(IF(INDEX(Data!$G$2:$G$750,SMALL(Data!$S$2:$S$750,291))=0,"",INDEX(Data!$G$2:$G$750,SMALL(Data!$S$2:$S$750,291))),"")</f>
        <v>46234</v>
      </c>
      <c r="I397" s="53">
        <f t="array" ref="I397">IFERROR(IF(INDEX(Data!$H$2:$H$750,SMALL(Data!$S$2:$S$750,291))=0,"",INDEX(Data!$H$2:$H$750,SMALL(Data!$S$2:$S$750,291))),"")</f>
        <v>20</v>
      </c>
      <c r="J397" s="55">
        <f t="array" ref="J397">IFERROR(INDEX(Data!$I$2:$I$750,SMALL(Data!$S$2:$S$750,291)),"")</f>
        <v>46374</v>
      </c>
      <c r="K397" s="53" t="str">
        <f t="array" ref="K397">IFERROR(INDEX(Data!$J$2:$J$750,SMALL(Data!$S$2:$S$750,291)),"")</f>
        <v>Not Paid</v>
      </c>
      <c r="L397" s="53" t="str">
        <f t="array" ref="L397">IFERROR(INDEX(Data!$K$2:$K$750,SMALL(Data!$S$2:$S$750,291)),"")</f>
        <v>Pending</v>
      </c>
      <c r="M397" s="48" t="s">
        <v>503</v>
      </c>
      <c r="N397" s="48">
        <f>SUMIFS(Data!D2:D750,Data!C2:C750,M397,Data!N2:N750,1)</f>
        <v>1</v>
      </c>
    </row>
    <row r="398" ht="15.75" customHeight="1">
      <c r="B398" s="56" t="str">
        <f t="array" ref="B398">IFERROR(INDEX(Data!$A$2:$A$750,SMALL(Data!$S$2:$S$750,292)),"")</f>
        <v>Nissan</v>
      </c>
      <c r="C398" s="56" t="str">
        <f t="array" ref="C398">IFERROR(IF(INDEX(Data!$B$2:$B$750,SMALL(Data!$S$2:$S$750,292))=0,"",INDEX(Data!$B$2:$B$750,SMALL(Data!$S$2:$S$750,292))),"")</f>
        <v/>
      </c>
      <c r="D398" s="56" t="str">
        <f t="array" ref="D398">IFERROR(INDEX(Data!$C$2:$C$750,SMALL(Data!$S$2:$S$750,292)),"")</f>
        <v>Advantech industrial PC IPC-610H</v>
      </c>
      <c r="E398" s="56">
        <f t="array" ref="E398">IFERROR(IF(INDEX(Data!$D$2:$D$750,SMALL(Data!$S$2:$S$750,292))=0,"",INDEX(Data!$D$2:$D$750,SMALL(Data!$S$2:$S$750,292))),"")</f>
        <v>2</v>
      </c>
      <c r="F398" s="57">
        <f t="array" ref="F398">IFERROR(IF(INDEX(Data!$E$2:$E$750,SMALL(Data!$S$2:$S$750,292))=0,"",INDEX(Data!$E$2:$E$750,SMALL(Data!$S$2:$S$750,292))),"")</f>
        <v>574</v>
      </c>
      <c r="G398" s="57">
        <f t="array" ref="G398">IFERROR(INDEX(Data!$F$2:$F$750,SMALL(Data!$S$2:$S$750,292)),"")</f>
        <v>1148</v>
      </c>
      <c r="H398" s="58">
        <f t="array" ref="H398">IFERROR(IF(INDEX(Data!$G$2:$G$750,SMALL(Data!$S$2:$S$750,292))=0,"",INDEX(Data!$G$2:$G$750,SMALL(Data!$S$2:$S$750,292))),"")</f>
        <v>46235</v>
      </c>
      <c r="I398" s="56">
        <f t="array" ref="I398">IFERROR(IF(INDEX(Data!$H$2:$H$750,SMALL(Data!$S$2:$S$750,292))=0,"",INDEX(Data!$H$2:$H$750,SMALL(Data!$S$2:$S$750,292))),"")</f>
        <v>16</v>
      </c>
      <c r="J398" s="58">
        <f t="array" ref="J398">IFERROR(INDEX(Data!$I$2:$I$750,SMALL(Data!$S$2:$S$750,292)),"")</f>
        <v>46347</v>
      </c>
      <c r="K398" s="56" t="str">
        <f t="array" ref="K398">IFERROR(INDEX(Data!$J$2:$J$750,SMALL(Data!$S$2:$S$750,292)),"")</f>
        <v>Not Paid</v>
      </c>
      <c r="L398" s="56" t="str">
        <f t="array" ref="L398">IFERROR(INDEX(Data!$K$2:$K$750,SMALL(Data!$S$2:$S$750,292)),"")</f>
        <v>Pending</v>
      </c>
      <c r="M398" s="48" t="s">
        <v>640</v>
      </c>
      <c r="N398" s="48">
        <f>SUMIFS(Data!D2:D750,Data!C2:C750,M398,Data!N2:N750,1)</f>
        <v>2510</v>
      </c>
    </row>
    <row r="399" ht="15.75" customHeight="1">
      <c r="B399" s="53" t="str">
        <f t="array" ref="B399">IFERROR(INDEX(Data!$A$2:$A$750,SMALL(Data!$S$2:$S$750,293)),"")</f>
        <v>Nissan</v>
      </c>
      <c r="C399" s="53" t="str">
        <f t="array" ref="C399">IFERROR(IF(INDEX(Data!$B$2:$B$750,SMALL(Data!$S$2:$S$750,293))=0,"",INDEX(Data!$B$2:$B$750,SMALL(Data!$S$2:$S$750,293))),"")</f>
        <v/>
      </c>
      <c r="D399" s="53" t="str">
        <f t="array" ref="D399">IFERROR(INDEX(Data!$C$2:$C$750,SMALL(Data!$S$2:$S$750,293)),"")</f>
        <v>Monitor with mouse &amp; Keyboard</v>
      </c>
      <c r="E399" s="53">
        <f t="array" ref="E399">IFERROR(IF(INDEX(Data!$D$2:$D$750,SMALL(Data!$S$2:$S$750,293))=0,"",INDEX(Data!$D$2:$D$750,SMALL(Data!$S$2:$S$750,293))),"")</f>
        <v>1</v>
      </c>
      <c r="F399" s="54">
        <f t="array" ref="F399">IFERROR(IF(INDEX(Data!$E$2:$E$750,SMALL(Data!$S$2:$S$750,293))=0,"",INDEX(Data!$E$2:$E$750,SMALL(Data!$S$2:$S$750,293))),"")</f>
        <v>558</v>
      </c>
      <c r="G399" s="54">
        <f t="array" ref="G399">IFERROR(INDEX(Data!$F$2:$F$750,SMALL(Data!$S$2:$S$750,293)),"")</f>
        <v>558</v>
      </c>
      <c r="H399" s="55">
        <f t="array" ref="H399">IFERROR(IF(INDEX(Data!$G$2:$G$750,SMALL(Data!$S$2:$S$750,293))=0,"",INDEX(Data!$G$2:$G$750,SMALL(Data!$S$2:$S$750,293))),"")</f>
        <v>46236</v>
      </c>
      <c r="I399" s="53">
        <f t="array" ref="I399">IFERROR(IF(INDEX(Data!$H$2:$H$750,SMALL(Data!$S$2:$S$750,293))=0,"",INDEX(Data!$H$2:$H$750,SMALL(Data!$S$2:$S$750,293))),"")</f>
        <v>16</v>
      </c>
      <c r="J399" s="55">
        <f t="array" ref="J399">IFERROR(INDEX(Data!$I$2:$I$750,SMALL(Data!$S$2:$S$750,293)),"")</f>
        <v>46348</v>
      </c>
      <c r="K399" s="53" t="str">
        <f t="array" ref="K399">IFERROR(INDEX(Data!$J$2:$J$750,SMALL(Data!$S$2:$S$750,293)),"")</f>
        <v>Not Paid</v>
      </c>
      <c r="L399" s="53" t="str">
        <f t="array" ref="L399">IFERROR(INDEX(Data!$K$2:$K$750,SMALL(Data!$S$2:$S$750,293)),"")</f>
        <v>Pending</v>
      </c>
      <c r="M399" s="48" t="s">
        <v>457</v>
      </c>
      <c r="N399" s="48">
        <f>SUMIFS(Data!D2:D750,Data!C2:C750,M399,Data!N2:N750,1)</f>
        <v>200</v>
      </c>
    </row>
    <row r="400" ht="15.75" customHeight="1">
      <c r="B400" s="56" t="str">
        <f t="array" ref="B400">IFERROR(INDEX(Data!$A$2:$A$750,SMALL(Data!$S$2:$S$750,294)),"")</f>
        <v>Nissan</v>
      </c>
      <c r="C400" s="56" t="str">
        <f t="array" ref="C400">IFERROR(IF(INDEX(Data!$B$2:$B$750,SMALL(Data!$S$2:$S$750,294))=0,"",INDEX(Data!$B$2:$B$750,SMALL(Data!$S$2:$S$750,294))),"")</f>
        <v/>
      </c>
      <c r="D400" s="56" t="str">
        <f t="array" ref="D400">IFERROR(INDEX(Data!$C$2:$C$750,SMALL(Data!$S$2:$S$750,294)),"")</f>
        <v>Ethernet Cable</v>
      </c>
      <c r="E400" s="56">
        <f t="array" ref="E400">IFERROR(IF(INDEX(Data!$D$2:$D$750,SMALL(Data!$S$2:$S$750,294))=0,"",INDEX(Data!$D$2:$D$750,SMALL(Data!$S$2:$S$750,294))),"")</f>
        <v>1</v>
      </c>
      <c r="F400" s="57">
        <f t="array" ref="F400">IFERROR(IF(INDEX(Data!$E$2:$E$750,SMALL(Data!$S$2:$S$750,294))=0,"",INDEX(Data!$E$2:$E$750,SMALL(Data!$S$2:$S$750,294))),"")</f>
        <v>2265</v>
      </c>
      <c r="G400" s="57">
        <f t="array" ref="G400">IFERROR(INDEX(Data!$F$2:$F$750,SMALL(Data!$S$2:$S$750,294)),"")</f>
        <v>2265</v>
      </c>
      <c r="H400" s="58">
        <f t="array" ref="H400">IFERROR(IF(INDEX(Data!$G$2:$G$750,SMALL(Data!$S$2:$S$750,294))=0,"",INDEX(Data!$G$2:$G$750,SMALL(Data!$S$2:$S$750,294))),"")</f>
        <v>46237</v>
      </c>
      <c r="I400" s="56">
        <f t="array" ref="I400">IFERROR(IF(INDEX(Data!$H$2:$H$750,SMALL(Data!$S$2:$S$750,294))=0,"",INDEX(Data!$H$2:$H$750,SMALL(Data!$S$2:$S$750,294))),"")</f>
        <v>19</v>
      </c>
      <c r="J400" s="58">
        <f t="array" ref="J400">IFERROR(INDEX(Data!$I$2:$I$750,SMALL(Data!$S$2:$S$750,294)),"")</f>
        <v>46370</v>
      </c>
      <c r="K400" s="56" t="str">
        <f t="array" ref="K400">IFERROR(INDEX(Data!$J$2:$J$750,SMALL(Data!$S$2:$S$750,294)),"")</f>
        <v>Not Paid</v>
      </c>
      <c r="L400" s="56" t="str">
        <f t="array" ref="L400">IFERROR(INDEX(Data!$K$2:$K$750,SMALL(Data!$S$2:$S$750,294)),"")</f>
        <v>Pending</v>
      </c>
      <c r="M400" s="48" t="s">
        <v>583</v>
      </c>
      <c r="N400" s="48">
        <f>SUMIFS(Data!D2:D750,Data!C2:C750,M400,Data!N2:N750,1)</f>
        <v>4</v>
      </c>
    </row>
    <row r="401" ht="15.75" customHeight="1">
      <c r="B401" s="53" t="str">
        <f t="array" ref="B401">IFERROR(INDEX(Data!$A$2:$A$750,SMALL(Data!$S$2:$S$750,295)),"")</f>
        <v>Nissan</v>
      </c>
      <c r="C401" s="53" t="str">
        <f t="array" ref="C401">IFERROR(IF(INDEX(Data!$B$2:$B$750,SMALL(Data!$S$2:$S$750,295))=0,"",INDEX(Data!$B$2:$B$750,SMALL(Data!$S$2:$S$750,295))),"")</f>
        <v/>
      </c>
      <c r="D401" s="53" t="str">
        <f t="array" ref="D401">IFERROR(INDEX(Data!$C$2:$C$750,SMALL(Data!$S$2:$S$750,295)),"")</f>
        <v>Ribbons Industrial Printer: 110mm x 450m</v>
      </c>
      <c r="E401" s="53">
        <f t="array" ref="E401">IFERROR(IF(INDEX(Data!$D$2:$D$750,SMALL(Data!$S$2:$S$750,295))=0,"",INDEX(Data!$D$2:$D$750,SMALL(Data!$S$2:$S$750,295))),"")</f>
        <v>20</v>
      </c>
      <c r="F401" s="54">
        <f t="array" ref="F401">IFERROR(IF(INDEX(Data!$E$2:$E$750,SMALL(Data!$S$2:$S$750,295))=0,"",INDEX(Data!$E$2:$E$750,SMALL(Data!$S$2:$S$750,295))),"")</f>
        <v>45</v>
      </c>
      <c r="G401" s="54">
        <f t="array" ref="G401">IFERROR(INDEX(Data!$F$2:$F$750,SMALL(Data!$S$2:$S$750,295)),"")</f>
        <v>900</v>
      </c>
      <c r="H401" s="55">
        <f t="array" ref="H401">IFERROR(IF(INDEX(Data!$G$2:$G$750,SMALL(Data!$S$2:$S$750,295))=0,"",INDEX(Data!$G$2:$G$750,SMALL(Data!$S$2:$S$750,295))),"")</f>
        <v>46238</v>
      </c>
      <c r="I401" s="53">
        <f t="array" ref="I401">IFERROR(IF(INDEX(Data!$H$2:$H$750,SMALL(Data!$S$2:$S$750,295))=0,"",INDEX(Data!$H$2:$H$750,SMALL(Data!$S$2:$S$750,295))),"")</f>
        <v>20</v>
      </c>
      <c r="J401" s="55">
        <f t="array" ref="J401">IFERROR(INDEX(Data!$I$2:$I$750,SMALL(Data!$S$2:$S$750,295)),"")</f>
        <v>46378</v>
      </c>
      <c r="K401" s="53" t="str">
        <f t="array" ref="K401">IFERROR(INDEX(Data!$J$2:$J$750,SMALL(Data!$S$2:$S$750,295)),"")</f>
        <v>Not Paid</v>
      </c>
      <c r="L401" s="53" t="str">
        <f t="array" ref="L401">IFERROR(INDEX(Data!$K$2:$K$750,SMALL(Data!$S$2:$S$750,295)),"")</f>
        <v>Pending</v>
      </c>
      <c r="M401" s="48" t="s">
        <v>646</v>
      </c>
      <c r="N401" s="48">
        <f>SUMIFS(Data!D2:D750,Data!C2:C750,M401,Data!N2:N750,1)</f>
        <v>1335</v>
      </c>
    </row>
    <row r="402" ht="15.75" customHeight="1">
      <c r="B402" s="56" t="str">
        <f t="array" ref="B402">IFERROR(INDEX(Data!$A$2:$A$750,SMALL(Data!$S$2:$S$750,296)),"")</f>
        <v>Nissan</v>
      </c>
      <c r="C402" s="56" t="str">
        <f t="array" ref="C402">IFERROR(IF(INDEX(Data!$B$2:$B$750,SMALL(Data!$S$2:$S$750,296))=0,"",INDEX(Data!$B$2:$B$750,SMALL(Data!$S$2:$S$750,296))),"")</f>
        <v/>
      </c>
      <c r="D402" s="56" t="str">
        <f t="array" ref="D402">IFERROR(INDEX(Data!$C$2:$C$750,SMALL(Data!$S$2:$S$750,296)),"")</f>
        <v>Printer Stand</v>
      </c>
      <c r="E402" s="56">
        <f t="array" ref="E402">IFERROR(IF(INDEX(Data!$D$2:$D$750,SMALL(Data!$S$2:$S$750,296))=0,"",INDEX(Data!$D$2:$D$750,SMALL(Data!$S$2:$S$750,296))),"")</f>
        <v>1</v>
      </c>
      <c r="F402" s="57">
        <f t="array" ref="F402">IFERROR(IF(INDEX(Data!$E$2:$E$750,SMALL(Data!$S$2:$S$750,296))=0,"",INDEX(Data!$E$2:$E$750,SMALL(Data!$S$2:$S$750,296))),"")</f>
        <v>5554</v>
      </c>
      <c r="G402" s="57">
        <f t="array" ref="G402">IFERROR(INDEX(Data!$F$2:$F$750,SMALL(Data!$S$2:$S$750,296)),"")</f>
        <v>5554</v>
      </c>
      <c r="H402" s="58">
        <f t="array" ref="H402">IFERROR(IF(INDEX(Data!$G$2:$G$750,SMALL(Data!$S$2:$S$750,296))=0,"",INDEX(Data!$G$2:$G$750,SMALL(Data!$S$2:$S$750,296))),"")</f>
        <v>46239</v>
      </c>
      <c r="I402" s="56">
        <f t="array" ref="I402">IFERROR(IF(INDEX(Data!$H$2:$H$750,SMALL(Data!$S$2:$S$750,296))=0,"",INDEX(Data!$H$2:$H$750,SMALL(Data!$S$2:$S$750,296))),"")</f>
        <v>17</v>
      </c>
      <c r="J402" s="58">
        <f t="array" ref="J402">IFERROR(INDEX(Data!$I$2:$I$750,SMALL(Data!$S$2:$S$750,296)),"")</f>
        <v>46358</v>
      </c>
      <c r="K402" s="56" t="str">
        <f t="array" ref="K402">IFERROR(INDEX(Data!$J$2:$J$750,SMALL(Data!$S$2:$S$750,296)),"")</f>
        <v>Not Paid</v>
      </c>
      <c r="L402" s="56" t="str">
        <f t="array" ref="L402">IFERROR(INDEX(Data!$K$2:$K$750,SMALL(Data!$S$2:$S$750,296)),"")</f>
        <v>Pending</v>
      </c>
      <c r="M402" s="48" t="s">
        <v>617</v>
      </c>
      <c r="N402" s="48">
        <f>SUMIFS(Data!D2:D750,Data!C2:C750,M402,Data!N2:N750,1)</f>
        <v>6500</v>
      </c>
    </row>
    <row r="403" ht="15.75" customHeight="1">
      <c r="B403" s="53" t="str">
        <f t="array" ref="B403">IFERROR(INDEX(Data!$A$2:$A$750,SMALL(Data!$S$2:$S$750,297)),"")</f>
        <v>Nissan</v>
      </c>
      <c r="C403" s="53" t="str">
        <f t="array" ref="C403">IFERROR(IF(INDEX(Data!$B$2:$B$750,SMALL(Data!$S$2:$S$750,297))=0,"",INDEX(Data!$B$2:$B$750,SMALL(Data!$S$2:$S$750,297))),"")</f>
        <v/>
      </c>
      <c r="D403" s="53" t="str">
        <f t="array" ref="D403">IFERROR(INDEX(Data!$C$2:$C$750,SMALL(Data!$S$2:$S$750,297)),"")</f>
        <v>Rittal PC Enclosure and Cooling Unit</v>
      </c>
      <c r="E403" s="53">
        <f t="array" ref="E403">IFERROR(IF(INDEX(Data!$D$2:$D$750,SMALL(Data!$S$2:$S$750,297))=0,"",INDEX(Data!$D$2:$D$750,SMALL(Data!$S$2:$S$750,297))),"")</f>
        <v>1</v>
      </c>
      <c r="F403" s="54">
        <f t="array" ref="F403">IFERROR(IF(INDEX(Data!$E$2:$E$750,SMALL(Data!$S$2:$S$750,297))=0,"",INDEX(Data!$E$2:$E$750,SMALL(Data!$S$2:$S$750,297))),"")</f>
        <v>41</v>
      </c>
      <c r="G403" s="54">
        <f t="array" ref="G403">IFERROR(INDEX(Data!$F$2:$F$750,SMALL(Data!$S$2:$S$750,297)),"")</f>
        <v>41</v>
      </c>
      <c r="H403" s="55">
        <f t="array" ref="H403">IFERROR(IF(INDEX(Data!$G$2:$G$750,SMALL(Data!$S$2:$S$750,297))=0,"",INDEX(Data!$G$2:$G$750,SMALL(Data!$S$2:$S$750,297))),"")</f>
        <v>46240</v>
      </c>
      <c r="I403" s="53">
        <f t="array" ref="I403">IFERROR(IF(INDEX(Data!$H$2:$H$750,SMALL(Data!$S$2:$S$750,297))=0,"",INDEX(Data!$H$2:$H$750,SMALL(Data!$S$2:$S$750,297))),"")</f>
        <v>20</v>
      </c>
      <c r="J403" s="55">
        <f t="array" ref="J403">IFERROR(INDEX(Data!$I$2:$I$750,SMALL(Data!$S$2:$S$750,297)),"")</f>
        <v>46380</v>
      </c>
      <c r="K403" s="53" t="str">
        <f t="array" ref="K403">IFERROR(INDEX(Data!$J$2:$J$750,SMALL(Data!$S$2:$S$750,297)),"")</f>
        <v>Not Paid</v>
      </c>
      <c r="L403" s="53" t="str">
        <f t="array" ref="L403">IFERROR(INDEX(Data!$K$2:$K$750,SMALL(Data!$S$2:$S$750,297)),"")</f>
        <v>Pending</v>
      </c>
      <c r="M403" s="48" t="s">
        <v>227</v>
      </c>
      <c r="N403" s="48">
        <f>SUMIFS(Data!D2:D750,Data!C2:C750,M403,Data!N2:N750,1)</f>
        <v>20</v>
      </c>
    </row>
    <row r="404" ht="15.75" customHeight="1">
      <c r="B404" s="56" t="str">
        <f t="array" ref="B404">IFERROR(INDEX(Data!$A$2:$A$750,SMALL(Data!$S$2:$S$750,298)),"")</f>
        <v>Marina</v>
      </c>
      <c r="C404" s="56" t="str">
        <f t="array" ref="C404">IFERROR(IF(INDEX(Data!$B$2:$B$750,SMALL(Data!$S$2:$S$750,298))=0,"",INDEX(Data!$B$2:$B$750,SMALL(Data!$S$2:$S$750,298))),"")</f>
        <v/>
      </c>
      <c r="D404" s="56" t="str">
        <f t="array" ref="D404">IFERROR(INDEX(Data!$C$2:$C$750,SMALL(Data!$S$2:$S$750,298)),"")</f>
        <v>Zebra 105999-701 Feeder Cleaning Cards for ZXP Series 7</v>
      </c>
      <c r="E404" s="56">
        <f t="array" ref="E404">IFERROR(IF(INDEX(Data!$D$2:$D$750,SMALL(Data!$S$2:$S$750,298))=0,"",INDEX(Data!$D$2:$D$750,SMALL(Data!$S$2:$S$750,298))),"")</f>
        <v>1</v>
      </c>
      <c r="F404" s="57">
        <f t="array" ref="F404">IFERROR(IF(INDEX(Data!$E$2:$E$750,SMALL(Data!$S$2:$S$750,298))=0,"",INDEX(Data!$E$2:$E$750,SMALL(Data!$S$2:$S$750,298))),"")</f>
        <v>231</v>
      </c>
      <c r="G404" s="57">
        <f t="array" ref="G404">IFERROR(INDEX(Data!$F$2:$F$750,SMALL(Data!$S$2:$S$750,298)),"")</f>
        <v>231</v>
      </c>
      <c r="H404" s="58">
        <f t="array" ref="H404">IFERROR(IF(INDEX(Data!$G$2:$G$750,SMALL(Data!$S$2:$S$750,298))=0,"",INDEX(Data!$G$2:$G$750,SMALL(Data!$S$2:$S$750,298))),"")</f>
        <v>46241</v>
      </c>
      <c r="I404" s="56">
        <f t="array" ref="I404">IFERROR(IF(INDEX(Data!$H$2:$H$750,SMALL(Data!$S$2:$S$750,298))=0,"",INDEX(Data!$H$2:$H$750,SMALL(Data!$S$2:$S$750,298))),"")</f>
        <v>18</v>
      </c>
      <c r="J404" s="58">
        <f t="array" ref="J404">IFERROR(INDEX(Data!$I$2:$I$750,SMALL(Data!$S$2:$S$750,298)),"")</f>
        <v>46367</v>
      </c>
      <c r="K404" s="56" t="str">
        <f t="array" ref="K404">IFERROR(INDEX(Data!$J$2:$J$750,SMALL(Data!$S$2:$S$750,298)),"")</f>
        <v>Not Paid</v>
      </c>
      <c r="L404" s="56" t="str">
        <f t="array" ref="L404">IFERROR(INDEX(Data!$K$2:$K$750,SMALL(Data!$S$2:$S$750,298)),"")</f>
        <v>Pending</v>
      </c>
      <c r="M404" s="48" t="s">
        <v>282</v>
      </c>
      <c r="N404" s="48">
        <f>SUMIFS(Data!D2:D750,Data!C2:C750,M404,Data!N2:N750,1)</f>
        <v>1</v>
      </c>
    </row>
    <row r="405" ht="15.75" customHeight="1">
      <c r="B405" s="53" t="str">
        <f t="array" ref="B405">IFERROR(INDEX(Data!$A$2:$A$750,SMALL(Data!$S$2:$S$750,299)),"")</f>
        <v>Marina</v>
      </c>
      <c r="C405" s="53" t="str">
        <f t="array" ref="C405">IFERROR(IF(INDEX(Data!$B$2:$B$750,SMALL(Data!$S$2:$S$750,299))=0,"",INDEX(Data!$B$2:$B$750,SMALL(Data!$S$2:$S$750,299))),"")</f>
        <v/>
      </c>
      <c r="D405" s="53" t="str">
        <f t="array" ref="D405">IFERROR(INDEX(Data!$C$2:$C$750,SMALL(Data!$S$2:$S$750,299)),"")</f>
        <v>Zebra 105999-701 Print Path Cleaning Cards for ZXP Series 7</v>
      </c>
      <c r="E405" s="53">
        <f t="array" ref="E405">IFERROR(IF(INDEX(Data!$D$2:$D$750,SMALL(Data!$S$2:$S$750,299))=0,"",INDEX(Data!$D$2:$D$750,SMALL(Data!$S$2:$S$750,299))),"")</f>
        <v>1</v>
      </c>
      <c r="F405" s="54">
        <f t="array" ref="F405">IFERROR(IF(INDEX(Data!$E$2:$E$750,SMALL(Data!$S$2:$S$750,299))=0,"",INDEX(Data!$E$2:$E$750,SMALL(Data!$S$2:$S$750,299))),"")</f>
        <v>25</v>
      </c>
      <c r="G405" s="54">
        <f t="array" ref="G405">IFERROR(INDEX(Data!$F$2:$F$750,SMALL(Data!$S$2:$S$750,299)),"")</f>
        <v>25</v>
      </c>
      <c r="H405" s="55">
        <f t="array" ref="H405">IFERROR(IF(INDEX(Data!$G$2:$G$750,SMALL(Data!$S$2:$S$750,299))=0,"",INDEX(Data!$G$2:$G$750,SMALL(Data!$S$2:$S$750,299))),"")</f>
        <v>46242</v>
      </c>
      <c r="I405" s="53">
        <f t="array" ref="I405">IFERROR(IF(INDEX(Data!$H$2:$H$750,SMALL(Data!$S$2:$S$750,299))=0,"",INDEX(Data!$H$2:$H$750,SMALL(Data!$S$2:$S$750,299))),"")</f>
        <v>20</v>
      </c>
      <c r="J405" s="55">
        <f t="array" ref="J405">IFERROR(INDEX(Data!$I$2:$I$750,SMALL(Data!$S$2:$S$750,299)),"")</f>
        <v>46382</v>
      </c>
      <c r="K405" s="53" t="str">
        <f t="array" ref="K405">IFERROR(INDEX(Data!$J$2:$J$750,SMALL(Data!$S$2:$S$750,299)),"")</f>
        <v>Not Paid</v>
      </c>
      <c r="L405" s="53" t="str">
        <f t="array" ref="L405">IFERROR(INDEX(Data!$K$2:$K$750,SMALL(Data!$S$2:$S$750,299)),"")</f>
        <v>Pending</v>
      </c>
      <c r="M405" s="48" t="s">
        <v>594</v>
      </c>
      <c r="N405" s="48">
        <f>SUMIFS(Data!D2:D750,Data!C2:C750,M405,Data!N2:N750,1)</f>
        <v>1</v>
      </c>
    </row>
    <row r="406" ht="15.75" customHeight="1">
      <c r="B406" s="56" t="str">
        <f t="array" ref="B406">IFERROR(INDEX(Data!$A$2:$A$750,SMALL(Data!$S$2:$S$750,300)),"")</f>
        <v> Hassan Allam Properties (SLG)</v>
      </c>
      <c r="C406" s="56" t="str">
        <f t="array" ref="C406">IFERROR(IF(INDEX(Data!$B$2:$B$750,SMALL(Data!$S$2:$S$750,300))=0,"",INDEX(Data!$B$2:$B$750,SMALL(Data!$S$2:$S$750,300))),"")</f>
        <v/>
      </c>
      <c r="D406" s="56" t="str">
        <f t="array" ref="D406">IFERROR(INDEX(Data!$C$2:$C$750,SMALL(Data!$S$2:$S$750,300)),"")</f>
        <v>[3908425] SkinPack 615 Barrier</v>
      </c>
      <c r="E406" s="56">
        <f t="array" ref="E406">IFERROR(IF(INDEX(Data!$D$2:$D$750,SMALL(Data!$S$2:$S$750,300))=0,"",INDEX(Data!$D$2:$D$750,SMALL(Data!$S$2:$S$750,300))),"")</f>
        <v>1</v>
      </c>
      <c r="F406" s="57">
        <f t="array" ref="F406">IFERROR(IF(INDEX(Data!$E$2:$E$750,SMALL(Data!$S$2:$S$750,300))=0,"",INDEX(Data!$E$2:$E$750,SMALL(Data!$S$2:$S$750,300))),"")</f>
        <v>245</v>
      </c>
      <c r="G406" s="57">
        <f t="array" ref="G406">IFERROR(INDEX(Data!$F$2:$F$750,SMALL(Data!$S$2:$S$750,300)),"")</f>
        <v>245</v>
      </c>
      <c r="H406" s="58">
        <f t="array" ref="H406">IFERROR(IF(INDEX(Data!$G$2:$G$750,SMALL(Data!$S$2:$S$750,300))=0,"",INDEX(Data!$G$2:$G$750,SMALL(Data!$S$2:$S$750,300))),"")</f>
        <v>46243</v>
      </c>
      <c r="I406" s="56">
        <f t="array" ref="I406">IFERROR(IF(INDEX(Data!$H$2:$H$750,SMALL(Data!$S$2:$S$750,300))=0,"",INDEX(Data!$H$2:$H$750,SMALL(Data!$S$2:$S$750,300))),"")</f>
        <v>19</v>
      </c>
      <c r="J406" s="58">
        <f t="array" ref="J406">IFERROR(INDEX(Data!$I$2:$I$750,SMALL(Data!$S$2:$S$750,300)),"")</f>
        <v>46376</v>
      </c>
      <c r="K406" s="56" t="str">
        <f t="array" ref="K406">IFERROR(INDEX(Data!$J$2:$J$750,SMALL(Data!$S$2:$S$750,300)),"")</f>
        <v>Not Paid</v>
      </c>
      <c r="L406" s="56" t="str">
        <f t="array" ref="L406">IFERROR(INDEX(Data!$K$2:$K$750,SMALL(Data!$S$2:$S$750,300)),"")</f>
        <v>Pending</v>
      </c>
      <c r="M406" s="48" t="s">
        <v>470</v>
      </c>
      <c r="N406" s="48">
        <f>SUMIFS(Data!D2:D750,Data!C2:C750,M406,Data!N2:N750,1)</f>
        <v>12</v>
      </c>
    </row>
    <row r="407" ht="15.75" customHeight="1">
      <c r="B407" s="53" t="str">
        <f t="array" ref="B407">IFERROR(INDEX(Data!$A$2:$A$750,SMALL(Data!$S$2:$S$750,301)),"")</f>
        <v> Hassan Allam Properties (SLG)</v>
      </c>
      <c r="C407" s="53" t="str">
        <f t="array" ref="C407">IFERROR(IF(INDEX(Data!$B$2:$B$750,SMALL(Data!$S$2:$S$750,301))=0,"",INDEX(Data!$B$2:$B$750,SMALL(Data!$S$2:$S$750,301))),"")</f>
        <v/>
      </c>
      <c r="D407" s="53" t="str">
        <f t="array" ref="D407">IFERROR(INDEX(Data!$C$2:$C$750,SMALL(Data!$S$2:$S$750,301)),"")</f>
        <v>[7080435] cylinder joint 615</v>
      </c>
      <c r="E407" s="53">
        <f t="array" ref="E407">IFERROR(IF(INDEX(Data!$D$2:$D$750,SMALL(Data!$S$2:$S$750,301))=0,"",INDEX(Data!$D$2:$D$750,SMALL(Data!$S$2:$S$750,301))),"")</f>
        <v>1</v>
      </c>
      <c r="F407" s="54">
        <f t="array" ref="F407">IFERROR(IF(INDEX(Data!$E$2:$E$750,SMALL(Data!$S$2:$S$750,301))=0,"",INDEX(Data!$E$2:$E$750,SMALL(Data!$S$2:$S$750,301))),"")</f>
        <v>2555</v>
      </c>
      <c r="G407" s="54">
        <f t="array" ref="G407">IFERROR(INDEX(Data!$F$2:$F$750,SMALL(Data!$S$2:$S$750,301)),"")</f>
        <v>2555</v>
      </c>
      <c r="H407" s="55">
        <f t="array" ref="H407">IFERROR(IF(INDEX(Data!$G$2:$G$750,SMALL(Data!$S$2:$S$750,301))=0,"",INDEX(Data!$G$2:$G$750,SMALL(Data!$S$2:$S$750,301))),"")</f>
        <v>46244</v>
      </c>
      <c r="I407" s="53">
        <f t="array" ref="I407">IFERROR(IF(INDEX(Data!$H$2:$H$750,SMALL(Data!$S$2:$S$750,301))=0,"",INDEX(Data!$H$2:$H$750,SMALL(Data!$S$2:$S$750,301))),"")</f>
        <v>19</v>
      </c>
      <c r="J407" s="55">
        <f t="array" ref="J407">IFERROR(INDEX(Data!$I$2:$I$750,SMALL(Data!$S$2:$S$750,301)),"")</f>
        <v>46377</v>
      </c>
      <c r="K407" s="53" t="str">
        <f t="array" ref="K407">IFERROR(INDEX(Data!$J$2:$J$750,SMALL(Data!$S$2:$S$750,301)),"")</f>
        <v>Not Paid</v>
      </c>
      <c r="L407" s="53" t="str">
        <f t="array" ref="L407">IFERROR(INDEX(Data!$K$2:$K$750,SMALL(Data!$S$2:$S$750,301)),"")</f>
        <v>Pending</v>
      </c>
      <c r="M407" s="48" t="s">
        <v>494</v>
      </c>
      <c r="N407" s="48">
        <f>SUMIFS(Data!D2:D750,Data!C2:C750,M407,Data!N2:N750,1)</f>
        <v>100</v>
      </c>
    </row>
    <row r="408" ht="15.75" customHeight="1">
      <c r="B408" s="56" t="str">
        <f t="array" ref="B408">IFERROR(INDEX(Data!$A$2:$A$750,SMALL(Data!$S$2:$S$750,302)),"")</f>
        <v> Hassan Allam Properties (SLG)</v>
      </c>
      <c r="C408" s="56" t="str">
        <f t="array" ref="C408">IFERROR(IF(INDEX(Data!$B$2:$B$750,SMALL(Data!$S$2:$S$750,302))=0,"",INDEX(Data!$B$2:$B$750,SMALL(Data!$S$2:$S$750,302))),"")</f>
        <v/>
      </c>
      <c r="D408" s="56" t="str">
        <f t="array" ref="D408">IFERROR(INDEX(Data!$C$2:$C$750,SMALL(Data!$S$2:$S$750,302)),"")</f>
        <v>Faac 615 Beam 3.3m</v>
      </c>
      <c r="E408" s="56">
        <f t="array" ref="E408">IFERROR(IF(INDEX(Data!$D$2:$D$750,SMALL(Data!$S$2:$S$750,302))=0,"",INDEX(Data!$D$2:$D$750,SMALL(Data!$S$2:$S$750,302))),"")</f>
        <v>1</v>
      </c>
      <c r="F408" s="57">
        <f t="array" ref="F408">IFERROR(IF(INDEX(Data!$E$2:$E$750,SMALL(Data!$S$2:$S$750,302))=0,"",INDEX(Data!$E$2:$E$750,SMALL(Data!$S$2:$S$750,302))),"")</f>
        <v>255</v>
      </c>
      <c r="G408" s="57">
        <f t="array" ref="G408">IFERROR(INDEX(Data!$F$2:$F$750,SMALL(Data!$S$2:$S$750,302)),"")</f>
        <v>255</v>
      </c>
      <c r="H408" s="58">
        <f t="array" ref="H408">IFERROR(IF(INDEX(Data!$G$2:$G$750,SMALL(Data!$S$2:$S$750,302))=0,"",INDEX(Data!$G$2:$G$750,SMALL(Data!$S$2:$S$750,302))),"")</f>
        <v>46245</v>
      </c>
      <c r="I408" s="56">
        <f t="array" ref="I408">IFERROR(IF(INDEX(Data!$H$2:$H$750,SMALL(Data!$S$2:$S$750,302))=0,"",INDEX(Data!$H$2:$H$750,SMALL(Data!$S$2:$S$750,302))),"")</f>
        <v>20</v>
      </c>
      <c r="J408" s="58">
        <f t="array" ref="J408">IFERROR(INDEX(Data!$I$2:$I$750,SMALL(Data!$S$2:$S$750,302)),"")</f>
        <v>46385</v>
      </c>
      <c r="K408" s="56" t="str">
        <f t="array" ref="K408">IFERROR(INDEX(Data!$J$2:$J$750,SMALL(Data!$S$2:$S$750,302)),"")</f>
        <v>Not Paid</v>
      </c>
      <c r="L408" s="56" t="str">
        <f t="array" ref="L408">IFERROR(INDEX(Data!$K$2:$K$750,SMALL(Data!$S$2:$S$750,302)),"")</f>
        <v>Pending</v>
      </c>
      <c r="M408" s="48" t="s">
        <v>571</v>
      </c>
      <c r="N408" s="48">
        <f>SUMIFS(Data!D2:D750,Data!C2:C750,M408,Data!N2:N750,1)</f>
        <v>12000</v>
      </c>
    </row>
    <row r="409" ht="15.75" customHeight="1">
      <c r="B409" s="53" t="str">
        <f t="array" ref="B409">IFERROR(INDEX(Data!$A$2:$A$750,SMALL(Data!$S$2:$S$750,303)),"")</f>
        <v> Hassan Allam Properties (SLG)</v>
      </c>
      <c r="C409" s="53" t="str">
        <f t="array" ref="C409">IFERROR(IF(INDEX(Data!$B$2:$B$750,SMALL(Data!$S$2:$S$750,303))=0,"",INDEX(Data!$B$2:$B$750,SMALL(Data!$S$2:$S$750,303))),"")</f>
        <v/>
      </c>
      <c r="D409" s="53" t="str">
        <f t="array" ref="D409">IFERROR(INDEX(Data!$C$2:$C$750,SMALL(Data!$S$2:$S$750,303)),"")</f>
        <v>Faac 615 POCKET S</v>
      </c>
      <c r="E409" s="53">
        <f t="array" ref="E409">IFERROR(IF(INDEX(Data!$D$2:$D$750,SMALL(Data!$S$2:$S$750,303))=0,"",INDEX(Data!$D$2:$D$750,SMALL(Data!$S$2:$S$750,303))),"")</f>
        <v>1</v>
      </c>
      <c r="F409" s="54">
        <f t="array" ref="F409">IFERROR(IF(INDEX(Data!$E$2:$E$750,SMALL(Data!$S$2:$S$750,303))=0,"",INDEX(Data!$E$2:$E$750,SMALL(Data!$S$2:$S$750,303))),"")</f>
        <v>45</v>
      </c>
      <c r="G409" s="54">
        <f t="array" ref="G409">IFERROR(INDEX(Data!$F$2:$F$750,SMALL(Data!$S$2:$S$750,303)),"")</f>
        <v>45</v>
      </c>
      <c r="H409" s="55">
        <f t="array" ref="H409">IFERROR(IF(INDEX(Data!$G$2:$G$750,SMALL(Data!$S$2:$S$750,303))=0,"",INDEX(Data!$G$2:$G$750,SMALL(Data!$S$2:$S$750,303))),"")</f>
        <v>46246</v>
      </c>
      <c r="I409" s="53">
        <f t="array" ref="I409">IFERROR(IF(INDEX(Data!$H$2:$H$750,SMALL(Data!$S$2:$S$750,303))=0,"",INDEX(Data!$H$2:$H$750,SMALL(Data!$S$2:$S$750,303))),"")</f>
        <v>21</v>
      </c>
      <c r="J409" s="55">
        <f t="array" ref="J409">IFERROR(INDEX(Data!$I$2:$I$750,SMALL(Data!$S$2:$S$750,303)),"")</f>
        <v>46393</v>
      </c>
      <c r="K409" s="53" t="str">
        <f t="array" ref="K409">IFERROR(INDEX(Data!$J$2:$J$750,SMALL(Data!$S$2:$S$750,303)),"")</f>
        <v>Not Paid</v>
      </c>
      <c r="L409" s="53" t="str">
        <f t="array" ref="L409">IFERROR(INDEX(Data!$K$2:$K$750,SMALL(Data!$S$2:$S$750,303)),"")</f>
        <v>Pending</v>
      </c>
      <c r="M409" s="48" t="s">
        <v>33</v>
      </c>
      <c r="N409" s="48">
        <f>SUMIFS(Data!D2:D750,Data!C2:C750,M409,Data!N2:N750,1)</f>
        <v>22</v>
      </c>
    </row>
    <row r="410" ht="15.75" customHeight="1">
      <c r="B410" s="56" t="str">
        <f t="array" ref="B410">IFERROR(INDEX(Data!$A$2:$A$750,SMALL(Data!$S$2:$S$750,304)),"")</f>
        <v> Hassan Allam Properties (SLG)</v>
      </c>
      <c r="C410" s="56" t="str">
        <f t="array" ref="C410">IFERROR(IF(INDEX(Data!$B$2:$B$750,SMALL(Data!$S$2:$S$750,304))=0,"",INDEX(Data!$B$2:$B$750,SMALL(Data!$S$2:$S$750,304))),"")</f>
        <v/>
      </c>
      <c r="D410" s="56" t="str">
        <f t="array" ref="D410">IFERROR(INDEX(Data!$C$2:$C$750,SMALL(Data!$S$2:$S$750,304)),"")</f>
        <v>[713002] 402 release key</v>
      </c>
      <c r="E410" s="56">
        <f t="array" ref="E410">IFERROR(IF(INDEX(Data!$D$2:$D$750,SMALL(Data!$S$2:$S$750,304))=0,"",INDEX(Data!$D$2:$D$750,SMALL(Data!$S$2:$S$750,304))),"")</f>
        <v>1</v>
      </c>
      <c r="F410" s="57">
        <f t="array" ref="F410">IFERROR(IF(INDEX(Data!$E$2:$E$750,SMALL(Data!$S$2:$S$750,304))=0,"",INDEX(Data!$E$2:$E$750,SMALL(Data!$S$2:$S$750,304))),"")</f>
        <v>36</v>
      </c>
      <c r="G410" s="57">
        <f t="array" ref="G410">IFERROR(INDEX(Data!$F$2:$F$750,SMALL(Data!$S$2:$S$750,304)),"")</f>
        <v>36</v>
      </c>
      <c r="H410" s="58">
        <f t="array" ref="H410">IFERROR(IF(INDEX(Data!$G$2:$G$750,SMALL(Data!$S$2:$S$750,304))=0,"",INDEX(Data!$G$2:$G$750,SMALL(Data!$S$2:$S$750,304))),"")</f>
        <v>46247</v>
      </c>
      <c r="I410" s="56">
        <f t="array" ref="I410">IFERROR(IF(INDEX(Data!$H$2:$H$750,SMALL(Data!$S$2:$S$750,304))=0,"",INDEX(Data!$H$2:$H$750,SMALL(Data!$S$2:$S$750,304))),"")</f>
        <v>24</v>
      </c>
      <c r="J410" s="58">
        <f t="array" ref="J410">IFERROR(INDEX(Data!$I$2:$I$750,SMALL(Data!$S$2:$S$750,304)),"")</f>
        <v>46415</v>
      </c>
      <c r="K410" s="56" t="str">
        <f t="array" ref="K410">IFERROR(INDEX(Data!$J$2:$J$750,SMALL(Data!$S$2:$S$750,304)),"")</f>
        <v>Not Paid</v>
      </c>
      <c r="L410" s="56" t="str">
        <f t="array" ref="L410">IFERROR(INDEX(Data!$K$2:$K$750,SMALL(Data!$S$2:$S$750,304)),"")</f>
        <v>Pending</v>
      </c>
      <c r="M410" s="48" t="s">
        <v>397</v>
      </c>
      <c r="N410" s="48">
        <f>SUMIFS(Data!D2:D750,Data!C2:C750,M410,Data!N2:N750,1)</f>
        <v>22</v>
      </c>
    </row>
    <row r="411" ht="15.75" customHeight="1">
      <c r="B411" s="53" t="str">
        <f t="array" ref="B411">IFERROR(INDEX(Data!$A$2:$A$750,SMALL(Data!$S$2:$S$750,305)),"")</f>
        <v> Hassan Allam Properties (SLG)</v>
      </c>
      <c r="C411" s="53" t="str">
        <f t="array" ref="C411">IFERROR(IF(INDEX(Data!$B$2:$B$750,SMALL(Data!$S$2:$S$750,305))=0,"",INDEX(Data!$B$2:$B$750,SMALL(Data!$S$2:$S$750,305))),"")</f>
        <v/>
      </c>
      <c r="D411" s="53" t="str">
        <f t="array" ref="D411">IFERROR(INDEX(Data!$C$2:$C$750,SMALL(Data!$S$2:$S$750,305)),"")</f>
        <v>[4245985] GR, EXT release standard 615</v>
      </c>
      <c r="E411" s="53">
        <f t="array" ref="E411">IFERROR(IF(INDEX(Data!$D$2:$D$750,SMALL(Data!$S$2:$S$750,305))=0,"",INDEX(Data!$D$2:$D$750,SMALL(Data!$S$2:$S$750,305))),"")</f>
        <v>1</v>
      </c>
      <c r="F411" s="54">
        <f t="array" ref="F411">IFERROR(IF(INDEX(Data!$E$2:$E$750,SMALL(Data!$S$2:$S$750,305))=0,"",INDEX(Data!$E$2:$E$750,SMALL(Data!$S$2:$S$750,305))),"")</f>
        <v>96</v>
      </c>
      <c r="G411" s="54">
        <f t="array" ref="G411">IFERROR(INDEX(Data!$F$2:$F$750,SMALL(Data!$S$2:$S$750,305)),"")</f>
        <v>96</v>
      </c>
      <c r="H411" s="55">
        <f t="array" ref="H411">IFERROR(IF(INDEX(Data!$G$2:$G$750,SMALL(Data!$S$2:$S$750,305))=0,"",INDEX(Data!$G$2:$G$750,SMALL(Data!$S$2:$S$750,305))),"")</f>
        <v>46248</v>
      </c>
      <c r="I411" s="53">
        <f t="array" ref="I411">IFERROR(IF(INDEX(Data!$H$2:$H$750,SMALL(Data!$S$2:$S$750,305))=0,"",INDEX(Data!$H$2:$H$750,SMALL(Data!$S$2:$S$750,305))),"")</f>
        <v>24</v>
      </c>
      <c r="J411" s="55">
        <f t="array" ref="J411">IFERROR(INDEX(Data!$I$2:$I$750,SMALL(Data!$S$2:$S$750,305)),"")</f>
        <v>46416</v>
      </c>
      <c r="K411" s="53" t="str">
        <f t="array" ref="K411">IFERROR(INDEX(Data!$J$2:$J$750,SMALL(Data!$S$2:$S$750,305)),"")</f>
        <v>Not Paid</v>
      </c>
      <c r="L411" s="53" t="str">
        <f t="array" ref="L411">IFERROR(INDEX(Data!$K$2:$K$750,SMALL(Data!$S$2:$S$750,305)),"")</f>
        <v>Pending</v>
      </c>
      <c r="M411" s="48" t="s">
        <v>553</v>
      </c>
      <c r="N411" s="48">
        <f>SUMIFS(Data!D2:D750,Data!C2:C750,M411,Data!N2:N750,1)</f>
        <v>2</v>
      </c>
    </row>
    <row r="412" ht="15.75" customHeight="1">
      <c r="B412" s="56" t="str">
        <f t="array" ref="B412">IFERROR(INDEX(Data!$A$2:$A$750,SMALL(Data!$S$2:$S$750,306)),"")</f>
        <v> Hassan Allam Properties (SLG)</v>
      </c>
      <c r="C412" s="56" t="str">
        <f t="array" ref="C412">IFERROR(IF(INDEX(Data!$B$2:$B$750,SMALL(Data!$S$2:$S$750,306))=0,"",INDEX(Data!$B$2:$B$750,SMALL(Data!$S$2:$S$750,306))),"")</f>
        <v/>
      </c>
      <c r="D412" s="56" t="str">
        <f t="array" ref="D412">IFERROR(INDEX(Data!$C$2:$C$750,SMALL(Data!$S$2:$S$750,306)),"")</f>
        <v>[7128035] cylinder lock</v>
      </c>
      <c r="E412" s="56">
        <f t="array" ref="E412">IFERROR(IF(INDEX(Data!$D$2:$D$750,SMALL(Data!$S$2:$S$750,306))=0,"",INDEX(Data!$D$2:$D$750,SMALL(Data!$S$2:$S$750,306))),"")</f>
        <v>1</v>
      </c>
      <c r="F412" s="57">
        <f t="array" ref="F412">IFERROR(IF(INDEX(Data!$E$2:$E$750,SMALL(Data!$S$2:$S$750,306))=0,"",INDEX(Data!$E$2:$E$750,SMALL(Data!$S$2:$S$750,306))),"")</f>
        <v>8</v>
      </c>
      <c r="G412" s="57">
        <f t="array" ref="G412">IFERROR(INDEX(Data!$F$2:$F$750,SMALL(Data!$S$2:$S$750,306)),"")</f>
        <v>8</v>
      </c>
      <c r="H412" s="58">
        <f t="array" ref="H412">IFERROR(IF(INDEX(Data!$G$2:$G$750,SMALL(Data!$S$2:$S$750,306))=0,"",INDEX(Data!$G$2:$G$750,SMALL(Data!$S$2:$S$750,306))),"")</f>
        <v>46249</v>
      </c>
      <c r="I412" s="56">
        <f t="array" ref="I412">IFERROR(IF(INDEX(Data!$H$2:$H$750,SMALL(Data!$S$2:$S$750,306))=0,"",INDEX(Data!$H$2:$H$750,SMALL(Data!$S$2:$S$750,306))),"")</f>
        <v>24</v>
      </c>
      <c r="J412" s="58">
        <f t="array" ref="J412">IFERROR(INDEX(Data!$I$2:$I$750,SMALL(Data!$S$2:$S$750,306)),"")</f>
        <v>46417</v>
      </c>
      <c r="K412" s="56" t="str">
        <f t="array" ref="K412">IFERROR(INDEX(Data!$J$2:$J$750,SMALL(Data!$S$2:$S$750,306)),"")</f>
        <v>Not Paid</v>
      </c>
      <c r="L412" s="56" t="str">
        <f t="array" ref="L412">IFERROR(INDEX(Data!$K$2:$K$750,SMALL(Data!$S$2:$S$750,306)),"")</f>
        <v>Pending</v>
      </c>
      <c r="M412" s="48" t="s">
        <v>531</v>
      </c>
      <c r="N412" s="48">
        <f>SUMIFS(Data!D2:D750,Data!C2:C750,M412,Data!N2:N750,1)</f>
        <v>1</v>
      </c>
    </row>
    <row r="413" ht="15.75" customHeight="1">
      <c r="B413" s="53" t="str">
        <f t="array" ref="B413">IFERROR(INDEX(Data!$A$2:$A$750,SMALL(Data!$S$2:$S$750,307)),"")</f>
        <v>Hassan allam</v>
      </c>
      <c r="C413" s="53" t="str">
        <f t="array" ref="C413">IFERROR(IF(INDEX(Data!$B$2:$B$750,SMALL(Data!$S$2:$S$750,307))=0,"",INDEX(Data!$B$2:$B$750,SMALL(Data!$S$2:$S$750,307))),"")</f>
        <v/>
      </c>
      <c r="D413" s="53" t="str">
        <f t="array" ref="D413">IFERROR(INDEX(Data!$C$2:$C$750,SMALL(Data!$S$2:$S$750,307)),"")</f>
        <v>Control Board</v>
      </c>
      <c r="E413" s="53">
        <f t="array" ref="E413">IFERROR(IF(INDEX(Data!$D$2:$D$750,SMALL(Data!$S$2:$S$750,307))=0,"",INDEX(Data!$D$2:$D$750,SMALL(Data!$S$2:$S$750,307))),"")</f>
        <v>1</v>
      </c>
      <c r="F413" s="54">
        <f t="array" ref="F413">IFERROR(IF(INDEX(Data!$E$2:$E$750,SMALL(Data!$S$2:$S$750,307))=0,"",INDEX(Data!$E$2:$E$750,SMALL(Data!$S$2:$S$750,307))),"")</f>
        <v>5</v>
      </c>
      <c r="G413" s="54">
        <f t="array" ref="G413">IFERROR(INDEX(Data!$F$2:$F$750,SMALL(Data!$S$2:$S$750,307)),"")</f>
        <v>5</v>
      </c>
      <c r="H413" s="55">
        <f t="array" ref="H413">IFERROR(IF(INDEX(Data!$G$2:$G$750,SMALL(Data!$S$2:$S$750,307))=0,"",INDEX(Data!$G$2:$G$750,SMALL(Data!$S$2:$S$750,307))),"")</f>
        <v>46250</v>
      </c>
      <c r="I413" s="53">
        <f t="array" ref="I413">IFERROR(IF(INDEX(Data!$H$2:$H$750,SMALL(Data!$S$2:$S$750,307))=0,"",INDEX(Data!$H$2:$H$750,SMALL(Data!$S$2:$S$750,307))),"")</f>
        <v>21</v>
      </c>
      <c r="J413" s="55">
        <f t="array" ref="J413">IFERROR(INDEX(Data!$I$2:$I$750,SMALL(Data!$S$2:$S$750,307)),"")</f>
        <v>46397</v>
      </c>
      <c r="K413" s="53" t="str">
        <f t="array" ref="K413">IFERROR(INDEX(Data!$J$2:$J$750,SMALL(Data!$S$2:$S$750,307)),"")</f>
        <v>Not Paid</v>
      </c>
      <c r="L413" s="53" t="str">
        <f t="array" ref="L413">IFERROR(INDEX(Data!$K$2:$K$750,SMALL(Data!$S$2:$S$750,307)),"")</f>
        <v>Pending</v>
      </c>
      <c r="M413" s="48" t="s">
        <v>336</v>
      </c>
      <c r="N413" s="48">
        <f>SUMIFS(Data!D2:D750,Data!C2:C750,M413,Data!N2:N750,1)</f>
        <v>1500</v>
      </c>
    </row>
    <row r="414" ht="15.75" customHeight="1">
      <c r="B414" s="56" t="str">
        <f t="array" ref="B414">IFERROR(INDEX(Data!$A$2:$A$750,SMALL(Data!$S$2:$S$750,308)),"")</f>
        <v>90 AVENUE</v>
      </c>
      <c r="C414" s="56" t="str">
        <f t="array" ref="C414">IFERROR(IF(INDEX(Data!$B$2:$B$750,SMALL(Data!$S$2:$S$750,308))=0,"",INDEX(Data!$B$2:$B$750,SMALL(Data!$S$2:$S$750,308))),"")</f>
        <v/>
      </c>
      <c r="D414" s="56" t="str">
        <f t="array" ref="D414">IFERROR(INDEX(Data!$C$2:$C$750,SMALL(Data!$S$2:$S$750,308)),"")</f>
        <v>QR Reader</v>
      </c>
      <c r="E414" s="56">
        <f t="array" ref="E414">IFERROR(IF(INDEX(Data!$D$2:$D$750,SMALL(Data!$S$2:$S$750,308))=0,"",INDEX(Data!$D$2:$D$750,SMALL(Data!$S$2:$S$750,308))),"")</f>
        <v>2</v>
      </c>
      <c r="F414" s="57">
        <f t="array" ref="F414">IFERROR(IF(INDEX(Data!$E$2:$E$750,SMALL(Data!$S$2:$S$750,308))=0,"",INDEX(Data!$E$2:$E$750,SMALL(Data!$S$2:$S$750,308))),"")</f>
        <v>4</v>
      </c>
      <c r="G414" s="57">
        <f t="array" ref="G414">IFERROR(INDEX(Data!$F$2:$F$750,SMALL(Data!$S$2:$S$750,308)),"")</f>
        <v>8</v>
      </c>
      <c r="H414" s="58">
        <f t="array" ref="H414">IFERROR(IF(INDEX(Data!$G$2:$G$750,SMALL(Data!$S$2:$S$750,308))=0,"",INDEX(Data!$G$2:$G$750,SMALL(Data!$S$2:$S$750,308))),"")</f>
        <v>46251</v>
      </c>
      <c r="I414" s="56">
        <f t="array" ref="I414">IFERROR(IF(INDEX(Data!$H$2:$H$750,SMALL(Data!$S$2:$S$750,308))=0,"",INDEX(Data!$H$2:$H$750,SMALL(Data!$S$2:$S$750,308))),"")</f>
        <v>20</v>
      </c>
      <c r="J414" s="58">
        <f t="array" ref="J414">IFERROR(INDEX(Data!$I$2:$I$750,SMALL(Data!$S$2:$S$750,308)),"")</f>
        <v>46391</v>
      </c>
      <c r="K414" s="56" t="str">
        <f t="array" ref="K414">IFERROR(INDEX(Data!$J$2:$J$750,SMALL(Data!$S$2:$S$750,308)),"")</f>
        <v>Not Paid</v>
      </c>
      <c r="L414" s="56" t="str">
        <f t="array" ref="L414">IFERROR(INDEX(Data!$K$2:$K$750,SMALL(Data!$S$2:$S$750,308)),"")</f>
        <v>Pending</v>
      </c>
      <c r="M414" s="48" t="s">
        <v>540</v>
      </c>
      <c r="N414" s="48">
        <f>SUMIFS(Data!D2:D750,Data!C2:C750,M414,Data!N2:N750,1)</f>
        <v>1</v>
      </c>
    </row>
    <row r="415" ht="15.75" customHeight="1">
      <c r="B415" s="53" t="str">
        <f t="array" ref="B415">IFERROR(INDEX(Data!$A$2:$A$750,SMALL(Data!$S$2:$S$750,309)),"")</f>
        <v>90 AVENUE</v>
      </c>
      <c r="C415" s="53" t="str">
        <f t="array" ref="C415">IFERROR(IF(INDEX(Data!$B$2:$B$750,SMALL(Data!$S$2:$S$750,309))=0,"",INDEX(Data!$B$2:$B$750,SMALL(Data!$S$2:$S$750,309))),"")</f>
        <v/>
      </c>
      <c r="D415" s="53" t="str">
        <f t="array" ref="D415">IFERROR(INDEX(Data!$C$2:$C$750,SMALL(Data!$S$2:$S$750,309)),"")</f>
        <v>stand</v>
      </c>
      <c r="E415" s="53">
        <f t="array" ref="E415">IFERROR(IF(INDEX(Data!$D$2:$D$750,SMALL(Data!$S$2:$S$750,309))=0,"",INDEX(Data!$D$2:$D$750,SMALL(Data!$S$2:$S$750,309))),"")</f>
        <v>2</v>
      </c>
      <c r="F415" s="54">
        <f t="array" ref="F415">IFERROR(IF(INDEX(Data!$E$2:$E$750,SMALL(Data!$S$2:$S$750,309))=0,"",INDEX(Data!$E$2:$E$750,SMALL(Data!$S$2:$S$750,309))),"")</f>
        <v>2</v>
      </c>
      <c r="G415" s="54">
        <f t="array" ref="G415">IFERROR(INDEX(Data!$F$2:$F$750,SMALL(Data!$S$2:$S$750,309)),"")</f>
        <v>4</v>
      </c>
      <c r="H415" s="55">
        <f t="array" ref="H415">IFERROR(IF(INDEX(Data!$G$2:$G$750,SMALL(Data!$S$2:$S$750,309))=0,"",INDEX(Data!$G$2:$G$750,SMALL(Data!$S$2:$S$750,309))),"")</f>
        <v>46252</v>
      </c>
      <c r="I415" s="53">
        <f t="array" ref="I415">IFERROR(IF(INDEX(Data!$H$2:$H$750,SMALL(Data!$S$2:$S$750,309))=0,"",INDEX(Data!$H$2:$H$750,SMALL(Data!$S$2:$S$750,309))),"")</f>
        <v>20</v>
      </c>
      <c r="J415" s="55">
        <f t="array" ref="J415">IFERROR(INDEX(Data!$I$2:$I$750,SMALL(Data!$S$2:$S$750,309)),"")</f>
        <v>46392</v>
      </c>
      <c r="K415" s="53" t="str">
        <f t="array" ref="K415">IFERROR(INDEX(Data!$J$2:$J$750,SMALL(Data!$S$2:$S$750,309)),"")</f>
        <v>Not Paid</v>
      </c>
      <c r="L415" s="53" t="str">
        <f t="array" ref="L415">IFERROR(INDEX(Data!$K$2:$K$750,SMALL(Data!$S$2:$S$750,309)),"")</f>
        <v>Pending</v>
      </c>
    </row>
    <row r="416" ht="15.75" customHeight="1">
      <c r="B416" s="56" t="str">
        <f t="array" ref="B416">IFERROR(INDEX(Data!$A$2:$A$750,SMALL(Data!$S$2:$S$750,310)),"")</f>
        <v>SpringNova</v>
      </c>
      <c r="C416" s="56" t="str">
        <f t="array" ref="C416">IFERROR(IF(INDEX(Data!$B$2:$B$750,SMALL(Data!$S$2:$S$750,310))=0,"",INDEX(Data!$B$2:$B$750,SMALL(Data!$S$2:$S$750,310))),"")</f>
        <v/>
      </c>
      <c r="D416" s="56" t="str">
        <f t="array" ref="D416">IFERROR(INDEX(Data!$C$2:$C$750,SMALL(Data!$S$2:$S$750,310)),"")</f>
        <v>[4127.001.01] ID ISC.LRU1002-EU Fixed UHF Long Range Reader (ID LRU1002-EU)</v>
      </c>
      <c r="E416" s="56">
        <f t="array" ref="E416">IFERROR(IF(INDEX(Data!$D$2:$D$750,SMALL(Data!$S$2:$S$750,310))=0,"",INDEX(Data!$D$2:$D$750,SMALL(Data!$S$2:$S$750,310))),"")</f>
        <v>2</v>
      </c>
      <c r="F416" s="57">
        <f t="array" ref="F416">IFERROR(IF(INDEX(Data!$E$2:$E$750,SMALL(Data!$S$2:$S$750,310))=0,"",INDEX(Data!$E$2:$E$750,SMALL(Data!$S$2:$S$750,310))),"")</f>
        <v>36</v>
      </c>
      <c r="G416" s="57">
        <f t="array" ref="G416">IFERROR(INDEX(Data!$F$2:$F$750,SMALL(Data!$S$2:$S$750,310)),"")</f>
        <v>72</v>
      </c>
      <c r="H416" s="58">
        <f t="array" ref="H416">IFERROR(IF(INDEX(Data!$G$2:$G$750,SMALL(Data!$S$2:$S$750,310))=0,"",INDEX(Data!$G$2:$G$750,SMALL(Data!$S$2:$S$750,310))),"")</f>
        <v>46253</v>
      </c>
      <c r="I416" s="56">
        <f t="array" ref="I416">IFERROR(IF(INDEX(Data!$H$2:$H$750,SMALL(Data!$S$2:$S$750,310))=0,"",INDEX(Data!$H$2:$H$750,SMALL(Data!$S$2:$S$750,310))),"")</f>
        <v>21</v>
      </c>
      <c r="J416" s="58">
        <f t="array" ref="J416">IFERROR(INDEX(Data!$I$2:$I$750,SMALL(Data!$S$2:$S$750,310)),"")</f>
        <v>46400</v>
      </c>
      <c r="K416" s="56" t="str">
        <f t="array" ref="K416">IFERROR(INDEX(Data!$J$2:$J$750,SMALL(Data!$S$2:$S$750,310)),"")</f>
        <v>Not Paid</v>
      </c>
      <c r="L416" s="56" t="str">
        <f t="array" ref="L416">IFERROR(INDEX(Data!$K$2:$K$750,SMALL(Data!$S$2:$S$750,310)),"")</f>
        <v>Pending</v>
      </c>
      <c r="M416" s="46" t="s">
        <v>692</v>
      </c>
    </row>
    <row r="417" ht="15.75" customHeight="1">
      <c r="B417" s="53" t="str">
        <f t="array" ref="B417">IFERROR(INDEX(Data!$A$2:$A$750,SMALL(Data!$S$2:$S$750,311)),"")</f>
        <v>SpringNova</v>
      </c>
      <c r="C417" s="53" t="str">
        <f t="array" ref="C417">IFERROR(IF(INDEX(Data!$B$2:$B$750,SMALL(Data!$S$2:$S$750,311))=0,"",INDEX(Data!$B$2:$B$750,SMALL(Data!$S$2:$S$750,311))),"")</f>
        <v/>
      </c>
      <c r="D417" s="53" t="str">
        <f t="array" ref="D417">IFERROR(INDEX(Data!$C$2:$C$750,SMALL(Data!$S$2:$S$750,311)),"")</f>
        <v>[3199.000.00] ID ISC.ANT.U270/270-EU Antenna UHF</v>
      </c>
      <c r="E417" s="53">
        <f t="array" ref="E417">IFERROR(IF(INDEX(Data!$D$2:$D$750,SMALL(Data!$S$2:$S$750,311))=0,"",INDEX(Data!$D$2:$D$750,SMALL(Data!$S$2:$S$750,311))),"")</f>
        <v>2</v>
      </c>
      <c r="F417" s="54">
        <f t="array" ref="F417">IFERROR(IF(INDEX(Data!$E$2:$E$750,SMALL(Data!$S$2:$S$750,311))=0,"",INDEX(Data!$E$2:$E$750,SMALL(Data!$S$2:$S$750,311))),"")</f>
        <v>2</v>
      </c>
      <c r="G417" s="54">
        <f t="array" ref="G417">IFERROR(INDEX(Data!$F$2:$F$750,SMALL(Data!$S$2:$S$750,311)),"")</f>
        <v>4</v>
      </c>
      <c r="H417" s="55">
        <f t="array" ref="H417">IFERROR(IF(INDEX(Data!$G$2:$G$750,SMALL(Data!$S$2:$S$750,311))=0,"",INDEX(Data!$G$2:$G$750,SMALL(Data!$S$2:$S$750,311))),"")</f>
        <v>46254</v>
      </c>
      <c r="I417" s="53">
        <f t="array" ref="I417">IFERROR(IF(INDEX(Data!$H$2:$H$750,SMALL(Data!$S$2:$S$750,311))=0,"",INDEX(Data!$H$2:$H$750,SMALL(Data!$S$2:$S$750,311))),"")</f>
        <v>21</v>
      </c>
      <c r="J417" s="55">
        <f t="array" ref="J417">IFERROR(INDEX(Data!$I$2:$I$750,SMALL(Data!$S$2:$S$750,311)),"")</f>
        <v>46401</v>
      </c>
      <c r="K417" s="53" t="str">
        <f t="array" ref="K417">IFERROR(INDEX(Data!$J$2:$J$750,SMALL(Data!$S$2:$S$750,311)),"")</f>
        <v>Not Paid</v>
      </c>
      <c r="L417" s="53" t="str">
        <f t="array" ref="L417">IFERROR(INDEX(Data!$K$2:$K$750,SMALL(Data!$S$2:$S$750,311)),"")</f>
        <v>Pending</v>
      </c>
      <c r="M417" s="47" t="s">
        <v>682</v>
      </c>
      <c r="N417" s="47" t="s">
        <v>3</v>
      </c>
    </row>
    <row r="418" ht="15.75" customHeight="1">
      <c r="B418" s="56" t="str">
        <f t="array" ref="B418">IFERROR(INDEX(Data!$A$2:$A$750,SMALL(Data!$S$2:$S$750,312)),"")</f>
        <v>SpringNova</v>
      </c>
      <c r="C418" s="56" t="str">
        <f t="array" ref="C418">IFERROR(IF(INDEX(Data!$B$2:$B$750,SMALL(Data!$S$2:$S$750,312))=0,"",INDEX(Data!$B$2:$B$750,SMALL(Data!$S$2:$S$750,312))),"")</f>
        <v/>
      </c>
      <c r="D418" s="56" t="str">
        <f t="array" ref="D418">IFERROR(INDEX(Data!$C$2:$C$750,SMALL(Data!$S$2:$S$750,312)),"")</f>
        <v>Coaxial Cables</v>
      </c>
      <c r="E418" s="56" t="str">
        <f t="array" ref="E418">IFERROR(IF(INDEX(Data!$D$2:$D$750,SMALL(Data!$S$2:$S$750,312))=0,"",INDEX(Data!$D$2:$D$750,SMALL(Data!$S$2:$S$750,312))),"")</f>
        <v>100 m</v>
      </c>
      <c r="F418" s="57">
        <f t="array" ref="F418">IFERROR(IF(INDEX(Data!$E$2:$E$750,SMALL(Data!$S$2:$S$750,312))=0,"",INDEX(Data!$E$2:$E$750,SMALL(Data!$S$2:$S$750,312))),"")</f>
        <v>5</v>
      </c>
      <c r="G418" s="57" t="str">
        <f t="array" ref="G418">IFERROR(INDEX(Data!$F$2:$F$750,SMALL(Data!$S$2:$S$750,312)),"")</f>
        <v/>
      </c>
      <c r="H418" s="58">
        <f t="array" ref="H418">IFERROR(IF(INDEX(Data!$G$2:$G$750,SMALL(Data!$S$2:$S$750,312))=0,"",INDEX(Data!$G$2:$G$750,SMALL(Data!$S$2:$S$750,312))),"")</f>
        <v>46255</v>
      </c>
      <c r="I418" s="56">
        <f t="array" ref="I418">IFERROR(IF(INDEX(Data!$H$2:$H$750,SMALL(Data!$S$2:$S$750,312))=0,"",INDEX(Data!$H$2:$H$750,SMALL(Data!$S$2:$S$750,312))),"")</f>
        <v>14</v>
      </c>
      <c r="J418" s="58">
        <f t="array" ref="J418">IFERROR(INDEX(Data!$I$2:$I$750,SMALL(Data!$S$2:$S$750,312)),"")</f>
        <v>46353</v>
      </c>
      <c r="K418" s="56" t="str">
        <f t="array" ref="K418">IFERROR(INDEX(Data!$J$2:$J$750,SMALL(Data!$S$2:$S$750,312)),"")</f>
        <v>Not Paid</v>
      </c>
      <c r="L418" s="56" t="str">
        <f t="array" ref="L418">IFERROR(INDEX(Data!$K$2:$K$750,SMALL(Data!$S$2:$S$750,312)),"")</f>
        <v>Pending</v>
      </c>
      <c r="M418" s="48" t="s">
        <v>23</v>
      </c>
      <c r="N418" s="48">
        <f>SUMIFS(Data!D2:D750,Data!B2:B750,M418,Data!O2:O750,1)</f>
        <v>20200</v>
      </c>
    </row>
    <row r="419" ht="15.75" customHeight="1">
      <c r="B419" s="53" t="str">
        <f t="array" ref="B419">IFERROR(INDEX(Data!$A$2:$A$750,SMALL(Data!$S$2:$S$750,313)),"")</f>
        <v>Marina</v>
      </c>
      <c r="C419" s="53" t="str">
        <f t="array" ref="C419">IFERROR(IF(INDEX(Data!$B$2:$B$750,SMALL(Data!$S$2:$S$750,313))=0,"",INDEX(Data!$B$2:$B$750,SMALL(Data!$S$2:$S$750,313))),"")</f>
        <v/>
      </c>
      <c r="D419" s="53" t="str">
        <f t="array" ref="D419">IFERROR(INDEX(Data!$C$2:$C$750,SMALL(Data!$S$2:$S$750,313)),"")</f>
        <v>Control board for Magnetic Toll</v>
      </c>
      <c r="E419" s="53">
        <f t="array" ref="E419">IFERROR(IF(INDEX(Data!$D$2:$D$750,SMALL(Data!$S$2:$S$750,313))=0,"",INDEX(Data!$D$2:$D$750,SMALL(Data!$S$2:$S$750,313))),"")</f>
        <v>2</v>
      </c>
      <c r="F419" s="54">
        <f t="array" ref="F419">IFERROR(IF(INDEX(Data!$E$2:$E$750,SMALL(Data!$S$2:$S$750,313))=0,"",INDEX(Data!$E$2:$E$750,SMALL(Data!$S$2:$S$750,313))),"")</f>
        <v>6</v>
      </c>
      <c r="G419" s="54">
        <f t="array" ref="G419">IFERROR(INDEX(Data!$F$2:$F$750,SMALL(Data!$S$2:$S$750,313)),"")</f>
        <v>12</v>
      </c>
      <c r="H419" s="55">
        <f t="array" ref="H419">IFERROR(IF(INDEX(Data!$G$2:$G$750,SMALL(Data!$S$2:$S$750,313))=0,"",INDEX(Data!$G$2:$G$750,SMALL(Data!$S$2:$S$750,313))),"")</f>
        <v>46256</v>
      </c>
      <c r="I419" s="53">
        <f t="array" ref="I419">IFERROR(IF(INDEX(Data!$H$2:$H$750,SMALL(Data!$S$2:$S$750,313))=0,"",INDEX(Data!$H$2:$H$750,SMALL(Data!$S$2:$S$750,313))),"")</f>
        <v>14</v>
      </c>
      <c r="J419" s="55">
        <f t="array" ref="J419">IFERROR(INDEX(Data!$I$2:$I$750,SMALL(Data!$S$2:$S$750,313)),"")</f>
        <v>46354</v>
      </c>
      <c r="K419" s="53" t="str">
        <f t="array" ref="K419">IFERROR(INDEX(Data!$J$2:$J$750,SMALL(Data!$S$2:$S$750,313)),"")</f>
        <v>Not Paid</v>
      </c>
      <c r="L419" s="53" t="str">
        <f t="array" ref="L419">IFERROR(INDEX(Data!$K$2:$K$750,SMALL(Data!$S$2:$S$750,313)),"")</f>
        <v>Pending</v>
      </c>
      <c r="M419" s="48" t="s">
        <v>46</v>
      </c>
      <c r="N419" s="48">
        <f>SUMIFS(Data!D2:D750,Data!B2:B750,M419,Data!O2:O750,1)</f>
        <v>65</v>
      </c>
    </row>
    <row r="420" ht="15.75" customHeight="1">
      <c r="B420" s="56" t="str">
        <f t="array" ref="B420">IFERROR(INDEX(Data!$A$2:$A$750,SMALL(Data!$S$2:$S$750,314)),"")</f>
        <v>Sidc</v>
      </c>
      <c r="C420" s="56" t="str">
        <f t="array" ref="C420">IFERROR(IF(INDEX(Data!$B$2:$B$750,SMALL(Data!$S$2:$S$750,314))=0,"",INDEX(Data!$B$2:$B$750,SMALL(Data!$S$2:$S$750,314))),"")</f>
        <v/>
      </c>
      <c r="D420" s="56" t="str">
        <f t="array" ref="D420">IFERROR(INDEX(Data!$C$2:$C$750,SMALL(Data!$S$2:$S$750,314)),"")</f>
        <v>Magnetic Toll Barrier boom 3 meters</v>
      </c>
      <c r="E420" s="56">
        <f t="array" ref="E420">IFERROR(IF(INDEX(Data!$D$2:$D$750,SMALL(Data!$S$2:$S$750,314))=0,"",INDEX(Data!$D$2:$D$750,SMALL(Data!$S$2:$S$750,314))),"")</f>
        <v>8</v>
      </c>
      <c r="F420" s="57">
        <f t="array" ref="F420">IFERROR(IF(INDEX(Data!$E$2:$E$750,SMALL(Data!$S$2:$S$750,314))=0,"",INDEX(Data!$E$2:$E$750,SMALL(Data!$S$2:$S$750,314))),"")</f>
        <v>7</v>
      </c>
      <c r="G420" s="57">
        <f t="array" ref="G420">IFERROR(INDEX(Data!$F$2:$F$750,SMALL(Data!$S$2:$S$750,314)),"")</f>
        <v>56</v>
      </c>
      <c r="H420" s="58">
        <f t="array" ref="H420">IFERROR(IF(INDEX(Data!$G$2:$G$750,SMALL(Data!$S$2:$S$750,314))=0,"",INDEX(Data!$G$2:$G$750,SMALL(Data!$S$2:$S$750,314))),"")</f>
        <v>46257</v>
      </c>
      <c r="I420" s="56">
        <f t="array" ref="I420">IFERROR(IF(INDEX(Data!$H$2:$H$750,SMALL(Data!$S$2:$S$750,314))=0,"",INDEX(Data!$H$2:$H$750,SMALL(Data!$S$2:$S$750,314))),"")</f>
        <v>12</v>
      </c>
      <c r="J420" s="58">
        <f t="array" ref="J420">IFERROR(INDEX(Data!$I$2:$I$750,SMALL(Data!$S$2:$S$750,314)),"")</f>
        <v>46341</v>
      </c>
      <c r="K420" s="56" t="str">
        <f t="array" ref="K420">IFERROR(INDEX(Data!$J$2:$J$750,SMALL(Data!$S$2:$S$750,314)),"")</f>
        <v>Not Paid</v>
      </c>
      <c r="L420" s="56" t="str">
        <f t="array" ref="L420">IFERROR(INDEX(Data!$K$2:$K$750,SMALL(Data!$S$2:$S$750,314)),"")</f>
        <v>Pending</v>
      </c>
      <c r="M420" s="48" t="s">
        <v>34</v>
      </c>
      <c r="N420" s="48">
        <f>SUMIFS(Data!D2:D750,Data!B2:B750,M420,Data!O2:O750,1)</f>
        <v>75635</v>
      </c>
    </row>
    <row r="421" ht="15.75" customHeight="1">
      <c r="B421" s="53" t="str">
        <f t="array" ref="B421">IFERROR(INDEX(Data!$A$2:$A$750,SMALL(Data!$S$2:$S$750,315)),"")</f>
        <v>Hassan Allam (SLR)</v>
      </c>
      <c r="C421" s="53" t="str">
        <f t="array" ref="C421">IFERROR(IF(INDEX(Data!$B$2:$B$750,SMALL(Data!$S$2:$S$750,315))=0,"",INDEX(Data!$B$2:$B$750,SMALL(Data!$S$2:$S$750,315))),"")</f>
        <v/>
      </c>
      <c r="D421" s="53" t="str">
        <f t="array" ref="D421">IFERROR(INDEX(Data!$C$2:$C$750,SMALL(Data!$S$2:$S$750,315)),"")</f>
        <v>Dell OptiPlex 7020</v>
      </c>
      <c r="E421" s="53">
        <f t="array" ref="E421">IFERROR(IF(INDEX(Data!$D$2:$D$750,SMALL(Data!$S$2:$S$750,315))=0,"",INDEX(Data!$D$2:$D$750,SMALL(Data!$S$2:$S$750,315))),"")</f>
        <v>16</v>
      </c>
      <c r="F421" s="54">
        <f t="array" ref="F421">IFERROR(IF(INDEX(Data!$E$2:$E$750,SMALL(Data!$S$2:$S$750,315))=0,"",INDEX(Data!$E$2:$E$750,SMALL(Data!$S$2:$S$750,315))),"")</f>
        <v>8</v>
      </c>
      <c r="G421" s="54">
        <f t="array" ref="G421">IFERROR(INDEX(Data!$F$2:$F$750,SMALL(Data!$S$2:$S$750,315)),"")</f>
        <v>128</v>
      </c>
      <c r="H421" s="55">
        <f t="array" ref="H421">IFERROR(IF(INDEX(Data!$G$2:$G$750,SMALL(Data!$S$2:$S$750,315))=0,"",INDEX(Data!$G$2:$G$750,SMALL(Data!$S$2:$S$750,315))),"")</f>
        <v>46258</v>
      </c>
      <c r="I421" s="53">
        <f t="array" ref="I421">IFERROR(IF(INDEX(Data!$H$2:$H$750,SMALL(Data!$S$2:$S$750,315))=0,"",INDEX(Data!$H$2:$H$750,SMALL(Data!$S$2:$S$750,315))),"")</f>
        <v>11</v>
      </c>
      <c r="J421" s="55">
        <f t="array" ref="J421">IFERROR(INDEX(Data!$I$2:$I$750,SMALL(Data!$S$2:$S$750,315)),"")</f>
        <v>46335</v>
      </c>
      <c r="K421" s="53" t="str">
        <f t="array" ref="K421">IFERROR(INDEX(Data!$J$2:$J$750,SMALL(Data!$S$2:$S$750,315)),"")</f>
        <v>Not Paid</v>
      </c>
      <c r="L421" s="53" t="str">
        <f t="array" ref="L421">IFERROR(INDEX(Data!$K$2:$K$750,SMALL(Data!$S$2:$S$750,315)),"")</f>
        <v>Pending</v>
      </c>
      <c r="M421" s="48" t="s">
        <v>41</v>
      </c>
      <c r="N421" s="48">
        <f>SUMIFS(Data!D2:D750,Data!B2:B750,M421,Data!O2:O750,1)</f>
        <v>172910</v>
      </c>
    </row>
    <row r="422" ht="15.75" customHeight="1">
      <c r="B422" s="56" t="str">
        <f t="array" ref="B422">IFERROR(INDEX(Data!$A$2:$A$750,SMALL(Data!$S$2:$S$750,316)),"")</f>
        <v>Hassan Allam (SLR)</v>
      </c>
      <c r="C422" s="56" t="str">
        <f t="array" ref="C422">IFERROR(IF(INDEX(Data!$B$2:$B$750,SMALL(Data!$S$2:$S$750,316))=0,"",INDEX(Data!$B$2:$B$750,SMALL(Data!$S$2:$S$750,316))),"")</f>
        <v/>
      </c>
      <c r="D422" s="56" t="str">
        <f t="array" ref="D422">IFERROR(INDEX(Data!$C$2:$C$750,SMALL(Data!$S$2:$S$750,316)),"")</f>
        <v>[OG-00348] FAAC Barrier B680 5 Meters</v>
      </c>
      <c r="E422" s="56">
        <f t="array" ref="E422">IFERROR(IF(INDEX(Data!$D$2:$D$750,SMALL(Data!$S$2:$S$750,316))=0,"",INDEX(Data!$D$2:$D$750,SMALL(Data!$S$2:$S$750,316))),"")</f>
        <v>12</v>
      </c>
      <c r="F422" s="57">
        <f t="array" ref="F422">IFERROR(IF(INDEX(Data!$E$2:$E$750,SMALL(Data!$S$2:$S$750,316))=0,"",INDEX(Data!$E$2:$E$750,SMALL(Data!$S$2:$S$750,316))),"")</f>
        <v>2</v>
      </c>
      <c r="G422" s="57">
        <f t="array" ref="G422">IFERROR(INDEX(Data!$F$2:$F$750,SMALL(Data!$S$2:$S$750,316)),"")</f>
        <v>24</v>
      </c>
      <c r="H422" s="58">
        <f t="array" ref="H422">IFERROR(IF(INDEX(Data!$G$2:$G$750,SMALL(Data!$S$2:$S$750,316))=0,"",INDEX(Data!$G$2:$G$750,SMALL(Data!$S$2:$S$750,316))),"")</f>
        <v>46259</v>
      </c>
      <c r="I422" s="56">
        <f t="array" ref="I422">IFERROR(IF(INDEX(Data!$H$2:$H$750,SMALL(Data!$S$2:$S$750,316))=0,"",INDEX(Data!$H$2:$H$750,SMALL(Data!$S$2:$S$750,316))),"")</f>
        <v>15</v>
      </c>
      <c r="J422" s="58">
        <f t="array" ref="J422">IFERROR(INDEX(Data!$I$2:$I$750,SMALL(Data!$S$2:$S$750,316)),"")</f>
        <v>46364</v>
      </c>
      <c r="K422" s="56" t="str">
        <f t="array" ref="K422">IFERROR(INDEX(Data!$J$2:$J$750,SMALL(Data!$S$2:$S$750,316)),"")</f>
        <v>Not Paid</v>
      </c>
      <c r="L422" s="56" t="str">
        <f t="array" ref="L422">IFERROR(INDEX(Data!$K$2:$K$750,SMALL(Data!$S$2:$S$750,316)),"")</f>
        <v>Pending</v>
      </c>
      <c r="M422" s="48" t="s">
        <v>56</v>
      </c>
      <c r="N422" s="48">
        <f>SUMIFS(Data!D2:D750,Data!B2:B750,M422,Data!O2:O750,1)</f>
        <v>58</v>
      </c>
    </row>
    <row r="423" ht="15.75" customHeight="1">
      <c r="B423" s="53" t="str">
        <f t="array" ref="B423">IFERROR(INDEX(Data!$A$2:$A$750,SMALL(Data!$S$2:$S$750,317)),"")</f>
        <v>Hassan Allam (SLR)</v>
      </c>
      <c r="C423" s="53" t="str">
        <f t="array" ref="C423">IFERROR(IF(INDEX(Data!$B$2:$B$750,SMALL(Data!$S$2:$S$750,317))=0,"",INDEX(Data!$B$2:$B$750,SMALL(Data!$S$2:$S$750,317))),"")</f>
        <v/>
      </c>
      <c r="D423" s="53" t="str">
        <f t="array" ref="D423">IFERROR(INDEX(Data!$C$2:$C$750,SMALL(Data!$S$2:$S$750,317)),"")</f>
        <v>[5118.001.01] ID MAX.U500i-EU Compact UHF Access Control Re</v>
      </c>
      <c r="E423" s="53">
        <f t="array" ref="E423">IFERROR(IF(INDEX(Data!$D$2:$D$750,SMALL(Data!$S$2:$S$750,317))=0,"",INDEX(Data!$D$2:$D$750,SMALL(Data!$S$2:$S$750,317))),"")</f>
        <v>12</v>
      </c>
      <c r="F423" s="54">
        <f t="array" ref="F423">IFERROR(IF(INDEX(Data!$E$2:$E$750,SMALL(Data!$S$2:$S$750,317))=0,"",INDEX(Data!$E$2:$E$750,SMALL(Data!$S$2:$S$750,317))),"")</f>
        <v>15</v>
      </c>
      <c r="G423" s="54">
        <f t="array" ref="G423">IFERROR(INDEX(Data!$F$2:$F$750,SMALL(Data!$S$2:$S$750,317)),"")</f>
        <v>180</v>
      </c>
      <c r="H423" s="55">
        <f t="array" ref="H423">IFERROR(IF(INDEX(Data!$G$2:$G$750,SMALL(Data!$S$2:$S$750,317))=0,"",INDEX(Data!$G$2:$G$750,SMALL(Data!$S$2:$S$750,317))),"")</f>
        <v>46260</v>
      </c>
      <c r="I423" s="53">
        <f t="array" ref="I423">IFERROR(IF(INDEX(Data!$H$2:$H$750,SMALL(Data!$S$2:$S$750,317))=0,"",INDEX(Data!$H$2:$H$750,SMALL(Data!$S$2:$S$750,317))),"")</f>
        <v>12</v>
      </c>
      <c r="J423" s="55">
        <f t="array" ref="J423">IFERROR(INDEX(Data!$I$2:$I$750,SMALL(Data!$S$2:$S$750,317)),"")</f>
        <v>46344</v>
      </c>
      <c r="K423" s="53" t="str">
        <f t="array" ref="K423">IFERROR(INDEX(Data!$J$2:$J$750,SMALL(Data!$S$2:$S$750,317)),"")</f>
        <v>Not Paid</v>
      </c>
      <c r="L423" s="53" t="str">
        <f t="array" ref="L423">IFERROR(INDEX(Data!$K$2:$K$750,SMALL(Data!$S$2:$S$750,317)),"")</f>
        <v>Pending</v>
      </c>
      <c r="M423" s="48" t="s">
        <v>114</v>
      </c>
      <c r="N423" s="48">
        <f>SUMIFS(Data!D2:D750,Data!B2:B750,M423,Data!O2:O750,1)</f>
        <v>1</v>
      </c>
    </row>
    <row r="424" ht="15.75" customHeight="1">
      <c r="B424" s="56" t="str">
        <f t="array" ref="B424">IFERROR(INDEX(Data!$A$2:$A$750,SMALL(Data!$S$2:$S$750,318)),"")</f>
        <v>Hassan Allam (SLR)</v>
      </c>
      <c r="C424" s="56" t="str">
        <f t="array" ref="C424">IFERROR(IF(INDEX(Data!$B$2:$B$750,SMALL(Data!$S$2:$S$750,318))=0,"",INDEX(Data!$B$2:$B$750,SMALL(Data!$S$2:$S$750,318))),"")</f>
        <v/>
      </c>
      <c r="D424" s="56" t="str">
        <f t="array" ref="D424">IFERROR(INDEX(Data!$C$2:$C$750,SMALL(Data!$S$2:$S$750,318)),"")</f>
        <v>push button</v>
      </c>
      <c r="E424" s="56">
        <f t="array" ref="E424">IFERROR(IF(INDEX(Data!$D$2:$D$750,SMALL(Data!$S$2:$S$750,318))=0,"",INDEX(Data!$D$2:$D$750,SMALL(Data!$S$2:$S$750,318))),"")</f>
        <v>12</v>
      </c>
      <c r="F424" s="57">
        <f t="array" ref="F424">IFERROR(IF(INDEX(Data!$E$2:$E$750,SMALL(Data!$S$2:$S$750,318))=0,"",INDEX(Data!$E$2:$E$750,SMALL(Data!$S$2:$S$750,318))),"")</f>
        <v>45</v>
      </c>
      <c r="G424" s="57">
        <f t="array" ref="G424">IFERROR(INDEX(Data!$F$2:$F$750,SMALL(Data!$S$2:$S$750,318)),"")</f>
        <v>540</v>
      </c>
      <c r="H424" s="58">
        <f t="array" ref="H424">IFERROR(IF(INDEX(Data!$G$2:$G$750,SMALL(Data!$S$2:$S$750,318))=0,"",INDEX(Data!$G$2:$G$750,SMALL(Data!$S$2:$S$750,318))),"")</f>
        <v>46261</v>
      </c>
      <c r="I424" s="56">
        <f t="array" ref="I424">IFERROR(IF(INDEX(Data!$H$2:$H$750,SMALL(Data!$S$2:$S$750,318))=0,"",INDEX(Data!$H$2:$H$750,SMALL(Data!$S$2:$S$750,318))),"")</f>
        <v>13</v>
      </c>
      <c r="J424" s="58">
        <f t="array" ref="J424">IFERROR(INDEX(Data!$I$2:$I$750,SMALL(Data!$S$2:$S$750,318)),"")</f>
        <v>46352</v>
      </c>
      <c r="K424" s="56" t="str">
        <f t="array" ref="K424">IFERROR(INDEX(Data!$J$2:$J$750,SMALL(Data!$S$2:$S$750,318)),"")</f>
        <v>Not Paid</v>
      </c>
      <c r="L424" s="56" t="str">
        <f t="array" ref="L424">IFERROR(INDEX(Data!$K$2:$K$750,SMALL(Data!$S$2:$S$750,318)),"")</f>
        <v>Pending</v>
      </c>
      <c r="M424" s="48" t="s">
        <v>71</v>
      </c>
      <c r="N424" s="48">
        <f>SUMIFS(Data!D2:D750,Data!B2:B750,M424,Data!O2:O750,1)</f>
        <v>40168</v>
      </c>
    </row>
    <row r="425" ht="15.75" customHeight="1">
      <c r="B425" s="53" t="str">
        <f t="array" ref="B425">IFERROR(INDEX(Data!$A$2:$A$750,SMALL(Data!$S$2:$S$750,319)),"")</f>
        <v>Hassan Allam (SLR)</v>
      </c>
      <c r="C425" s="53" t="str">
        <f t="array" ref="C425">IFERROR(IF(INDEX(Data!$B$2:$B$750,SMALL(Data!$S$2:$S$750,319))=0,"",INDEX(Data!$B$2:$B$750,SMALL(Data!$S$2:$S$750,319))),"")</f>
        <v/>
      </c>
      <c r="D425" s="53" t="str">
        <f t="array" ref="D425">IFERROR(INDEX(Data!$C$2:$C$750,SMALL(Data!$S$2:$S$750,319)),"")</f>
        <v>loop caple </v>
      </c>
      <c r="E425" s="53">
        <f t="array" ref="E425">IFERROR(IF(INDEX(Data!$D$2:$D$750,SMALL(Data!$S$2:$S$750,319))=0,"",INDEX(Data!$D$2:$D$750,SMALL(Data!$S$2:$S$750,319))),"")</f>
        <v>12</v>
      </c>
      <c r="F425" s="54">
        <f t="array" ref="F425">IFERROR(IF(INDEX(Data!$E$2:$E$750,SMALL(Data!$S$2:$S$750,319))=0,"",INDEX(Data!$E$2:$E$750,SMALL(Data!$S$2:$S$750,319))),"")</f>
        <v>24</v>
      </c>
      <c r="G425" s="54">
        <f t="array" ref="G425">IFERROR(INDEX(Data!$F$2:$F$750,SMALL(Data!$S$2:$S$750,319)),"")</f>
        <v>288</v>
      </c>
      <c r="H425" s="55">
        <f t="array" ref="H425">IFERROR(IF(INDEX(Data!$G$2:$G$750,SMALL(Data!$S$2:$S$750,319))=0,"",INDEX(Data!$G$2:$G$750,SMALL(Data!$S$2:$S$750,319))),"")</f>
        <v>46262</v>
      </c>
      <c r="I425" s="53">
        <f t="array" ref="I425">IFERROR(IF(INDEX(Data!$H$2:$H$750,SMALL(Data!$S$2:$S$750,319))=0,"",INDEX(Data!$H$2:$H$750,SMALL(Data!$S$2:$S$750,319))),"")</f>
        <v>11</v>
      </c>
      <c r="J425" s="55">
        <f t="array" ref="J425">IFERROR(INDEX(Data!$I$2:$I$750,SMALL(Data!$S$2:$S$750,319)),"")</f>
        <v>46339</v>
      </c>
      <c r="K425" s="53" t="str">
        <f t="array" ref="K425">IFERROR(INDEX(Data!$J$2:$J$750,SMALL(Data!$S$2:$S$750,319)),"")</f>
        <v>Not Paid</v>
      </c>
      <c r="L425" s="53" t="str">
        <f t="array" ref="L425">IFERROR(INDEX(Data!$K$2:$K$750,SMALL(Data!$S$2:$S$750,319)),"")</f>
        <v>Pending</v>
      </c>
      <c r="M425" s="48" t="s">
        <v>39</v>
      </c>
      <c r="N425" s="48">
        <f>SUMIFS(Data!D2:D750,Data!B2:B750,M425,Data!O2:O750,1)</f>
        <v>28</v>
      </c>
    </row>
    <row r="426" ht="15.75" customHeight="1">
      <c r="B426" s="56" t="str">
        <f t="array" ref="B426">IFERROR(INDEX(Data!$A$2:$A$750,SMALL(Data!$S$2:$S$750,320)),"")</f>
        <v>Hassan Allam (SLR)</v>
      </c>
      <c r="C426" s="56" t="str">
        <f t="array" ref="C426">IFERROR(IF(INDEX(Data!$B$2:$B$750,SMALL(Data!$S$2:$S$750,320))=0,"",INDEX(Data!$B$2:$B$750,SMALL(Data!$S$2:$S$750,320))),"")</f>
        <v/>
      </c>
      <c r="D426" s="56" t="str">
        <f t="array" ref="D426">IFERROR(INDEX(Data!$C$2:$C$750,SMALL(Data!$S$2:$S$750,320)),"")</f>
        <v>Reader Stand+Mounting Set</v>
      </c>
      <c r="E426" s="56">
        <f t="array" ref="E426">IFERROR(IF(INDEX(Data!$D$2:$D$750,SMALL(Data!$S$2:$S$750,320))=0,"",INDEX(Data!$D$2:$D$750,SMALL(Data!$S$2:$S$750,320))),"")</f>
        <v>12</v>
      </c>
      <c r="F426" s="57">
        <f t="array" ref="F426">IFERROR(IF(INDEX(Data!$E$2:$E$750,SMALL(Data!$S$2:$S$750,320))=0,"",INDEX(Data!$E$2:$E$750,SMALL(Data!$S$2:$S$750,320))),"")</f>
        <v>25</v>
      </c>
      <c r="G426" s="57">
        <f t="array" ref="G426">IFERROR(INDEX(Data!$F$2:$F$750,SMALL(Data!$S$2:$S$750,320)),"")</f>
        <v>300</v>
      </c>
      <c r="H426" s="58">
        <f t="array" ref="H426">IFERROR(IF(INDEX(Data!$G$2:$G$750,SMALL(Data!$S$2:$S$750,320))=0,"",INDEX(Data!$G$2:$G$750,SMALL(Data!$S$2:$S$750,320))),"")</f>
        <v>46263</v>
      </c>
      <c r="I426" s="56">
        <f t="array" ref="I426">IFERROR(IF(INDEX(Data!$H$2:$H$750,SMALL(Data!$S$2:$S$750,320))=0,"",INDEX(Data!$H$2:$H$750,SMALL(Data!$S$2:$S$750,320))),"")</f>
        <v>11</v>
      </c>
      <c r="J426" s="58">
        <f t="array" ref="J426">IFERROR(INDEX(Data!$I$2:$I$750,SMALL(Data!$S$2:$S$750,320)),"")</f>
        <v>46340</v>
      </c>
      <c r="K426" s="56" t="str">
        <f t="array" ref="K426">IFERROR(INDEX(Data!$J$2:$J$750,SMALL(Data!$S$2:$S$750,320)),"")</f>
        <v>Not Paid</v>
      </c>
      <c r="L426" s="56" t="str">
        <f t="array" ref="L426">IFERROR(INDEX(Data!$K$2:$K$750,SMALL(Data!$S$2:$S$750,320)),"")</f>
        <v>Pending</v>
      </c>
      <c r="M426" s="48" t="s">
        <v>137</v>
      </c>
      <c r="N426" s="48">
        <f>SUMIFS(Data!D2:D750,Data!B2:B750,M426,Data!O2:O750,1)</f>
        <v>104</v>
      </c>
    </row>
    <row r="427" ht="15.75" customHeight="1">
      <c r="B427" s="53" t="str">
        <f t="array" ref="B427">IFERROR(INDEX(Data!$A$2:$A$750,SMALL(Data!$S$2:$S$750,321)),"")</f>
        <v>1189 - Hassan Allam properties (SLN)</v>
      </c>
      <c r="C427" s="53" t="str">
        <f t="array" ref="C427">IFERROR(IF(INDEX(Data!$B$2:$B$750,SMALL(Data!$S$2:$S$750,321))=0,"",INDEX(Data!$B$2:$B$750,SMALL(Data!$S$2:$S$750,321))),"")</f>
        <v/>
      </c>
      <c r="D427" s="53" t="str">
        <f t="array" ref="D427">IFERROR(INDEX(Data!$C$2:$C$750,SMALL(Data!$S$2:$S$750,321)),"")</f>
        <v>[OG-00700] Boom Arm 4m FAAC B680</v>
      </c>
      <c r="E427" s="53">
        <f t="array" ref="E427">IFERROR(IF(INDEX(Data!$D$2:$D$750,SMALL(Data!$S$2:$S$750,321))=0,"",INDEX(Data!$D$2:$D$750,SMALL(Data!$S$2:$S$750,321))),"")</f>
        <v>1</v>
      </c>
      <c r="F427" s="54">
        <f t="array" ref="F427">IFERROR(IF(INDEX(Data!$E$2:$E$750,SMALL(Data!$S$2:$S$750,321))=0,"",INDEX(Data!$E$2:$E$750,SMALL(Data!$S$2:$S$750,321))),"")</f>
        <v>36</v>
      </c>
      <c r="G427" s="54">
        <f t="array" ref="G427">IFERROR(INDEX(Data!$F$2:$F$750,SMALL(Data!$S$2:$S$750,321)),"")</f>
        <v>36</v>
      </c>
      <c r="H427" s="55">
        <f t="array" ref="H427">IFERROR(IF(INDEX(Data!$G$2:$G$750,SMALL(Data!$S$2:$S$750,321))=0,"",INDEX(Data!$G$2:$G$750,SMALL(Data!$S$2:$S$750,321))),"")</f>
        <v>46264</v>
      </c>
      <c r="I427" s="53">
        <f t="array" ref="I427">IFERROR(IF(INDEX(Data!$H$2:$H$750,SMALL(Data!$S$2:$S$750,321))=0,"",INDEX(Data!$H$2:$H$750,SMALL(Data!$S$2:$S$750,321))),"")</f>
        <v>12</v>
      </c>
      <c r="J427" s="55">
        <f t="array" ref="J427">IFERROR(INDEX(Data!$I$2:$I$750,SMALL(Data!$S$2:$S$750,321)),"")</f>
        <v>46348</v>
      </c>
      <c r="K427" s="53" t="str">
        <f t="array" ref="K427">IFERROR(INDEX(Data!$J$2:$J$750,SMALL(Data!$S$2:$S$750,321)),"")</f>
        <v>Not Paid</v>
      </c>
      <c r="L427" s="53" t="str">
        <f t="array" ref="L427">IFERROR(INDEX(Data!$K$2:$K$750,SMALL(Data!$S$2:$S$750,321)),"")</f>
        <v>Pending</v>
      </c>
      <c r="M427" s="48" t="s">
        <v>62</v>
      </c>
      <c r="N427" s="48">
        <f>SUMIFS(Data!D2:D750,Data!B2:B750,M427,Data!O2:O750,1)</f>
        <v>30</v>
      </c>
    </row>
    <row r="428" ht="15.75" customHeight="1">
      <c r="B428" s="56" t="str">
        <f t="array" ref="B428">IFERROR(INDEX(Data!$A$2:$A$750,SMALL(Data!$S$2:$S$750,322)),"")</f>
        <v>Marina</v>
      </c>
      <c r="C428" s="56" t="str">
        <f t="array" ref="C428">IFERROR(IF(INDEX(Data!$B$2:$B$750,SMALL(Data!$S$2:$S$750,322))=0,"",INDEX(Data!$B$2:$B$750,SMALL(Data!$S$2:$S$750,322))),"")</f>
        <v/>
      </c>
      <c r="D428" s="56" t="str">
        <f t="array" ref="D428">IFERROR(INDEX(Data!$C$2:$C$750,SMALL(Data!$S$2:$S$750,322)),"")</f>
        <v>Magnetic Toll Barrier boom 3 meters</v>
      </c>
      <c r="E428" s="56">
        <f t="array" ref="E428">IFERROR(IF(INDEX(Data!$D$2:$D$750,SMALL(Data!$S$2:$S$750,322))=0,"",INDEX(Data!$D$2:$D$750,SMALL(Data!$S$2:$S$750,322))),"")</f>
        <v>1</v>
      </c>
      <c r="F428" s="57">
        <f t="array" ref="F428">IFERROR(IF(INDEX(Data!$E$2:$E$750,SMALL(Data!$S$2:$S$750,322))=0,"",INDEX(Data!$E$2:$E$750,SMALL(Data!$S$2:$S$750,322))),"")</f>
        <v>95</v>
      </c>
      <c r="G428" s="57">
        <f t="array" ref="G428">IFERROR(INDEX(Data!$F$2:$F$750,SMALL(Data!$S$2:$S$750,322)),"")</f>
        <v>95</v>
      </c>
      <c r="H428" s="58">
        <f t="array" ref="H428">IFERROR(IF(INDEX(Data!$G$2:$G$750,SMALL(Data!$S$2:$S$750,322))=0,"",INDEX(Data!$G$2:$G$750,SMALL(Data!$S$2:$S$750,322))),"")</f>
        <v>46265</v>
      </c>
      <c r="I428" s="56">
        <f t="array" ref="I428">IFERROR(IF(INDEX(Data!$H$2:$H$750,SMALL(Data!$S$2:$S$750,322))=0,"",INDEX(Data!$H$2:$H$750,SMALL(Data!$S$2:$S$750,322))),"")</f>
        <v>16</v>
      </c>
      <c r="J428" s="58">
        <f t="array" ref="J428">IFERROR(INDEX(Data!$I$2:$I$750,SMALL(Data!$S$2:$S$750,322)),"")</f>
        <v>46377</v>
      </c>
      <c r="K428" s="56" t="str">
        <f t="array" ref="K428">IFERROR(INDEX(Data!$J$2:$J$750,SMALL(Data!$S$2:$S$750,322)),"")</f>
        <v>Not Paid</v>
      </c>
      <c r="L428" s="56" t="str">
        <f t="array" ref="L428">IFERROR(INDEX(Data!$K$2:$K$750,SMALL(Data!$S$2:$S$750,322)),"")</f>
        <v>Pending</v>
      </c>
      <c r="M428" s="48" t="s">
        <v>159</v>
      </c>
      <c r="N428" s="48">
        <f>SUMIFS(Data!D2:D750,Data!B2:B750,M428,Data!O2:O750,1)</f>
        <v>3</v>
      </c>
    </row>
    <row r="429" ht="15.75" customHeight="1">
      <c r="B429" s="53" t="str">
        <f t="array" ref="B429">IFERROR(INDEX(Data!$A$2:$A$750,SMALL(Data!$S$2:$S$750,323)),"")</f>
        <v>NASPS</v>
      </c>
      <c r="C429" s="53" t="str">
        <f t="array" ref="C429">IFERROR(IF(INDEX(Data!$B$2:$B$750,SMALL(Data!$S$2:$S$750,323))=0,"",INDEX(Data!$B$2:$B$750,SMALL(Data!$S$2:$S$750,323))),"")</f>
        <v/>
      </c>
      <c r="D429" s="53" t="str">
        <f t="array" ref="D429">IFERROR(INDEX(Data!$C$2:$C$750,SMALL(Data!$S$2:$S$750,323)),"")</f>
        <v>Sato unwinder unit for SG112-EX SATO printer</v>
      </c>
      <c r="E429" s="53">
        <f t="array" ref="E429">IFERROR(IF(INDEX(Data!$D$2:$D$750,SMALL(Data!$S$2:$S$750,323))=0,"",INDEX(Data!$D$2:$D$750,SMALL(Data!$S$2:$S$750,323))),"")</f>
        <v>2</v>
      </c>
      <c r="F429" s="54">
        <f t="array" ref="F429">IFERROR(IF(INDEX(Data!$E$2:$E$750,SMALL(Data!$S$2:$S$750,323))=0,"",INDEX(Data!$E$2:$E$750,SMALL(Data!$S$2:$S$750,323))),"")</f>
        <v>574</v>
      </c>
      <c r="G429" s="54">
        <f t="array" ref="G429">IFERROR(INDEX(Data!$F$2:$F$750,SMALL(Data!$S$2:$S$750,323)),"")</f>
        <v>1148</v>
      </c>
      <c r="H429" s="55">
        <f t="array" ref="H429">IFERROR(IF(INDEX(Data!$G$2:$G$750,SMALL(Data!$S$2:$S$750,323))=0,"",INDEX(Data!$G$2:$G$750,SMALL(Data!$S$2:$S$750,323))),"")</f>
        <v>46266</v>
      </c>
      <c r="I429" s="53">
        <f t="array" ref="I429">IFERROR(IF(INDEX(Data!$H$2:$H$750,SMALL(Data!$S$2:$S$750,323))=0,"",INDEX(Data!$H$2:$H$750,SMALL(Data!$S$2:$S$750,323))),"")</f>
        <v>17</v>
      </c>
      <c r="J429" s="55">
        <f t="array" ref="J429">IFERROR(INDEX(Data!$I$2:$I$750,SMALL(Data!$S$2:$S$750,323)),"")</f>
        <v>46385</v>
      </c>
      <c r="K429" s="53" t="str">
        <f t="array" ref="K429">IFERROR(INDEX(Data!$J$2:$J$750,SMALL(Data!$S$2:$S$750,323)),"")</f>
        <v>Not Paid</v>
      </c>
      <c r="L429" s="53" t="str">
        <f t="array" ref="L429">IFERROR(INDEX(Data!$K$2:$K$750,SMALL(Data!$S$2:$S$750,323)),"")</f>
        <v>Pending</v>
      </c>
      <c r="M429" s="48" t="s">
        <v>131</v>
      </c>
      <c r="N429" s="48">
        <f>SUMIFS(Data!D2:D750,Data!B2:B750,M429,Data!O2:O750,1)</f>
        <v>119500</v>
      </c>
    </row>
    <row r="430" ht="15.75" customHeight="1">
      <c r="B430" s="56" t="str">
        <f t="array" ref="B430">IFERROR(INDEX(Data!$A$2:$A$750,SMALL(Data!$S$2:$S$750,324)),"")</f>
        <v>Mall of Egypt</v>
      </c>
      <c r="C430" s="56" t="str">
        <f t="array" ref="C430">IFERROR(IF(INDEX(Data!$B$2:$B$750,SMALL(Data!$S$2:$S$750,324))=0,"",INDEX(Data!$B$2:$B$750,SMALL(Data!$S$2:$S$750,324))),"")</f>
        <v/>
      </c>
      <c r="D430" s="56" t="str">
        <f t="array" ref="D430">IFERROR(INDEX(Data!$C$2:$C$750,SMALL(Data!$S$2:$S$750,324)),"")</f>
        <v>[5118.001.01] ID MAX.U500i-EU</v>
      </c>
      <c r="E430" s="56">
        <f t="array" ref="E430">IFERROR(IF(INDEX(Data!$D$2:$D$750,SMALL(Data!$S$2:$S$750,324))=0,"",INDEX(Data!$D$2:$D$750,SMALL(Data!$S$2:$S$750,324))),"")</f>
        <v>1</v>
      </c>
      <c r="F430" s="57">
        <f t="array" ref="F430">IFERROR(IF(INDEX(Data!$E$2:$E$750,SMALL(Data!$S$2:$S$750,324))=0,"",INDEX(Data!$E$2:$E$750,SMALL(Data!$S$2:$S$750,324))),"")</f>
        <v>558</v>
      </c>
      <c r="G430" s="57">
        <f t="array" ref="G430">IFERROR(INDEX(Data!$F$2:$F$750,SMALL(Data!$S$2:$S$750,324)),"")</f>
        <v>558</v>
      </c>
      <c r="H430" s="58">
        <f t="array" ref="H430">IFERROR(IF(INDEX(Data!$G$2:$G$750,SMALL(Data!$S$2:$S$750,324))=0,"",INDEX(Data!$G$2:$G$750,SMALL(Data!$S$2:$S$750,324))),"")</f>
        <v>46267</v>
      </c>
      <c r="I430" s="56">
        <f t="array" ref="I430">IFERROR(IF(INDEX(Data!$H$2:$H$750,SMALL(Data!$S$2:$S$750,324))=0,"",INDEX(Data!$H$2:$H$750,SMALL(Data!$S$2:$S$750,324))),"")</f>
        <v>16</v>
      </c>
      <c r="J430" s="58">
        <f t="array" ref="J430">IFERROR(INDEX(Data!$I$2:$I$750,SMALL(Data!$S$2:$S$750,324)),"")</f>
        <v>46379</v>
      </c>
      <c r="K430" s="56" t="str">
        <f t="array" ref="K430">IFERROR(INDEX(Data!$J$2:$J$750,SMALL(Data!$S$2:$S$750,324)),"")</f>
        <v>Not Paid</v>
      </c>
      <c r="L430" s="56" t="str">
        <f t="array" ref="L430">IFERROR(INDEX(Data!$K$2:$K$750,SMALL(Data!$S$2:$S$750,324)),"")</f>
        <v>Pending</v>
      </c>
      <c r="M430" s="48" t="s">
        <v>125</v>
      </c>
      <c r="N430" s="48">
        <f>SUMIFS(Data!D2:D750,Data!B2:B750,M430,Data!O2:O750,1)</f>
        <v>5</v>
      </c>
    </row>
    <row r="431" ht="15.75" customHeight="1">
      <c r="B431" s="53" t="str">
        <f t="array" ref="B431">IFERROR(INDEX(Data!$A$2:$A$750,SMALL(Data!$S$2:$S$750,325)),"")</f>
        <v>Mall of Egypt</v>
      </c>
      <c r="C431" s="53" t="str">
        <f t="array" ref="C431">IFERROR(IF(INDEX(Data!$B$2:$B$750,SMALL(Data!$S$2:$S$750,325))=0,"",INDEX(Data!$B$2:$B$750,SMALL(Data!$S$2:$S$750,325))),"")</f>
        <v/>
      </c>
      <c r="D431" s="53" t="str">
        <f t="array" ref="D431">IFERROR(INDEX(Data!$C$2:$C$750,SMALL(Data!$S$2:$S$750,325)),"")</f>
        <v>[OG-00384] Destructive Windshield Tag-printed</v>
      </c>
      <c r="E431" s="53">
        <f t="array" ref="E431">IFERROR(IF(INDEX(Data!$D$2:$D$750,SMALL(Data!$S$2:$S$750,325))=0,"",INDEX(Data!$D$2:$D$750,SMALL(Data!$S$2:$S$750,325))),"")</f>
        <v>100</v>
      </c>
      <c r="F431" s="54">
        <f t="array" ref="F431">IFERROR(IF(INDEX(Data!$E$2:$E$750,SMALL(Data!$S$2:$S$750,325))=0,"",INDEX(Data!$E$2:$E$750,SMALL(Data!$S$2:$S$750,325))),"")</f>
        <v>2265</v>
      </c>
      <c r="G431" s="54">
        <f t="array" ref="G431">IFERROR(INDEX(Data!$F$2:$F$750,SMALL(Data!$S$2:$S$750,325)),"")</f>
        <v>226500</v>
      </c>
      <c r="H431" s="55">
        <f t="array" ref="H431">IFERROR(IF(INDEX(Data!$G$2:$G$750,SMALL(Data!$S$2:$S$750,325))=0,"",INDEX(Data!$G$2:$G$750,SMALL(Data!$S$2:$S$750,325))),"")</f>
        <v>46268</v>
      </c>
      <c r="I431" s="53">
        <f t="array" ref="I431">IFERROR(IF(INDEX(Data!$H$2:$H$750,SMALL(Data!$S$2:$S$750,325))=0,"",INDEX(Data!$H$2:$H$750,SMALL(Data!$S$2:$S$750,325))),"")</f>
        <v>16</v>
      </c>
      <c r="J431" s="55">
        <f t="array" ref="J431">IFERROR(INDEX(Data!$I$2:$I$750,SMALL(Data!$S$2:$S$750,325)),"")</f>
        <v>46380</v>
      </c>
      <c r="K431" s="53" t="str">
        <f t="array" ref="K431">IFERROR(INDEX(Data!$J$2:$J$750,SMALL(Data!$S$2:$S$750,325)),"")</f>
        <v>Not Paid</v>
      </c>
      <c r="L431" s="53" t="str">
        <f t="array" ref="L431">IFERROR(INDEX(Data!$K$2:$K$750,SMALL(Data!$S$2:$S$750,325)),"")</f>
        <v>Pending</v>
      </c>
      <c r="M431" s="48" t="s">
        <v>90</v>
      </c>
      <c r="N431" s="48">
        <f>SUMIFS(Data!D2:D750,Data!B2:B750,M431,Data!O2:O750,1)</f>
        <v>3491</v>
      </c>
    </row>
    <row r="432" ht="15.75" customHeight="1">
      <c r="B432" s="56" t="str">
        <f t="array" ref="B432">IFERROR(INDEX(Data!$A$2:$A$750,SMALL(Data!$S$2:$S$750,326)),"")</f>
        <v>Select Jewelry</v>
      </c>
      <c r="C432" s="56" t="str">
        <f t="array" ref="C432">IFERROR(IF(INDEX(Data!$B$2:$B$750,SMALL(Data!$S$2:$S$750,326))=0,"",INDEX(Data!$B$2:$B$750,SMALL(Data!$S$2:$S$750,326))),"")</f>
        <v/>
      </c>
      <c r="D432" s="56" t="str">
        <f t="array" ref="D432">IFERROR(INDEX(Data!$C$2:$C$750,SMALL(Data!$S$2:$S$750,326)),"")</f>
        <v>[RC9017-4] UHF jewelry tag with NXP Ucode 8</v>
      </c>
      <c r="E432" s="56">
        <f t="array" ref="E432">IFERROR(IF(INDEX(Data!$D$2:$D$750,SMALL(Data!$S$2:$S$750,326))=0,"",INDEX(Data!$D$2:$D$750,SMALL(Data!$S$2:$S$750,326))),"")</f>
        <v>1</v>
      </c>
      <c r="F432" s="57">
        <f t="array" ref="F432">IFERROR(IF(INDEX(Data!$E$2:$E$750,SMALL(Data!$S$2:$S$750,326))=0,"",INDEX(Data!$E$2:$E$750,SMALL(Data!$S$2:$S$750,326))),"")</f>
        <v>45</v>
      </c>
      <c r="G432" s="57">
        <f t="array" ref="G432">IFERROR(INDEX(Data!$F$2:$F$750,SMALL(Data!$S$2:$S$750,326)),"")</f>
        <v>45</v>
      </c>
      <c r="H432" s="58">
        <f t="array" ref="H432">IFERROR(IF(INDEX(Data!$G$2:$G$750,SMALL(Data!$S$2:$S$750,326))=0,"",INDEX(Data!$G$2:$G$750,SMALL(Data!$S$2:$S$750,326))),"")</f>
        <v>46269</v>
      </c>
      <c r="I432" s="56">
        <f t="array" ref="I432">IFERROR(IF(INDEX(Data!$H$2:$H$750,SMALL(Data!$S$2:$S$750,326))=0,"",INDEX(Data!$H$2:$H$750,SMALL(Data!$S$2:$S$750,326))),"")</f>
        <v>16</v>
      </c>
      <c r="J432" s="58">
        <f t="array" ref="J432">IFERROR(INDEX(Data!$I$2:$I$750,SMALL(Data!$S$2:$S$750,326)),"")</f>
        <v>46381</v>
      </c>
      <c r="K432" s="56" t="str">
        <f t="array" ref="K432">IFERROR(INDEX(Data!$J$2:$J$750,SMALL(Data!$S$2:$S$750,326)),"")</f>
        <v>Not Paid</v>
      </c>
      <c r="L432" s="56" t="str">
        <f t="array" ref="L432">IFERROR(INDEX(Data!$K$2:$K$750,SMALL(Data!$S$2:$S$750,326)),"")</f>
        <v>Pending</v>
      </c>
      <c r="M432" s="48" t="s">
        <v>28</v>
      </c>
      <c r="N432" s="48">
        <f>SUMIFS(Data!D2:D750,Data!B2:B750,M432,Data!O2:O750,1)</f>
        <v>4</v>
      </c>
    </row>
    <row r="433" ht="15.75" customHeight="1">
      <c r="B433" s="53" t="str">
        <f t="array" ref="B433">IFERROR(INDEX(Data!$A$2:$A$750,SMALL(Data!$S$2:$S$750,327)),"")</f>
        <v>City Center Almaza</v>
      </c>
      <c r="C433" s="53" t="str">
        <f t="array" ref="C433">IFERROR(IF(INDEX(Data!$B$2:$B$750,SMALL(Data!$S$2:$S$750,327))=0,"",INDEX(Data!$B$2:$B$750,SMALL(Data!$S$2:$S$750,327))),"")</f>
        <v/>
      </c>
      <c r="D433" s="53" t="str">
        <f t="array" ref="D433">IFERROR(INDEX(Data!$C$2:$C$750,SMALL(Data!$S$2:$S$750,327)),"")</f>
        <v>Faac Beam 6m with accessories</v>
      </c>
      <c r="E433" s="53">
        <f t="array" ref="E433">IFERROR(IF(INDEX(Data!$D$2:$D$750,SMALL(Data!$S$2:$S$750,327))=0,"",INDEX(Data!$D$2:$D$750,SMALL(Data!$S$2:$S$750,327))),"")</f>
        <v>2</v>
      </c>
      <c r="F433" s="54">
        <f t="array" ref="F433">IFERROR(IF(INDEX(Data!$E$2:$E$750,SMALL(Data!$S$2:$S$750,327))=0,"",INDEX(Data!$E$2:$E$750,SMALL(Data!$S$2:$S$750,327))),"")</f>
        <v>5554</v>
      </c>
      <c r="G433" s="54">
        <f t="array" ref="G433">IFERROR(INDEX(Data!$F$2:$F$750,SMALL(Data!$S$2:$S$750,327)),"")</f>
        <v>11108</v>
      </c>
      <c r="H433" s="55">
        <f t="array" ref="H433">IFERROR(IF(INDEX(Data!$G$2:$G$750,SMALL(Data!$S$2:$S$750,327))=0,"",INDEX(Data!$G$2:$G$750,SMALL(Data!$S$2:$S$750,327))),"")</f>
        <v>46270</v>
      </c>
      <c r="I433" s="53">
        <f t="array" ref="I433">IFERROR(IF(INDEX(Data!$H$2:$H$750,SMALL(Data!$S$2:$S$750,327))=0,"",INDEX(Data!$H$2:$H$750,SMALL(Data!$S$2:$S$750,327))),"")</f>
        <v>16</v>
      </c>
      <c r="J433" s="55">
        <f t="array" ref="J433">IFERROR(INDEX(Data!$I$2:$I$750,SMALL(Data!$S$2:$S$750,327)),"")</f>
        <v>46382</v>
      </c>
      <c r="K433" s="53" t="str">
        <f t="array" ref="K433">IFERROR(INDEX(Data!$J$2:$J$750,SMALL(Data!$S$2:$S$750,327)),"")</f>
        <v>Not Paid</v>
      </c>
      <c r="L433" s="53" t="str">
        <f t="array" ref="L433">IFERROR(INDEX(Data!$K$2:$K$750,SMALL(Data!$S$2:$S$750,327)),"")</f>
        <v>Pending</v>
      </c>
      <c r="M433" s="48" t="s">
        <v>32</v>
      </c>
      <c r="N433" s="48">
        <f>SUMIFS(Data!D2:D750,Data!B2:B750,M433,Data!O2:O750,1)</f>
        <v>4</v>
      </c>
    </row>
    <row r="434" ht="15.75" customHeight="1">
      <c r="B434" s="56" t="str">
        <f t="array" ref="B434">IFERROR(INDEX(Data!$A$2:$A$750,SMALL(Data!$S$2:$S$750,328)),"")</f>
        <v>City Center Almaza</v>
      </c>
      <c r="C434" s="56" t="str">
        <f t="array" ref="C434">IFERROR(IF(INDEX(Data!$B$2:$B$750,SMALL(Data!$S$2:$S$750,328))=0,"",INDEX(Data!$B$2:$B$750,SMALL(Data!$S$2:$S$750,328))),"")</f>
        <v/>
      </c>
      <c r="D434" s="56" t="str">
        <f t="array" ref="D434">IFERROR(INDEX(Data!$C$2:$C$750,SMALL(Data!$S$2:$S$750,328)),"")</f>
        <v>Faac 680 Barrier body (housing)</v>
      </c>
      <c r="E434" s="56">
        <f t="array" ref="E434">IFERROR(IF(INDEX(Data!$D$2:$D$750,SMALL(Data!$S$2:$S$750,328))=0,"",INDEX(Data!$D$2:$D$750,SMALL(Data!$S$2:$S$750,328))),"")</f>
        <v>2</v>
      </c>
      <c r="F434" s="57">
        <f t="array" ref="F434">IFERROR(IF(INDEX(Data!$E$2:$E$750,SMALL(Data!$S$2:$S$750,328))=0,"",INDEX(Data!$E$2:$E$750,SMALL(Data!$S$2:$S$750,328))),"")</f>
        <v>41</v>
      </c>
      <c r="G434" s="57">
        <f t="array" ref="G434">IFERROR(INDEX(Data!$F$2:$F$750,SMALL(Data!$S$2:$S$750,328)),"")</f>
        <v>82</v>
      </c>
      <c r="H434" s="58">
        <f t="array" ref="H434">IFERROR(IF(INDEX(Data!$G$2:$G$750,SMALL(Data!$S$2:$S$750,328))=0,"",INDEX(Data!$G$2:$G$750,SMALL(Data!$S$2:$S$750,328))),"")</f>
        <v>46271</v>
      </c>
      <c r="I434" s="56">
        <f t="array" ref="I434">IFERROR(IF(INDEX(Data!$H$2:$H$750,SMALL(Data!$S$2:$S$750,328))=0,"",INDEX(Data!$H$2:$H$750,SMALL(Data!$S$2:$S$750,328))),"")</f>
        <v>15</v>
      </c>
      <c r="J434" s="58">
        <f t="array" ref="J434">IFERROR(INDEX(Data!$I$2:$I$750,SMALL(Data!$S$2:$S$750,328)),"")</f>
        <v>46376</v>
      </c>
      <c r="K434" s="56" t="str">
        <f t="array" ref="K434">IFERROR(INDEX(Data!$J$2:$J$750,SMALL(Data!$S$2:$S$750,328)),"")</f>
        <v>Not Paid</v>
      </c>
      <c r="L434" s="56" t="str">
        <f t="array" ref="L434">IFERROR(INDEX(Data!$K$2:$K$750,SMALL(Data!$S$2:$S$750,328)),"")</f>
        <v>Pending</v>
      </c>
      <c r="M434" s="48" t="s">
        <v>147</v>
      </c>
      <c r="N434" s="48">
        <f>SUMIFS(Data!D2:D750,Data!B2:B750,M434,Data!O2:O750,1)</f>
        <v>6</v>
      </c>
    </row>
    <row r="435" ht="15.75" customHeight="1">
      <c r="B435" s="53" t="str">
        <f t="array" ref="B435">IFERROR(INDEX(Data!$A$2:$A$750,SMALL(Data!$S$2:$S$750,329)),"")</f>
        <v>City Center Almaza</v>
      </c>
      <c r="C435" s="53" t="str">
        <f t="array" ref="C435">IFERROR(IF(INDEX(Data!$B$2:$B$750,SMALL(Data!$S$2:$S$750,329))=0,"",INDEX(Data!$B$2:$B$750,SMALL(Data!$S$2:$S$750,329))),"")</f>
        <v/>
      </c>
      <c r="D435" s="53" t="str">
        <f t="array" ref="D435">IFERROR(INDEX(Data!$C$2:$C$750,SMALL(Data!$S$2:$S$750,329)),"")</f>
        <v>Push Button</v>
      </c>
      <c r="E435" s="53">
        <f t="array" ref="E435">IFERROR(IF(INDEX(Data!$D$2:$D$750,SMALL(Data!$S$2:$S$750,329))=0,"",INDEX(Data!$D$2:$D$750,SMALL(Data!$S$2:$S$750,329))),"")</f>
        <v>2</v>
      </c>
      <c r="F435" s="54">
        <f t="array" ref="F435">IFERROR(IF(INDEX(Data!$E$2:$E$750,SMALL(Data!$S$2:$S$750,329))=0,"",INDEX(Data!$E$2:$E$750,SMALL(Data!$S$2:$S$750,329))),"")</f>
        <v>231</v>
      </c>
      <c r="G435" s="54">
        <f t="array" ref="G435">IFERROR(INDEX(Data!$F$2:$F$750,SMALL(Data!$S$2:$S$750,329)),"")</f>
        <v>462</v>
      </c>
      <c r="H435" s="55">
        <f t="array" ref="H435">IFERROR(IF(INDEX(Data!$G$2:$G$750,SMALL(Data!$S$2:$S$750,329))=0,"",INDEX(Data!$G$2:$G$750,SMALL(Data!$S$2:$S$750,329))),"")</f>
        <v>46272</v>
      </c>
      <c r="I435" s="53">
        <f t="array" ref="I435">IFERROR(IF(INDEX(Data!$H$2:$H$750,SMALL(Data!$S$2:$S$750,329))=0,"",INDEX(Data!$H$2:$H$750,SMALL(Data!$S$2:$S$750,329))),"")</f>
        <v>17</v>
      </c>
      <c r="J435" s="55">
        <f t="array" ref="J435">IFERROR(INDEX(Data!$I$2:$I$750,SMALL(Data!$S$2:$S$750,329)),"")</f>
        <v>46391</v>
      </c>
      <c r="K435" s="53" t="str">
        <f t="array" ref="K435">IFERROR(INDEX(Data!$J$2:$J$750,SMALL(Data!$S$2:$S$750,329)),"")</f>
        <v>Not Paid</v>
      </c>
      <c r="L435" s="53" t="str">
        <f t="array" ref="L435">IFERROR(INDEX(Data!$K$2:$K$750,SMALL(Data!$S$2:$S$750,329)),"")</f>
        <v>Pending</v>
      </c>
      <c r="M435" s="48" t="s">
        <v>110</v>
      </c>
      <c r="N435" s="48">
        <f>SUMIFS(Data!D2:D750,Data!B2:B750,M435,Data!O2:O750,1)</f>
        <v>500</v>
      </c>
    </row>
    <row r="436" ht="15.75" customHeight="1">
      <c r="B436" s="56" t="str">
        <f t="array" ref="B436">IFERROR(INDEX(Data!$A$2:$A$750,SMALL(Data!$S$2:$S$750,330)),"")</f>
        <v>City Center Almaza</v>
      </c>
      <c r="C436" s="56" t="str">
        <f t="array" ref="C436">IFERROR(IF(INDEX(Data!$B$2:$B$750,SMALL(Data!$S$2:$S$750,330))=0,"",INDEX(Data!$B$2:$B$750,SMALL(Data!$S$2:$S$750,330))),"")</f>
        <v/>
      </c>
      <c r="D436" s="56" t="str">
        <f t="array" ref="D436">IFERROR(INDEX(Data!$C$2:$C$750,SMALL(Data!$S$2:$S$750,330)),"")</f>
        <v>FAAC photocell</v>
      </c>
      <c r="E436" s="56">
        <f t="array" ref="E436">IFERROR(IF(INDEX(Data!$D$2:$D$750,SMALL(Data!$S$2:$S$750,330))=0,"",INDEX(Data!$D$2:$D$750,SMALL(Data!$S$2:$S$750,330))),"")</f>
        <v>2</v>
      </c>
      <c r="F436" s="57">
        <f t="array" ref="F436">IFERROR(IF(INDEX(Data!$E$2:$E$750,SMALL(Data!$S$2:$S$750,330))=0,"",INDEX(Data!$E$2:$E$750,SMALL(Data!$S$2:$S$750,330))),"")</f>
        <v>25</v>
      </c>
      <c r="G436" s="57">
        <f t="array" ref="G436">IFERROR(INDEX(Data!$F$2:$F$750,SMALL(Data!$S$2:$S$750,330)),"")</f>
        <v>50</v>
      </c>
      <c r="H436" s="58">
        <f t="array" ref="H436">IFERROR(IF(INDEX(Data!$G$2:$G$750,SMALL(Data!$S$2:$S$750,330))=0,"",INDEX(Data!$G$2:$G$750,SMALL(Data!$S$2:$S$750,330))),"")</f>
        <v>46273</v>
      </c>
      <c r="I436" s="56">
        <f t="array" ref="I436">IFERROR(IF(INDEX(Data!$H$2:$H$750,SMALL(Data!$S$2:$S$750,330))=0,"",INDEX(Data!$H$2:$H$750,SMALL(Data!$S$2:$S$750,330))),"")</f>
        <v>17</v>
      </c>
      <c r="J436" s="58">
        <f t="array" ref="J436">IFERROR(INDEX(Data!$I$2:$I$750,SMALL(Data!$S$2:$S$750,330)),"")</f>
        <v>46392</v>
      </c>
      <c r="K436" s="56" t="str">
        <f t="array" ref="K436">IFERROR(INDEX(Data!$J$2:$J$750,SMALL(Data!$S$2:$S$750,330)),"")</f>
        <v>Not Paid</v>
      </c>
      <c r="L436" s="56" t="str">
        <f t="array" ref="L436">IFERROR(INDEX(Data!$K$2:$K$750,SMALL(Data!$S$2:$S$750,330)),"")</f>
        <v>Pending</v>
      </c>
      <c r="M436" s="48" t="s">
        <v>121</v>
      </c>
      <c r="N436" s="48">
        <f>SUMIFS(Data!D2:D750,Data!B2:B750,M436,Data!O2:O750,1)</f>
        <v>100</v>
      </c>
    </row>
    <row r="437" ht="15.75" customHeight="1">
      <c r="B437" s="53" t="str">
        <f t="array" ref="B437">IFERROR(INDEX(Data!$A$2:$A$750,SMALL(Data!$S$2:$S$750,331)),"")</f>
        <v>City Center Almaza</v>
      </c>
      <c r="C437" s="53" t="str">
        <f t="array" ref="C437">IFERROR(IF(INDEX(Data!$B$2:$B$750,SMALL(Data!$S$2:$S$750,331))=0,"",INDEX(Data!$B$2:$B$750,SMALL(Data!$S$2:$S$750,331))),"")</f>
        <v/>
      </c>
      <c r="D437" s="53" t="str">
        <f t="array" ref="D437">IFERROR(INDEX(Data!$C$2:$C$750,SMALL(Data!$S$2:$S$750,331)),"")</f>
        <v>faac 680H control board</v>
      </c>
      <c r="E437" s="53">
        <f t="array" ref="E437">IFERROR(IF(INDEX(Data!$D$2:$D$750,SMALL(Data!$S$2:$S$750,331))=0,"",INDEX(Data!$D$2:$D$750,SMALL(Data!$S$2:$S$750,331))),"")</f>
        <v>1</v>
      </c>
      <c r="F437" s="54">
        <f t="array" ref="F437">IFERROR(IF(INDEX(Data!$E$2:$E$750,SMALL(Data!$S$2:$S$750,331))=0,"",INDEX(Data!$E$2:$E$750,SMALL(Data!$S$2:$S$750,331))),"")</f>
        <v>245</v>
      </c>
      <c r="G437" s="54">
        <f t="array" ref="G437">IFERROR(INDEX(Data!$F$2:$F$750,SMALL(Data!$S$2:$S$750,331)),"")</f>
        <v>245</v>
      </c>
      <c r="H437" s="55">
        <f t="array" ref="H437">IFERROR(IF(INDEX(Data!$G$2:$G$750,SMALL(Data!$S$2:$S$750,331))=0,"",INDEX(Data!$G$2:$G$750,SMALL(Data!$S$2:$S$750,331))),"")</f>
        <v>46274</v>
      </c>
      <c r="I437" s="53">
        <f t="array" ref="I437">IFERROR(IF(INDEX(Data!$H$2:$H$750,SMALL(Data!$S$2:$S$750,331))=0,"",INDEX(Data!$H$2:$H$750,SMALL(Data!$S$2:$S$750,331))),"")</f>
        <v>16</v>
      </c>
      <c r="J437" s="55">
        <f t="array" ref="J437">IFERROR(INDEX(Data!$I$2:$I$750,SMALL(Data!$S$2:$S$750,331)),"")</f>
        <v>46386</v>
      </c>
      <c r="K437" s="53" t="str">
        <f t="array" ref="K437">IFERROR(INDEX(Data!$J$2:$J$750,SMALL(Data!$S$2:$S$750,331)),"")</f>
        <v>Not Paid</v>
      </c>
      <c r="L437" s="53" t="str">
        <f t="array" ref="L437">IFERROR(INDEX(Data!$K$2:$K$750,SMALL(Data!$S$2:$S$750,331)),"")</f>
        <v>Pending</v>
      </c>
      <c r="M437" s="48" t="s">
        <v>81</v>
      </c>
      <c r="N437" s="48">
        <f>SUMIFS(Data!D2:D750,Data!B2:B750,M437,Data!O2:O750,1)</f>
        <v>46</v>
      </c>
    </row>
    <row r="438" ht="15.75" customHeight="1">
      <c r="B438" s="56" t="str">
        <f t="array" ref="B438">IFERROR(INDEX(Data!$A$2:$A$750,SMALL(Data!$S$2:$S$750,332)),"")</f>
        <v>City Center Almaza</v>
      </c>
      <c r="C438" s="56" t="str">
        <f t="array" ref="C438">IFERROR(IF(INDEX(Data!$B$2:$B$750,SMALL(Data!$S$2:$S$750,332))=0,"",INDEX(Data!$B$2:$B$750,SMALL(Data!$S$2:$S$750,332))),"")</f>
        <v/>
      </c>
      <c r="D438" s="56" t="str">
        <f t="array" ref="D438">IFERROR(INDEX(Data!$C$2:$C$750,SMALL(Data!$S$2:$S$750,332)),"")</f>
        <v>Faac oil Unit</v>
      </c>
      <c r="E438" s="56">
        <f t="array" ref="E438">IFERROR(IF(INDEX(Data!$D$2:$D$750,SMALL(Data!$S$2:$S$750,332))=0,"",INDEX(Data!$D$2:$D$750,SMALL(Data!$S$2:$S$750,332))),"")</f>
        <v>1</v>
      </c>
      <c r="F438" s="57">
        <f t="array" ref="F438">IFERROR(IF(INDEX(Data!$E$2:$E$750,SMALL(Data!$S$2:$S$750,332))=0,"",INDEX(Data!$E$2:$E$750,SMALL(Data!$S$2:$S$750,332))),"")</f>
        <v>2555</v>
      </c>
      <c r="G438" s="57">
        <f t="array" ref="G438">IFERROR(INDEX(Data!$F$2:$F$750,SMALL(Data!$S$2:$S$750,332)),"")</f>
        <v>2555</v>
      </c>
      <c r="H438" s="58">
        <f t="array" ref="H438">IFERROR(IF(INDEX(Data!$G$2:$G$750,SMALL(Data!$S$2:$S$750,332))=0,"",INDEX(Data!$G$2:$G$750,SMALL(Data!$S$2:$S$750,332))),"")</f>
        <v>46275</v>
      </c>
      <c r="I438" s="56">
        <f t="array" ref="I438">IFERROR(IF(INDEX(Data!$H$2:$H$750,SMALL(Data!$S$2:$S$750,332))=0,"",INDEX(Data!$H$2:$H$750,SMALL(Data!$S$2:$S$750,332))),"")</f>
        <v>24</v>
      </c>
      <c r="J438" s="58">
        <f t="array" ref="J438">IFERROR(INDEX(Data!$I$2:$I$750,SMALL(Data!$S$2:$S$750,332)),"")</f>
        <v>46443</v>
      </c>
      <c r="K438" s="56" t="str">
        <f t="array" ref="K438">IFERROR(INDEX(Data!$J$2:$J$750,SMALL(Data!$S$2:$S$750,332)),"")</f>
        <v>Not Paid</v>
      </c>
      <c r="L438" s="56" t="str">
        <f t="array" ref="L438">IFERROR(INDEX(Data!$K$2:$K$750,SMALL(Data!$S$2:$S$750,332)),"")</f>
        <v>Pending</v>
      </c>
      <c r="M438" s="48" t="s">
        <v>50</v>
      </c>
      <c r="N438" s="48">
        <f>SUMIFS(Data!D2:D750,Data!B2:B750,M438,Data!O2:O750,1)</f>
        <v>502</v>
      </c>
    </row>
    <row r="439" ht="15.75" customHeight="1">
      <c r="B439" s="53" t="str">
        <f t="array" ref="B439">IFERROR(INDEX(Data!$A$2:$A$750,SMALL(Data!$S$2:$S$750,333)),"")</f>
        <v>La Vista</v>
      </c>
      <c r="C439" s="53" t="str">
        <f t="array" ref="C439">IFERROR(IF(INDEX(Data!$B$2:$B$750,SMALL(Data!$S$2:$S$750,333))=0,"",INDEX(Data!$B$2:$B$750,SMALL(Data!$S$2:$S$750,333))),"")</f>
        <v/>
      </c>
      <c r="D439" s="53" t="str">
        <f t="array" ref="D439">IFERROR(INDEX(Data!$C$2:$C$750,SMALL(Data!$S$2:$S$750,333)),"")</f>
        <v>FAAC Barrier Model B614 4m</v>
      </c>
      <c r="E439" s="53">
        <f t="array" ref="E439">IFERROR(IF(INDEX(Data!$D$2:$D$750,SMALL(Data!$S$2:$S$750,333))=0,"",INDEX(Data!$D$2:$D$750,SMALL(Data!$S$2:$S$750,333))),"")</f>
        <v>2</v>
      </c>
      <c r="F439" s="54">
        <f t="array" ref="F439">IFERROR(IF(INDEX(Data!$E$2:$E$750,SMALL(Data!$S$2:$S$750,333))=0,"",INDEX(Data!$E$2:$E$750,SMALL(Data!$S$2:$S$750,333))),"")</f>
        <v>255</v>
      </c>
      <c r="G439" s="54">
        <f t="array" ref="G439">IFERROR(INDEX(Data!$F$2:$F$750,SMALL(Data!$S$2:$S$750,333)),"")</f>
        <v>510</v>
      </c>
      <c r="H439" s="55">
        <f t="array" ref="H439">IFERROR(IF(INDEX(Data!$G$2:$G$750,SMALL(Data!$S$2:$S$750,333))=0,"",INDEX(Data!$G$2:$G$750,SMALL(Data!$S$2:$S$750,333))),"")</f>
        <v>46276</v>
      </c>
      <c r="I439" s="53">
        <f t="array" ref="I439">IFERROR(IF(INDEX(Data!$H$2:$H$750,SMALL(Data!$S$2:$S$750,333))=0,"",INDEX(Data!$H$2:$H$750,SMALL(Data!$S$2:$S$750,333))),"")</f>
        <v>24</v>
      </c>
      <c r="J439" s="55">
        <f t="array" ref="J439">IFERROR(INDEX(Data!$I$2:$I$750,SMALL(Data!$S$2:$S$750,333)),"")</f>
        <v>46444</v>
      </c>
      <c r="K439" s="53" t="str">
        <f t="array" ref="K439">IFERROR(INDEX(Data!$J$2:$J$750,SMALL(Data!$S$2:$S$750,333)),"")</f>
        <v>Not Paid</v>
      </c>
      <c r="L439" s="53" t="str">
        <f t="array" ref="L439">IFERROR(INDEX(Data!$K$2:$K$750,SMALL(Data!$S$2:$S$750,333)),"")</f>
        <v>Pending</v>
      </c>
      <c r="M439" s="48" t="s">
        <v>134</v>
      </c>
      <c r="N439" s="48">
        <f>SUMIFS(Data!D2:D750,Data!B2:B750,M439,Data!O2:O750,1)</f>
        <v>21000</v>
      </c>
    </row>
    <row r="440" ht="15.75" customHeight="1">
      <c r="B440" s="56" t="str">
        <f t="array" ref="B440">IFERROR(INDEX(Data!$A$2:$A$750,SMALL(Data!$S$2:$S$750,334)),"")</f>
        <v>Obour Institute</v>
      </c>
      <c r="C440" s="56" t="str">
        <f t="array" ref="C440">IFERROR(IF(INDEX(Data!$B$2:$B$750,SMALL(Data!$S$2:$S$750,334))=0,"",INDEX(Data!$B$2:$B$750,SMALL(Data!$S$2:$S$750,334))),"")</f>
        <v/>
      </c>
      <c r="D440" s="56" t="str">
        <f t="array" ref="D440">IFERROR(INDEX(Data!$C$2:$C$750,SMALL(Data!$S$2:$S$750,334)),"")</f>
        <v>Rapid N 5m Kit</v>
      </c>
      <c r="E440" s="56">
        <f t="array" ref="E440">IFERROR(IF(INDEX(Data!$D$2:$D$750,SMALL(Data!$S$2:$S$750,334))=0,"",INDEX(Data!$D$2:$D$750,SMALL(Data!$S$2:$S$750,334))),"")</f>
        <v>1</v>
      </c>
      <c r="F440" s="57">
        <f t="array" ref="F440">IFERROR(IF(INDEX(Data!$E$2:$E$750,SMALL(Data!$S$2:$S$750,334))=0,"",INDEX(Data!$E$2:$E$750,SMALL(Data!$S$2:$S$750,334))),"")</f>
        <v>45</v>
      </c>
      <c r="G440" s="57">
        <f t="array" ref="G440">IFERROR(INDEX(Data!$F$2:$F$750,SMALL(Data!$S$2:$S$750,334)),"")</f>
        <v>45</v>
      </c>
      <c r="H440" s="58">
        <f t="array" ref="H440">IFERROR(IF(INDEX(Data!$G$2:$G$750,SMALL(Data!$S$2:$S$750,334))=0,"",INDEX(Data!$G$2:$G$750,SMALL(Data!$S$2:$S$750,334))),"")</f>
        <v>46277</v>
      </c>
      <c r="I440" s="56">
        <f t="array" ref="I440">IFERROR(IF(INDEX(Data!$H$2:$H$750,SMALL(Data!$S$2:$S$750,334))=0,"",INDEX(Data!$H$2:$H$750,SMALL(Data!$S$2:$S$750,334))),"")</f>
        <v>23</v>
      </c>
      <c r="J440" s="58">
        <f t="array" ref="J440">IFERROR(INDEX(Data!$I$2:$I$750,SMALL(Data!$S$2:$S$750,334)),"")</f>
        <v>46438</v>
      </c>
      <c r="K440" s="56" t="str">
        <f t="array" ref="K440">IFERROR(INDEX(Data!$J$2:$J$750,SMALL(Data!$S$2:$S$750,334)),"")</f>
        <v>Not Paid</v>
      </c>
      <c r="L440" s="56" t="str">
        <f t="array" ref="L440">IFERROR(INDEX(Data!$K$2:$K$750,SMALL(Data!$S$2:$S$750,334)),"")</f>
        <v>Pending</v>
      </c>
      <c r="M440" s="48" t="s">
        <v>151</v>
      </c>
      <c r="N440" s="48">
        <f>SUMIFS(Data!D2:D750,Data!B2:B750,M440,Data!O2:O750,1)</f>
        <v>1000</v>
      </c>
    </row>
    <row r="441" ht="15.75" customHeight="1">
      <c r="B441" s="53" t="str">
        <f t="array" ref="B441">IFERROR(INDEX(Data!$A$2:$A$750,SMALL(Data!$S$2:$S$750,335)),"")</f>
        <v>Obour Institute</v>
      </c>
      <c r="C441" s="53" t="str">
        <f t="array" ref="C441">IFERROR(IF(INDEX(Data!$B$2:$B$750,SMALL(Data!$S$2:$S$750,335))=0,"",INDEX(Data!$B$2:$B$750,SMALL(Data!$S$2:$S$750,335))),"")</f>
        <v/>
      </c>
      <c r="D441" s="53" t="str">
        <f t="array" ref="D441">IFERROR(INDEX(Data!$C$2:$C$750,SMALL(Data!$S$2:$S$750,335)),"")</f>
        <v>max 50.10</v>
      </c>
      <c r="E441" s="53">
        <f t="array" ref="E441">IFERROR(IF(INDEX(Data!$D$2:$D$750,SMALL(Data!$S$2:$S$750,335))=0,"",INDEX(Data!$D$2:$D$750,SMALL(Data!$S$2:$S$750,335))),"")</f>
        <v>2</v>
      </c>
      <c r="F441" s="54">
        <f t="array" ref="F441">IFERROR(IF(INDEX(Data!$E$2:$E$750,SMALL(Data!$S$2:$S$750,335))=0,"",INDEX(Data!$E$2:$E$750,SMALL(Data!$S$2:$S$750,335))),"")</f>
        <v>36</v>
      </c>
      <c r="G441" s="54">
        <f t="array" ref="G441">IFERROR(INDEX(Data!$F$2:$F$750,SMALL(Data!$S$2:$S$750,335)),"")</f>
        <v>72</v>
      </c>
      <c r="H441" s="55">
        <f t="array" ref="H441">IFERROR(IF(INDEX(Data!$G$2:$G$750,SMALL(Data!$S$2:$S$750,335))=0,"",INDEX(Data!$G$2:$G$750,SMALL(Data!$S$2:$S$750,335))),"")</f>
        <v>46278</v>
      </c>
      <c r="I441" s="53">
        <f t="array" ref="I441">IFERROR(IF(INDEX(Data!$H$2:$H$750,SMALL(Data!$S$2:$S$750,335))=0,"",INDEX(Data!$H$2:$H$750,SMALL(Data!$S$2:$S$750,335))),"")</f>
        <v>23</v>
      </c>
      <c r="J441" s="55">
        <f t="array" ref="J441">IFERROR(INDEX(Data!$I$2:$I$750,SMALL(Data!$S$2:$S$750,335)),"")</f>
        <v>46439</v>
      </c>
      <c r="K441" s="53" t="str">
        <f t="array" ref="K441">IFERROR(INDEX(Data!$J$2:$J$750,SMALL(Data!$S$2:$S$750,335)),"")</f>
        <v>Not Paid</v>
      </c>
      <c r="L441" s="53" t="str">
        <f t="array" ref="L441">IFERROR(INDEX(Data!$K$2:$K$750,SMALL(Data!$S$2:$S$750,335)),"")</f>
        <v>Pending</v>
      </c>
      <c r="M441" s="48" t="s">
        <v>88</v>
      </c>
      <c r="N441" s="48">
        <f>SUMIFS(Data!D2:D750,Data!B2:B750,M441,Data!O2:O750,1)</f>
        <v>65</v>
      </c>
    </row>
    <row r="442" ht="15.75" customHeight="1">
      <c r="B442" s="56" t="str">
        <f t="array" ref="B442">IFERROR(INDEX(Data!$A$2:$A$750,SMALL(Data!$S$2:$S$750,336)),"")</f>
        <v>Obour Institute</v>
      </c>
      <c r="C442" s="56" t="str">
        <f t="array" ref="C442">IFERROR(IF(INDEX(Data!$B$2:$B$750,SMALL(Data!$S$2:$S$750,336))=0,"",INDEX(Data!$B$2:$B$750,SMALL(Data!$S$2:$S$750,336))),"")</f>
        <v/>
      </c>
      <c r="D442" s="56" t="str">
        <f t="array" ref="D442">IFERROR(INDEX(Data!$C$2:$C$750,SMALL(Data!$S$2:$S$750,336)),"")</f>
        <v>HF Card Mifare "one side printed"</v>
      </c>
      <c r="E442" s="56">
        <f t="array" ref="E442">IFERROR(IF(INDEX(Data!$D$2:$D$750,SMALL(Data!$S$2:$S$750,336))=0,"",INDEX(Data!$D$2:$D$750,SMALL(Data!$S$2:$S$750,336))),"")</f>
        <v>200</v>
      </c>
      <c r="F442" s="57">
        <f t="array" ref="F442">IFERROR(IF(INDEX(Data!$E$2:$E$750,SMALL(Data!$S$2:$S$750,336))=0,"",INDEX(Data!$E$2:$E$750,SMALL(Data!$S$2:$S$750,336))),"")</f>
        <v>96</v>
      </c>
      <c r="G442" s="57">
        <f t="array" ref="G442">IFERROR(INDEX(Data!$F$2:$F$750,SMALL(Data!$S$2:$S$750,336)),"")</f>
        <v>19200</v>
      </c>
      <c r="H442" s="58">
        <f t="array" ref="H442">IFERROR(IF(INDEX(Data!$G$2:$G$750,SMALL(Data!$S$2:$S$750,336))=0,"",INDEX(Data!$G$2:$G$750,SMALL(Data!$S$2:$S$750,336))),"")</f>
        <v>46279</v>
      </c>
      <c r="I442" s="56">
        <f t="array" ref="I442">IFERROR(IF(INDEX(Data!$H$2:$H$750,SMALL(Data!$S$2:$S$750,336))=0,"",INDEX(Data!$H$2:$H$750,SMALL(Data!$S$2:$S$750,336))),"")</f>
        <v>23</v>
      </c>
      <c r="J442" s="58">
        <f t="array" ref="J442">IFERROR(INDEX(Data!$I$2:$I$750,SMALL(Data!$S$2:$S$750,336)),"")</f>
        <v>46440</v>
      </c>
      <c r="K442" s="56" t="str">
        <f t="array" ref="K442">IFERROR(INDEX(Data!$J$2:$J$750,SMALL(Data!$S$2:$S$750,336)),"")</f>
        <v>Not Paid</v>
      </c>
      <c r="L442" s="56" t="str">
        <f t="array" ref="L442">IFERROR(INDEX(Data!$K$2:$K$750,SMALL(Data!$S$2:$S$750,336)),"")</f>
        <v>Pending</v>
      </c>
      <c r="M442" s="48" t="s">
        <v>112</v>
      </c>
      <c r="N442" s="48">
        <f>SUMIFS(Data!D2:D750,Data!B2:B750,M442,Data!O2:O750,1)</f>
        <v>24610</v>
      </c>
    </row>
    <row r="443" ht="15.75" customHeight="1">
      <c r="B443" s="53" t="str">
        <f t="array" ref="B443">IFERROR(INDEX(Data!$A$2:$A$750,SMALL(Data!$S$2:$S$750,337)),"")</f>
        <v>G-Bay</v>
      </c>
      <c r="C443" s="53" t="str">
        <f t="array" ref="C443">IFERROR(IF(INDEX(Data!$B$2:$B$750,SMALL(Data!$S$2:$S$750,337))=0,"",INDEX(Data!$B$2:$B$750,SMALL(Data!$S$2:$S$750,337))),"")</f>
        <v/>
      </c>
      <c r="D443" s="53" t="str">
        <f t="array" ref="D443">IFERROR(INDEX(Data!$C$2:$C$750,SMALL(Data!$S$2:$S$750,337)),"")</f>
        <v>Rapid S 4m Kit</v>
      </c>
      <c r="E443" s="53">
        <f t="array" ref="E443">IFERROR(IF(INDEX(Data!$D$2:$D$750,SMALL(Data!$S$2:$S$750,337))=0,"",INDEX(Data!$D$2:$D$750,SMALL(Data!$S$2:$S$750,337))),"")</f>
        <v>1</v>
      </c>
      <c r="F443" s="54">
        <f t="array" ref="F443">IFERROR(IF(INDEX(Data!$E$2:$E$750,SMALL(Data!$S$2:$S$750,337))=0,"",INDEX(Data!$E$2:$E$750,SMALL(Data!$S$2:$S$750,337))),"")</f>
        <v>8</v>
      </c>
      <c r="G443" s="54">
        <f t="array" ref="G443">IFERROR(INDEX(Data!$F$2:$F$750,SMALL(Data!$S$2:$S$750,337)),"")</f>
        <v>8</v>
      </c>
      <c r="H443" s="55">
        <f t="array" ref="H443">IFERROR(IF(INDEX(Data!$G$2:$G$750,SMALL(Data!$S$2:$S$750,337))=0,"",INDEX(Data!$G$2:$G$750,SMALL(Data!$S$2:$S$750,337))),"")</f>
        <v>46280</v>
      </c>
      <c r="I443" s="53">
        <f t="array" ref="I443">IFERROR(IF(INDEX(Data!$H$2:$H$750,SMALL(Data!$S$2:$S$750,337))=0,"",INDEX(Data!$H$2:$H$750,SMALL(Data!$S$2:$S$750,337))),"")</f>
        <v>24</v>
      </c>
      <c r="J443" s="55">
        <f t="array" ref="J443">IFERROR(INDEX(Data!$I$2:$I$750,SMALL(Data!$S$2:$S$750,337)),"")</f>
        <v>46448</v>
      </c>
      <c r="K443" s="53" t="str">
        <f t="array" ref="K443">IFERROR(INDEX(Data!$J$2:$J$750,SMALL(Data!$S$2:$S$750,337)),"")</f>
        <v>Not Paid</v>
      </c>
      <c r="L443" s="53" t="str">
        <f t="array" ref="L443">IFERROR(INDEX(Data!$K$2:$K$750,SMALL(Data!$S$2:$S$750,337)),"")</f>
        <v>Pending</v>
      </c>
      <c r="M443" s="48" t="s">
        <v>64</v>
      </c>
      <c r="N443" s="48">
        <f>SUMIFS(Data!D2:D750,Data!B2:B750,M443,Data!O2:O750,1)</f>
        <v>40168</v>
      </c>
    </row>
    <row r="444" ht="15.75" customHeight="1">
      <c r="B444" s="56" t="str">
        <f t="array" ref="B444">IFERROR(INDEX(Data!$A$2:$A$750,SMALL(Data!$S$2:$S$750,338)),"")</f>
        <v>Egyptian Steel</v>
      </c>
      <c r="C444" s="56" t="str">
        <f t="array" ref="C444">IFERROR(IF(INDEX(Data!$B$2:$B$750,SMALL(Data!$S$2:$S$750,338))=0,"",INDEX(Data!$B$2:$B$750,SMALL(Data!$S$2:$S$750,338))),"")</f>
        <v/>
      </c>
      <c r="D444" s="56" t="str">
        <f t="array" ref="D444">IFERROR(INDEX(Data!$C$2:$C$750,SMALL(Data!$S$2:$S$750,338)),"")</f>
        <v>ID MAX50.10-RE with Relay</v>
      </c>
      <c r="E444" s="56">
        <f t="array" ref="E444">IFERROR(IF(INDEX(Data!$D$2:$D$750,SMALL(Data!$S$2:$S$750,338))=0,"",INDEX(Data!$D$2:$D$750,SMALL(Data!$S$2:$S$750,338))),"")</f>
        <v>2</v>
      </c>
      <c r="F444" s="57">
        <f t="array" ref="F444">IFERROR(IF(INDEX(Data!$E$2:$E$750,SMALL(Data!$S$2:$S$750,338))=0,"",INDEX(Data!$E$2:$E$750,SMALL(Data!$S$2:$S$750,338))),"")</f>
        <v>5</v>
      </c>
      <c r="G444" s="57">
        <f t="array" ref="G444">IFERROR(INDEX(Data!$F$2:$F$750,SMALL(Data!$S$2:$S$750,338)),"")</f>
        <v>10</v>
      </c>
      <c r="H444" s="58">
        <f t="array" ref="H444">IFERROR(IF(INDEX(Data!$G$2:$G$750,SMALL(Data!$S$2:$S$750,338))=0,"",INDEX(Data!$G$2:$G$750,SMALL(Data!$S$2:$S$750,338))),"")</f>
        <v>46281</v>
      </c>
      <c r="I444" s="56">
        <f t="array" ref="I444">IFERROR(IF(INDEX(Data!$H$2:$H$750,SMALL(Data!$S$2:$S$750,338))=0,"",INDEX(Data!$H$2:$H$750,SMALL(Data!$S$2:$S$750,338))),"")</f>
        <v>24</v>
      </c>
      <c r="J444" s="58">
        <f t="array" ref="J444">IFERROR(INDEX(Data!$I$2:$I$750,SMALL(Data!$S$2:$S$750,338)),"")</f>
        <v>46449</v>
      </c>
      <c r="K444" s="56" t="str">
        <f t="array" ref="K444">IFERROR(INDEX(Data!$J$2:$J$750,SMALL(Data!$S$2:$S$750,338)),"")</f>
        <v>Not Paid</v>
      </c>
      <c r="L444" s="56" t="str">
        <f t="array" ref="L444">IFERROR(INDEX(Data!$K$2:$K$750,SMALL(Data!$S$2:$S$750,338)),"")</f>
        <v>Pending</v>
      </c>
      <c r="M444" s="48" t="s">
        <v>140</v>
      </c>
      <c r="N444" s="48">
        <f>SUMIFS(Data!D2:D750,Data!B2:B750,M444,Data!O2:O750,1)</f>
        <v>104</v>
      </c>
    </row>
    <row r="445" ht="15.75" customHeight="1">
      <c r="B445" s="53" t="str">
        <f t="array" ref="B445">IFERROR(INDEX(Data!$A$2:$A$750,SMALL(Data!$S$2:$S$750,339)),"")</f>
        <v>Egyptian Steel</v>
      </c>
      <c r="C445" s="53" t="str">
        <f t="array" ref="C445">IFERROR(IF(INDEX(Data!$B$2:$B$750,SMALL(Data!$S$2:$S$750,339))=0,"",INDEX(Data!$B$2:$B$750,SMALL(Data!$S$2:$S$750,339))),"")</f>
        <v/>
      </c>
      <c r="D445" s="53" t="str">
        <f t="array" ref="D445">IFERROR(INDEX(Data!$C$2:$C$750,SMALL(Data!$S$2:$S$750,339)),"")</f>
        <v>Epson TM-T20III</v>
      </c>
      <c r="E445" s="53">
        <f t="array" ref="E445">IFERROR(IF(INDEX(Data!$D$2:$D$750,SMALL(Data!$S$2:$S$750,339))=0,"",INDEX(Data!$D$2:$D$750,SMALL(Data!$S$2:$S$750,339))),"")</f>
        <v>2</v>
      </c>
      <c r="F445" s="54">
        <f t="array" ref="F445">IFERROR(IF(INDEX(Data!$E$2:$E$750,SMALL(Data!$S$2:$S$750,339))=0,"",INDEX(Data!$E$2:$E$750,SMALL(Data!$S$2:$S$750,339))),"")</f>
        <v>4</v>
      </c>
      <c r="G445" s="54">
        <f t="array" ref="G445">IFERROR(INDEX(Data!$F$2:$F$750,SMALL(Data!$S$2:$S$750,339)),"")</f>
        <v>8</v>
      </c>
      <c r="H445" s="55">
        <f t="array" ref="H445">IFERROR(IF(INDEX(Data!$G$2:$G$750,SMALL(Data!$S$2:$S$750,339))=0,"",INDEX(Data!$G$2:$G$750,SMALL(Data!$S$2:$S$750,339))),"")</f>
        <v>46282</v>
      </c>
      <c r="I445" s="53">
        <f t="array" ref="I445">IFERROR(IF(INDEX(Data!$H$2:$H$750,SMALL(Data!$S$2:$S$750,339))=0,"",INDEX(Data!$H$2:$H$750,SMALL(Data!$S$2:$S$750,339))),"")</f>
        <v>24</v>
      </c>
      <c r="J445" s="55">
        <f t="array" ref="J445">IFERROR(INDEX(Data!$I$2:$I$750,SMALL(Data!$S$2:$S$750,339)),"")</f>
        <v>46450</v>
      </c>
      <c r="K445" s="53" t="str">
        <f t="array" ref="K445">IFERROR(INDEX(Data!$J$2:$J$750,SMALL(Data!$S$2:$S$750,339)),"")</f>
        <v>Not Paid</v>
      </c>
      <c r="L445" s="53" t="str">
        <f t="array" ref="L445">IFERROR(INDEX(Data!$K$2:$K$750,SMALL(Data!$S$2:$S$750,339)),"")</f>
        <v>Pending</v>
      </c>
      <c r="M445" s="48" t="s">
        <v>103</v>
      </c>
      <c r="N445" s="48">
        <f>SUMIFS(Data!D2:D750,Data!B2:B750,M445,Data!O2:O750,1)</f>
        <v>454</v>
      </c>
    </row>
    <row r="446" ht="15.75" customHeight="1">
      <c r="B446" s="56" t="str">
        <f t="array" ref="B446">IFERROR(INDEX(Data!$A$2:$A$750,SMALL(Data!$S$2:$S$750,340)),"")</f>
        <v>Rooya Group</v>
      </c>
      <c r="C446" s="56" t="str">
        <f t="array" ref="C446">IFERROR(IF(INDEX(Data!$B$2:$B$750,SMALL(Data!$S$2:$S$750,340))=0,"",INDEX(Data!$B$2:$B$750,SMALL(Data!$S$2:$S$750,340))),"")</f>
        <v/>
      </c>
      <c r="D446" s="56" t="str">
        <f t="array" ref="D446">IFERROR(INDEX(Data!$C$2:$C$750,SMALL(Data!$S$2:$S$750,340)),"")</f>
        <v>Zebra Ribbon YMCKO for ZC350</v>
      </c>
      <c r="E446" s="56">
        <f t="array" ref="E446">IFERROR(IF(INDEX(Data!$D$2:$D$750,SMALL(Data!$S$2:$S$750,340))=0,"",INDEX(Data!$D$2:$D$750,SMALL(Data!$S$2:$S$750,340))),"")</f>
        <v>1</v>
      </c>
      <c r="F446" s="57">
        <f t="array" ref="F446">IFERROR(IF(INDEX(Data!$E$2:$E$750,SMALL(Data!$S$2:$S$750,340))=0,"",INDEX(Data!$E$2:$E$750,SMALL(Data!$S$2:$S$750,340))),"")</f>
        <v>2</v>
      </c>
      <c r="G446" s="57">
        <f t="array" ref="G446">IFERROR(INDEX(Data!$F$2:$F$750,SMALL(Data!$S$2:$S$750,340)),"")</f>
        <v>2</v>
      </c>
      <c r="H446" s="58">
        <f t="array" ref="H446">IFERROR(IF(INDEX(Data!$G$2:$G$750,SMALL(Data!$S$2:$S$750,340))=0,"",INDEX(Data!$G$2:$G$750,SMALL(Data!$S$2:$S$750,340))),"")</f>
        <v>46283</v>
      </c>
      <c r="I446" s="56">
        <f t="array" ref="I446">IFERROR(IF(INDEX(Data!$H$2:$H$750,SMALL(Data!$S$2:$S$750,340))=0,"",INDEX(Data!$H$2:$H$750,SMALL(Data!$S$2:$S$750,340))),"")</f>
        <v>22</v>
      </c>
      <c r="J446" s="58">
        <f t="array" ref="J446">IFERROR(INDEX(Data!$I$2:$I$750,SMALL(Data!$S$2:$S$750,340)),"")</f>
        <v>46437</v>
      </c>
      <c r="K446" s="56" t="str">
        <f t="array" ref="K446">IFERROR(INDEX(Data!$J$2:$J$750,SMALL(Data!$S$2:$S$750,340)),"")</f>
        <v>Not Paid</v>
      </c>
      <c r="L446" s="56" t="str">
        <f t="array" ref="L446">IFERROR(INDEX(Data!$K$2:$K$750,SMALL(Data!$S$2:$S$750,340)),"")</f>
        <v>Pending</v>
      </c>
      <c r="M446" s="48" t="s">
        <v>144</v>
      </c>
      <c r="N446" s="48">
        <f>SUMIFS(Data!D2:D750,Data!B2:B750,M446,Data!O2:O750,1)</f>
        <v>121000</v>
      </c>
    </row>
    <row r="447" ht="15.75" customHeight="1">
      <c r="B447" s="53" t="str">
        <f t="array" ref="B447">IFERROR(INDEX(Data!$A$2:$A$750,SMALL(Data!$S$2:$S$750,341)),"")</f>
        <v>Philip Morris</v>
      </c>
      <c r="C447" s="53" t="str">
        <f t="array" ref="C447">IFERROR(IF(INDEX(Data!$B$2:$B$750,SMALL(Data!$S$2:$S$750,341))=0,"",INDEX(Data!$B$2:$B$750,SMALL(Data!$S$2:$S$750,341))),"")</f>
        <v/>
      </c>
      <c r="D447" s="53" t="str">
        <f t="array" ref="D447">IFERROR(INDEX(Data!$C$2:$C$750,SMALL(Data!$S$2:$S$750,341)),"")</f>
        <v>Dogbone- printed</v>
      </c>
      <c r="E447" s="53">
        <f t="array" ref="E447">IFERROR(IF(INDEX(Data!$D$2:$D$750,SMALL(Data!$S$2:$S$750,341))=0,"",INDEX(Data!$D$2:$D$750,SMALL(Data!$S$2:$S$750,341))),"")</f>
        <v>1000</v>
      </c>
      <c r="F447" s="54">
        <f t="array" ref="F447">IFERROR(IF(INDEX(Data!$E$2:$E$750,SMALL(Data!$S$2:$S$750,341))=0,"",INDEX(Data!$E$2:$E$750,SMALL(Data!$S$2:$S$750,341))),"")</f>
        <v>36</v>
      </c>
      <c r="G447" s="54">
        <f t="array" ref="G447">IFERROR(INDEX(Data!$F$2:$F$750,SMALL(Data!$S$2:$S$750,341)),"")</f>
        <v>36000</v>
      </c>
      <c r="H447" s="55">
        <f t="array" ref="H447">IFERROR(IF(INDEX(Data!$G$2:$G$750,SMALL(Data!$S$2:$S$750,341))=0,"",INDEX(Data!$G$2:$G$750,SMALL(Data!$S$2:$S$750,341))),"")</f>
        <v>46284</v>
      </c>
      <c r="I447" s="53">
        <f t="array" ref="I447">IFERROR(IF(INDEX(Data!$H$2:$H$750,SMALL(Data!$S$2:$S$750,341))=0,"",INDEX(Data!$H$2:$H$750,SMALL(Data!$S$2:$S$750,341))),"")</f>
        <v>22</v>
      </c>
      <c r="J447" s="55">
        <f t="array" ref="J447">IFERROR(INDEX(Data!$I$2:$I$750,SMALL(Data!$S$2:$S$750,341)),"")</f>
        <v>46438</v>
      </c>
      <c r="K447" s="53" t="str">
        <f t="array" ref="K447">IFERROR(INDEX(Data!$J$2:$J$750,SMALL(Data!$S$2:$S$750,341)),"")</f>
        <v>Not Paid</v>
      </c>
      <c r="L447" s="53" t="str">
        <f t="array" ref="L447">IFERROR(INDEX(Data!$K$2:$K$750,SMALL(Data!$S$2:$S$750,341)),"")</f>
        <v>Pending</v>
      </c>
      <c r="M447" s="48" t="s">
        <v>44</v>
      </c>
      <c r="N447" s="48">
        <f>SUMIFS(Data!D2:D750,Data!B2:B750,M447,Data!O2:O750,1)</f>
        <v>23500</v>
      </c>
    </row>
    <row r="448" ht="15.75" customHeight="1">
      <c r="B448" s="56" t="str">
        <f t="array" ref="B448">IFERROR(INDEX(Data!$A$2:$A$750,SMALL(Data!$S$2:$S$750,342)),"")</f>
        <v>Philip Morris</v>
      </c>
      <c r="C448" s="56" t="str">
        <f t="array" ref="C448">IFERROR(IF(INDEX(Data!$B$2:$B$750,SMALL(Data!$S$2:$S$750,342))=0,"",INDEX(Data!$B$2:$B$750,SMALL(Data!$S$2:$S$750,342))),"")</f>
        <v/>
      </c>
      <c r="D448" s="56" t="str">
        <f t="array" ref="D448">IFERROR(INDEX(Data!$C$2:$C$750,SMALL(Data!$S$2:$S$750,342)),"")</f>
        <v>AT909</v>
      </c>
      <c r="E448" s="56">
        <f t="array" ref="E448">IFERROR(IF(INDEX(Data!$D$2:$D$750,SMALL(Data!$S$2:$S$750,342))=0,"",INDEX(Data!$D$2:$D$750,SMALL(Data!$S$2:$S$750,342))),"")</f>
        <v>1</v>
      </c>
      <c r="F448" s="57">
        <f t="array" ref="F448">IFERROR(IF(INDEX(Data!$E$2:$E$750,SMALL(Data!$S$2:$S$750,342))=0,"",INDEX(Data!$E$2:$E$750,SMALL(Data!$S$2:$S$750,342))),"")</f>
        <v>2</v>
      </c>
      <c r="G448" s="57">
        <f t="array" ref="G448">IFERROR(INDEX(Data!$F$2:$F$750,SMALL(Data!$S$2:$S$750,342)),"")</f>
        <v>2</v>
      </c>
      <c r="H448" s="58">
        <f t="array" ref="H448">IFERROR(IF(INDEX(Data!$G$2:$G$750,SMALL(Data!$S$2:$S$750,342))=0,"",INDEX(Data!$G$2:$G$750,SMALL(Data!$S$2:$S$750,342))),"")</f>
        <v>46285</v>
      </c>
      <c r="I448" s="56">
        <f t="array" ref="I448">IFERROR(IF(INDEX(Data!$H$2:$H$750,SMALL(Data!$S$2:$S$750,342))=0,"",INDEX(Data!$H$2:$H$750,SMALL(Data!$S$2:$S$750,342))),"")</f>
        <v>22</v>
      </c>
      <c r="J448" s="58">
        <f t="array" ref="J448">IFERROR(INDEX(Data!$I$2:$I$750,SMALL(Data!$S$2:$S$750,342)),"")</f>
        <v>46439</v>
      </c>
      <c r="K448" s="56" t="str">
        <f t="array" ref="K448">IFERROR(INDEX(Data!$J$2:$J$750,SMALL(Data!$S$2:$S$750,342)),"")</f>
        <v>Not Paid</v>
      </c>
      <c r="L448" s="56" t="str">
        <f t="array" ref="L448">IFERROR(INDEX(Data!$K$2:$K$750,SMALL(Data!$S$2:$S$750,342)),"")</f>
        <v>Pending</v>
      </c>
      <c r="M448" s="48" t="s">
        <v>155</v>
      </c>
      <c r="N448" s="48">
        <f>SUMIFS(Data!D2:D750,Data!B2:B750,M448,Data!O2:O750,1)</f>
        <v>1</v>
      </c>
    </row>
    <row r="449" ht="15.75" customHeight="1">
      <c r="B449" s="53" t="str">
        <f t="array" ref="B449">IFERROR(INDEX(Data!$A$2:$A$750,SMALL(Data!$S$2:$S$750,343)),"")</f>
        <v>El Shrouk Village</v>
      </c>
      <c r="C449" s="53" t="str">
        <f t="array" ref="C449">IFERROR(IF(INDEX(Data!$B$2:$B$750,SMALL(Data!$S$2:$S$750,343))=0,"",INDEX(Data!$B$2:$B$750,SMALL(Data!$S$2:$S$750,343))),"")</f>
        <v/>
      </c>
      <c r="D449" s="53" t="str">
        <f t="array" ref="D449">IFERROR(INDEX(Data!$C$2:$C$750,SMALL(Data!$S$2:$S$750,343)),"")</f>
        <v>HF Card Mifare "one side printed"</v>
      </c>
      <c r="E449" s="53">
        <f t="array" ref="E449">IFERROR(IF(INDEX(Data!$D$2:$D$750,SMALL(Data!$S$2:$S$750,343))=0,"",INDEX(Data!$D$2:$D$750,SMALL(Data!$S$2:$S$750,343))),"")</f>
        <v>500</v>
      </c>
      <c r="F449" s="54">
        <f t="array" ref="F449">IFERROR(IF(INDEX(Data!$E$2:$E$750,SMALL(Data!$S$2:$S$750,343))=0,"",INDEX(Data!$E$2:$E$750,SMALL(Data!$S$2:$S$750,343))),"")</f>
        <v>5</v>
      </c>
      <c r="G449" s="54">
        <f t="array" ref="G449">IFERROR(INDEX(Data!$F$2:$F$750,SMALL(Data!$S$2:$S$750,343)),"")</f>
        <v>2500</v>
      </c>
      <c r="H449" s="55">
        <f t="array" ref="H449">IFERROR(IF(INDEX(Data!$G$2:$G$750,SMALL(Data!$S$2:$S$750,343))=0,"",INDEX(Data!$G$2:$G$750,SMALL(Data!$S$2:$S$750,343))),"")</f>
        <v>46286</v>
      </c>
      <c r="I449" s="53">
        <f t="array" ref="I449">IFERROR(IF(INDEX(Data!$H$2:$H$750,SMALL(Data!$S$2:$S$750,343))=0,"",INDEX(Data!$H$2:$H$750,SMALL(Data!$S$2:$S$750,343))),"")</f>
        <v>21</v>
      </c>
      <c r="J449" s="55">
        <f t="array" ref="J449">IFERROR(INDEX(Data!$I$2:$I$750,SMALL(Data!$S$2:$S$750,343)),"")</f>
        <v>46433</v>
      </c>
      <c r="K449" s="53" t="str">
        <f t="array" ref="K449">IFERROR(INDEX(Data!$J$2:$J$750,SMALL(Data!$S$2:$S$750,343)),"")</f>
        <v>Not Paid</v>
      </c>
      <c r="L449" s="53" t="str">
        <f t="array" ref="L449">IFERROR(INDEX(Data!$K$2:$K$750,SMALL(Data!$S$2:$S$750,343)),"")</f>
        <v>Pending</v>
      </c>
      <c r="M449" s="48" t="s">
        <v>117</v>
      </c>
      <c r="N449" s="48">
        <f>SUMIFS(Data!D2:D750,Data!B2:B750,M449,Data!O2:O750,1)</f>
        <v>6</v>
      </c>
    </row>
    <row r="450" ht="15.75" customHeight="1">
      <c r="B450" s="56" t="str">
        <f t="array" ref="B450">IFERROR(INDEX(Data!$A$2:$A$750,SMALL(Data!$S$2:$S$750,344)),"")</f>
        <v>El Shrouk Village</v>
      </c>
      <c r="C450" s="56" t="str">
        <f t="array" ref="C450">IFERROR(IF(INDEX(Data!$B$2:$B$750,SMALL(Data!$S$2:$S$750,344))=0,"",INDEX(Data!$B$2:$B$750,SMALL(Data!$S$2:$S$750,344))),"")</f>
        <v/>
      </c>
      <c r="D450" s="56" t="str">
        <f t="array" ref="D450">IFERROR(INDEX(Data!$C$2:$C$750,SMALL(Data!$S$2:$S$750,344)),"")</f>
        <v>QR Scanners</v>
      </c>
      <c r="E450" s="56">
        <f t="array" ref="E450">IFERROR(IF(INDEX(Data!$D$2:$D$750,SMALL(Data!$S$2:$S$750,344))=0,"",INDEX(Data!$D$2:$D$750,SMALL(Data!$S$2:$S$750,344))),"")</f>
        <v>1</v>
      </c>
      <c r="F450" s="57">
        <f t="array" ref="F450">IFERROR(IF(INDEX(Data!$E$2:$E$750,SMALL(Data!$S$2:$S$750,344))=0,"",INDEX(Data!$E$2:$E$750,SMALL(Data!$S$2:$S$750,344))),"")</f>
        <v>6</v>
      </c>
      <c r="G450" s="57">
        <f t="array" ref="G450">IFERROR(INDEX(Data!$F$2:$F$750,SMALL(Data!$S$2:$S$750,344)),"")</f>
        <v>6</v>
      </c>
      <c r="H450" s="58">
        <f t="array" ref="H450">IFERROR(IF(INDEX(Data!$G$2:$G$750,SMALL(Data!$S$2:$S$750,344))=0,"",INDEX(Data!$G$2:$G$750,SMALL(Data!$S$2:$S$750,344))),"")</f>
        <v>46287</v>
      </c>
      <c r="I450" s="56">
        <f t="array" ref="I450">IFERROR(IF(INDEX(Data!$H$2:$H$750,SMALL(Data!$S$2:$S$750,344))=0,"",INDEX(Data!$H$2:$H$750,SMALL(Data!$S$2:$S$750,344))),"")</f>
        <v>20</v>
      </c>
      <c r="J450" s="58">
        <f t="array" ref="J450">IFERROR(INDEX(Data!$I$2:$I$750,SMALL(Data!$S$2:$S$750,344)),"")</f>
        <v>46427</v>
      </c>
      <c r="K450" s="56" t="str">
        <f t="array" ref="K450">IFERROR(INDEX(Data!$J$2:$J$750,SMALL(Data!$S$2:$S$750,344)),"")</f>
        <v>Not Paid</v>
      </c>
      <c r="L450" s="56" t="str">
        <f t="array" ref="L450">IFERROR(INDEX(Data!$K$2:$K$750,SMALL(Data!$S$2:$S$750,344)),"")</f>
        <v>Pending</v>
      </c>
      <c r="M450" s="48" t="s">
        <v>106</v>
      </c>
      <c r="N450" s="48">
        <f>SUMIFS(Data!D2:D750,Data!B2:B750,M450,Data!O2:O750,1)</f>
        <v>800</v>
      </c>
    </row>
    <row r="451" ht="15.75" customHeight="1">
      <c r="B451" s="53" t="str">
        <f t="array" ref="B451">IFERROR(INDEX(Data!$A$2:$A$750,SMALL(Data!$S$2:$S$750,345)),"")</f>
        <v>El Shrouk Village</v>
      </c>
      <c r="C451" s="53" t="str">
        <f t="array" ref="C451">IFERROR(IF(INDEX(Data!$B$2:$B$750,SMALL(Data!$S$2:$S$750,345))=0,"",INDEX(Data!$B$2:$B$750,SMALL(Data!$S$2:$S$750,345))),"")</f>
        <v/>
      </c>
      <c r="D451" s="53" t="str">
        <f t="array" ref="D451">IFERROR(INDEX(Data!$C$2:$C$750,SMALL(Data!$S$2:$S$750,345)),"")</f>
        <v>ZXP series 7 Card Printer</v>
      </c>
      <c r="E451" s="53">
        <f t="array" ref="E451">IFERROR(IF(INDEX(Data!$D$2:$D$750,SMALL(Data!$S$2:$S$750,345))=0,"",INDEX(Data!$D$2:$D$750,SMALL(Data!$S$2:$S$750,345))),"")</f>
        <v>1</v>
      </c>
      <c r="F451" s="54">
        <f t="array" ref="F451">IFERROR(IF(INDEX(Data!$E$2:$E$750,SMALL(Data!$S$2:$S$750,345))=0,"",INDEX(Data!$E$2:$E$750,SMALL(Data!$S$2:$S$750,345))),"")</f>
        <v>7</v>
      </c>
      <c r="G451" s="54">
        <f t="array" ref="G451">IFERROR(INDEX(Data!$F$2:$F$750,SMALL(Data!$S$2:$S$750,345)),"")</f>
        <v>7</v>
      </c>
      <c r="H451" s="55">
        <f t="array" ref="H451">IFERROR(IF(INDEX(Data!$G$2:$G$750,SMALL(Data!$S$2:$S$750,345))=0,"",INDEX(Data!$G$2:$G$750,SMALL(Data!$S$2:$S$750,345))),"")</f>
        <v>46288</v>
      </c>
      <c r="I451" s="53">
        <f t="array" ref="I451">IFERROR(IF(INDEX(Data!$H$2:$H$750,SMALL(Data!$S$2:$S$750,345))=0,"",INDEX(Data!$H$2:$H$750,SMALL(Data!$S$2:$S$750,345))),"")</f>
        <v>21</v>
      </c>
      <c r="J451" s="55">
        <f t="array" ref="J451">IFERROR(INDEX(Data!$I$2:$I$750,SMALL(Data!$S$2:$S$750,345)),"")</f>
        <v>46435</v>
      </c>
      <c r="K451" s="53" t="str">
        <f t="array" ref="K451">IFERROR(INDEX(Data!$J$2:$J$750,SMALL(Data!$S$2:$S$750,345)),"")</f>
        <v>Not Paid</v>
      </c>
      <c r="L451" s="53" t="str">
        <f t="array" ref="L451">IFERROR(INDEX(Data!$K$2:$K$750,SMALL(Data!$S$2:$S$750,345)),"")</f>
        <v>Pending</v>
      </c>
      <c r="M451" s="48" t="s">
        <v>85</v>
      </c>
      <c r="N451" s="48">
        <f>SUMIFS(Data!D2:D750,Data!B2:B750,M451,Data!O2:O750,1)</f>
        <v>30</v>
      </c>
    </row>
    <row r="452" ht="15.75" customHeight="1">
      <c r="B452" s="56" t="str">
        <f t="array" ref="B452">IFERROR(INDEX(Data!$A$2:$A$750,SMALL(Data!$S$2:$S$750,346)),"")</f>
        <v>El Shrouk Village</v>
      </c>
      <c r="C452" s="56" t="str">
        <f t="array" ref="C452">IFERROR(IF(INDEX(Data!$B$2:$B$750,SMALL(Data!$S$2:$S$750,346))=0,"",INDEX(Data!$B$2:$B$750,SMALL(Data!$S$2:$S$750,346))),"")</f>
        <v/>
      </c>
      <c r="D452" s="56" t="str">
        <f t="array" ref="D452">IFERROR(INDEX(Data!$C$2:$C$750,SMALL(Data!$S$2:$S$750,346)),"")</f>
        <v>Zebra YMCKO Ribbon for ZXP series 7 printer (750 Image/roll)</v>
      </c>
      <c r="E452" s="56">
        <f t="array" ref="E452">IFERROR(IF(INDEX(Data!$D$2:$D$750,SMALL(Data!$S$2:$S$750,346))=0,"",INDEX(Data!$D$2:$D$750,SMALL(Data!$S$2:$S$750,346))),"")</f>
        <v>5</v>
      </c>
      <c r="F452" s="57">
        <f t="array" ref="F452">IFERROR(IF(INDEX(Data!$E$2:$E$750,SMALL(Data!$S$2:$S$750,346))=0,"",INDEX(Data!$E$2:$E$750,SMALL(Data!$S$2:$S$750,346))),"")</f>
        <v>8</v>
      </c>
      <c r="G452" s="57">
        <f t="array" ref="G452">IFERROR(INDEX(Data!$F$2:$F$750,SMALL(Data!$S$2:$S$750,346)),"")</f>
        <v>40</v>
      </c>
      <c r="H452" s="58">
        <f t="array" ref="H452">IFERROR(IF(INDEX(Data!$G$2:$G$750,SMALL(Data!$S$2:$S$750,346))=0,"",INDEX(Data!$G$2:$G$750,SMALL(Data!$S$2:$S$750,346))),"")</f>
        <v>46289</v>
      </c>
      <c r="I452" s="56">
        <f t="array" ref="I452">IFERROR(IF(INDEX(Data!$H$2:$H$750,SMALL(Data!$S$2:$S$750,346))=0,"",INDEX(Data!$H$2:$H$750,SMALL(Data!$S$2:$S$750,346))),"")</f>
        <v>18</v>
      </c>
      <c r="J452" s="58">
        <f t="array" ref="J452">IFERROR(INDEX(Data!$I$2:$I$750,SMALL(Data!$S$2:$S$750,346)),"")</f>
        <v>46415</v>
      </c>
      <c r="K452" s="56" t="str">
        <f t="array" ref="K452">IFERROR(INDEX(Data!$J$2:$J$750,SMALL(Data!$S$2:$S$750,346)),"")</f>
        <v>Not Paid</v>
      </c>
      <c r="L452" s="56" t="str">
        <f t="array" ref="L452">IFERROR(INDEX(Data!$K$2:$K$750,SMALL(Data!$S$2:$S$750,346)),"")</f>
        <v>Pending</v>
      </c>
      <c r="M452" s="48" t="s">
        <v>95</v>
      </c>
      <c r="N452" s="48">
        <f>SUMIFS(Data!D2:D750,Data!B2:B750,M452,Data!O2:O750,1)</f>
        <v>30</v>
      </c>
    </row>
    <row r="453" ht="15.75" customHeight="1">
      <c r="B453" s="53" t="str">
        <f t="array" ref="B453">IFERROR(INDEX(Data!$A$2:$A$750,SMALL(Data!$S$2:$S$750,347)),"")</f>
        <v>AXA OneHealth</v>
      </c>
      <c r="C453" s="53" t="str">
        <f t="array" ref="C453">IFERROR(IF(INDEX(Data!$B$2:$B$750,SMALL(Data!$S$2:$S$750,347))=0,"",INDEX(Data!$B$2:$B$750,SMALL(Data!$S$2:$S$750,347))),"")</f>
        <v/>
      </c>
      <c r="D453" s="53" t="str">
        <f t="array" ref="D453">IFERROR(INDEX(Data!$C$2:$C$750,SMALL(Data!$S$2:$S$750,347)),"")</f>
        <v>RCO -7012 blank</v>
      </c>
      <c r="E453" s="53">
        <f t="array" ref="E453">IFERROR(IF(INDEX(Data!$D$2:$D$750,SMALL(Data!$S$2:$S$750,347))=0,"",INDEX(Data!$D$2:$D$750,SMALL(Data!$S$2:$S$750,347))),"")</f>
        <v>500</v>
      </c>
      <c r="F453" s="54">
        <f t="array" ref="F453">IFERROR(IF(INDEX(Data!$E$2:$E$750,SMALL(Data!$S$2:$S$750,347))=0,"",INDEX(Data!$E$2:$E$750,SMALL(Data!$S$2:$S$750,347))),"")</f>
        <v>2</v>
      </c>
      <c r="G453" s="54">
        <f t="array" ref="G453">IFERROR(INDEX(Data!$F$2:$F$750,SMALL(Data!$S$2:$S$750,347)),"")</f>
        <v>1000</v>
      </c>
      <c r="H453" s="55">
        <f t="array" ref="H453">IFERROR(IF(INDEX(Data!$G$2:$G$750,SMALL(Data!$S$2:$S$750,347))=0,"",INDEX(Data!$G$2:$G$750,SMALL(Data!$S$2:$S$750,347))),"")</f>
        <v>46290</v>
      </c>
      <c r="I453" s="53">
        <f t="array" ref="I453">IFERROR(IF(INDEX(Data!$H$2:$H$750,SMALL(Data!$S$2:$S$750,347))=0,"",INDEX(Data!$H$2:$H$750,SMALL(Data!$S$2:$S$750,347))),"")</f>
        <v>22</v>
      </c>
      <c r="J453" s="55">
        <f t="array" ref="J453">IFERROR(INDEX(Data!$I$2:$I$750,SMALL(Data!$S$2:$S$750,347)),"")</f>
        <v>46444</v>
      </c>
      <c r="K453" s="53" t="str">
        <f t="array" ref="K453">IFERROR(INDEX(Data!$J$2:$J$750,SMALL(Data!$S$2:$S$750,347)),"")</f>
        <v>Not Paid</v>
      </c>
      <c r="L453" s="53" t="str">
        <f t="array" ref="L453">IFERROR(INDEX(Data!$K$2:$K$750,SMALL(Data!$S$2:$S$750,347)),"")</f>
        <v>Pending</v>
      </c>
      <c r="M453" s="48" t="s">
        <v>67</v>
      </c>
      <c r="N453" s="48">
        <f>SUMIFS(Data!D2:D750,Data!B2:B750,M453,Data!O2:O750,1)</f>
        <v>49</v>
      </c>
    </row>
    <row r="454" ht="15.75" customHeight="1">
      <c r="B454" s="56" t="str">
        <f t="array" ref="B454">IFERROR(INDEX(Data!$A$2:$A$750,SMALL(Data!$S$2:$S$750,348)),"")</f>
        <v>AXA OneHealth</v>
      </c>
      <c r="C454" s="56" t="str">
        <f t="array" ref="C454">IFERROR(IF(INDEX(Data!$B$2:$B$750,SMALL(Data!$S$2:$S$750,348))=0,"",INDEX(Data!$B$2:$B$750,SMALL(Data!$S$2:$S$750,348))),"")</f>
        <v/>
      </c>
      <c r="D454" s="56" t="str">
        <f t="array" ref="D454">IFERROR(INDEX(Data!$C$2:$C$750,SMALL(Data!$S$2:$S$750,348)),"")</f>
        <v>on metal tags</v>
      </c>
      <c r="E454" s="56">
        <f t="array" ref="E454">IFERROR(IF(INDEX(Data!$D$2:$D$750,SMALL(Data!$S$2:$S$750,348))=0,"",INDEX(Data!$D$2:$D$750,SMALL(Data!$S$2:$S$750,348))),"")</f>
        <v>200</v>
      </c>
      <c r="F454" s="57">
        <f t="array" ref="F454">IFERROR(IF(INDEX(Data!$E$2:$E$750,SMALL(Data!$S$2:$S$750,348))=0,"",INDEX(Data!$E$2:$E$750,SMALL(Data!$S$2:$S$750,348))),"")</f>
        <v>15</v>
      </c>
      <c r="G454" s="57">
        <f t="array" ref="G454">IFERROR(INDEX(Data!$F$2:$F$750,SMALL(Data!$S$2:$S$750,348)),"")</f>
        <v>3000</v>
      </c>
      <c r="H454" s="58">
        <f t="array" ref="H454">IFERROR(IF(INDEX(Data!$G$2:$G$750,SMALL(Data!$S$2:$S$750,348))=0,"",INDEX(Data!$G$2:$G$750,SMALL(Data!$S$2:$S$750,348))),"")</f>
        <v>46291</v>
      </c>
      <c r="I454" s="56">
        <f t="array" ref="I454">IFERROR(IF(INDEX(Data!$H$2:$H$750,SMALL(Data!$S$2:$S$750,348))=0,"",INDEX(Data!$H$2:$H$750,SMALL(Data!$S$2:$S$750,348))),"")</f>
        <v>21</v>
      </c>
      <c r="J454" s="58">
        <f t="array" ref="J454">IFERROR(INDEX(Data!$I$2:$I$750,SMALL(Data!$S$2:$S$750,348)),"")</f>
        <v>46438</v>
      </c>
      <c r="K454" s="56" t="str">
        <f t="array" ref="K454">IFERROR(INDEX(Data!$J$2:$J$750,SMALL(Data!$S$2:$S$750,348)),"")</f>
        <v>Not Paid</v>
      </c>
      <c r="L454" s="56" t="str">
        <f t="array" ref="L454">IFERROR(INDEX(Data!$K$2:$K$750,SMALL(Data!$S$2:$S$750,348)),"")</f>
        <v>Pending</v>
      </c>
      <c r="M454" s="48" t="s">
        <v>54</v>
      </c>
      <c r="N454" s="48">
        <f>SUMIFS(Data!D2:D750,Data!B2:B750,M454,Data!O2:O750,1)</f>
        <v>11</v>
      </c>
    </row>
    <row r="455" ht="15.75" customHeight="1">
      <c r="B455" s="53" t="str">
        <f t="array" ref="B455">IFERROR(INDEX(Data!$A$2:$A$750,SMALL(Data!$S$2:$S$750,349)),"")</f>
        <v>Obour Institute</v>
      </c>
      <c r="C455" s="53" t="str">
        <f t="array" ref="C455">IFERROR(IF(INDEX(Data!$B$2:$B$750,SMALL(Data!$S$2:$S$750,349))=0,"",INDEX(Data!$B$2:$B$750,SMALL(Data!$S$2:$S$750,349))),"")</f>
        <v/>
      </c>
      <c r="D455" s="53" t="str">
        <f t="array" ref="D455">IFERROR(INDEX(Data!$C$2:$C$750,SMALL(Data!$S$2:$S$750,349)),"")</f>
        <v>Feig ID SPAD102</v>
      </c>
      <c r="E455" s="53">
        <f t="array" ref="E455">IFERROR(IF(INDEX(Data!$D$2:$D$750,SMALL(Data!$S$2:$S$750,349))=0,"",INDEX(Data!$D$2:$D$750,SMALL(Data!$S$2:$S$750,349))),"")</f>
        <v>4</v>
      </c>
      <c r="F455" s="54">
        <f t="array" ref="F455">IFERROR(IF(INDEX(Data!$E$2:$E$750,SMALL(Data!$S$2:$S$750,349))=0,"",INDEX(Data!$E$2:$E$750,SMALL(Data!$S$2:$S$750,349))),"")</f>
        <v>45</v>
      </c>
      <c r="G455" s="54">
        <f t="array" ref="G455">IFERROR(INDEX(Data!$F$2:$F$750,SMALL(Data!$S$2:$S$750,349)),"")</f>
        <v>180</v>
      </c>
      <c r="H455" s="55">
        <f t="array" ref="H455">IFERROR(IF(INDEX(Data!$G$2:$G$750,SMALL(Data!$S$2:$S$750,349))=0,"",INDEX(Data!$G$2:$G$750,SMALL(Data!$S$2:$S$750,349))),"")</f>
        <v>46292</v>
      </c>
      <c r="I455" s="53">
        <f t="array" ref="I455">IFERROR(IF(INDEX(Data!$H$2:$H$750,SMALL(Data!$S$2:$S$750,349))=0,"",INDEX(Data!$H$2:$H$750,SMALL(Data!$S$2:$S$750,349))),"")</f>
        <v>20</v>
      </c>
      <c r="J455" s="55">
        <f t="array" ref="J455">IFERROR(INDEX(Data!$I$2:$I$750,SMALL(Data!$S$2:$S$750,349)),"")</f>
        <v>46432</v>
      </c>
      <c r="K455" s="53" t="str">
        <f t="array" ref="K455">IFERROR(INDEX(Data!$J$2:$J$750,SMALL(Data!$S$2:$S$750,349)),"")</f>
        <v>Not Paid</v>
      </c>
      <c r="L455" s="53" t="str">
        <f t="array" ref="L455">IFERROR(INDEX(Data!$K$2:$K$750,SMALL(Data!$S$2:$S$750,349)),"")</f>
        <v>Pending</v>
      </c>
    </row>
    <row r="456" ht="15.75" customHeight="1">
      <c r="B456" s="56" t="str">
        <f t="array" ref="B456">IFERROR(INDEX(Data!$A$2:$A$750,SMALL(Data!$S$2:$S$750,350)),"")</f>
        <v>La Hacienda</v>
      </c>
      <c r="C456" s="56" t="str">
        <f t="array" ref="C456">IFERROR(IF(INDEX(Data!$B$2:$B$750,SMALL(Data!$S$2:$S$750,350))=0,"",INDEX(Data!$B$2:$B$750,SMALL(Data!$S$2:$S$750,350))),"")</f>
        <v/>
      </c>
      <c r="D456" s="56" t="str">
        <f t="array" ref="D456">IFERROR(INDEX(Data!$C$2:$C$750,SMALL(Data!$S$2:$S$750,350)),"")</f>
        <v>HF Card Mifare "2 side printed"</v>
      </c>
      <c r="E456" s="56" t="str">
        <f t="array" ref="E456">IFERROR(IF(INDEX(Data!$D$2:$D$750,SMALL(Data!$S$2:$S$750,350))=0,"",INDEX(Data!$D$2:$D$750,SMALL(Data!$S$2:$S$750,350))),"")</f>
        <v>1328+40</v>
      </c>
      <c r="F456" s="57">
        <f t="array" ref="F456">IFERROR(IF(INDEX(Data!$E$2:$E$750,SMALL(Data!$S$2:$S$750,350))=0,"",INDEX(Data!$E$2:$E$750,SMALL(Data!$S$2:$S$750,350))),"")</f>
        <v>24</v>
      </c>
      <c r="G456" s="57" t="str">
        <f t="array" ref="G456">IFERROR(INDEX(Data!$F$2:$F$750,SMALL(Data!$S$2:$S$750,350)),"")</f>
        <v/>
      </c>
      <c r="H456" s="58">
        <f t="array" ref="H456">IFERROR(IF(INDEX(Data!$G$2:$G$750,SMALL(Data!$S$2:$S$750,350))=0,"",INDEX(Data!$G$2:$G$750,SMALL(Data!$S$2:$S$750,350))),"")</f>
        <v>46293</v>
      </c>
      <c r="I456" s="56">
        <f t="array" ref="I456">IFERROR(IF(INDEX(Data!$H$2:$H$750,SMALL(Data!$S$2:$S$750,350))=0,"",INDEX(Data!$H$2:$H$750,SMALL(Data!$S$2:$S$750,350))),"")</f>
        <v>18</v>
      </c>
      <c r="J456" s="58">
        <f t="array" ref="J456">IFERROR(INDEX(Data!$I$2:$I$750,SMALL(Data!$S$2:$S$750,350)),"")</f>
        <v>46419</v>
      </c>
      <c r="K456" s="56" t="str">
        <f t="array" ref="K456">IFERROR(INDEX(Data!$J$2:$J$750,SMALL(Data!$S$2:$S$750,350)),"")</f>
        <v>Not Paid</v>
      </c>
      <c r="L456" s="56" t="str">
        <f t="array" ref="L456">IFERROR(INDEX(Data!$K$2:$K$750,SMALL(Data!$S$2:$S$750,350)),"")</f>
        <v>Pending</v>
      </c>
      <c r="M456" s="46" t="s">
        <v>693</v>
      </c>
    </row>
    <row r="457" ht="15.75" customHeight="1">
      <c r="B457" s="53" t="str">
        <f t="array" ref="B457">IFERROR(INDEX(Data!$A$2:$A$750,SMALL(Data!$S$2:$S$750,351)),"")</f>
        <v>La Vista</v>
      </c>
      <c r="C457" s="53" t="str">
        <f t="array" ref="C457">IFERROR(IF(INDEX(Data!$B$2:$B$750,SMALL(Data!$S$2:$S$750,351))=0,"",INDEX(Data!$B$2:$B$750,SMALL(Data!$S$2:$S$750,351))),"")</f>
        <v/>
      </c>
      <c r="D457" s="59" t="str">
        <f t="array" ref="D457">IFERROR(INDEX(Data!$C$2:$C$750,SMALL(Data!$S$2:$S$750,351)),"")</f>
        <v>Barrier Beam Connection Flange
Part Number SBH01</v>
      </c>
      <c r="E457" s="53">
        <f t="array" ref="E457">IFERROR(IF(INDEX(Data!$D$2:$D$750,SMALL(Data!$S$2:$S$750,351))=0,"",INDEX(Data!$D$2:$D$750,SMALL(Data!$S$2:$S$750,351))),"")</f>
        <v>5</v>
      </c>
      <c r="F457" s="54">
        <f t="array" ref="F457">IFERROR(IF(INDEX(Data!$E$2:$E$750,SMALL(Data!$S$2:$S$750,351))=0,"",INDEX(Data!$E$2:$E$750,SMALL(Data!$S$2:$S$750,351))),"")</f>
        <v>25</v>
      </c>
      <c r="G457" s="54">
        <f t="array" ref="G457">IFERROR(INDEX(Data!$F$2:$F$750,SMALL(Data!$S$2:$S$750,351)),"")</f>
        <v>125</v>
      </c>
      <c r="H457" s="55">
        <f t="array" ref="H457">IFERROR(IF(INDEX(Data!$G$2:$G$750,SMALL(Data!$S$2:$S$750,351))=0,"",INDEX(Data!$G$2:$G$750,SMALL(Data!$S$2:$S$750,351))),"")</f>
        <v>46294</v>
      </c>
      <c r="I457" s="53">
        <f t="array" ref="I457">IFERROR(IF(INDEX(Data!$H$2:$H$750,SMALL(Data!$S$2:$S$750,351))=0,"",INDEX(Data!$H$2:$H$750,SMALL(Data!$S$2:$S$750,351))),"")</f>
        <v>19</v>
      </c>
      <c r="J457" s="55">
        <f t="array" ref="J457">IFERROR(INDEX(Data!$I$2:$I$750,SMALL(Data!$S$2:$S$750,351)),"")</f>
        <v>46427</v>
      </c>
      <c r="K457" s="53" t="str">
        <f t="array" ref="K457">IFERROR(INDEX(Data!$J$2:$J$750,SMALL(Data!$S$2:$S$750,351)),"")</f>
        <v>Not Paid</v>
      </c>
      <c r="L457" s="53" t="str">
        <f t="array" ref="L457">IFERROR(INDEX(Data!$K$2:$K$750,SMALL(Data!$S$2:$S$750,351)),"")</f>
        <v>Pending</v>
      </c>
      <c r="M457" s="47" t="s">
        <v>682</v>
      </c>
      <c r="N457" s="47" t="s">
        <v>3</v>
      </c>
    </row>
    <row r="458" ht="15.75" customHeight="1">
      <c r="B458" s="56" t="str">
        <f t="array" ref="B458">IFERROR(INDEX(Data!$A$2:$A$750,SMALL(Data!$S$2:$S$750,352)),"")</f>
        <v>0913 - Sidc - Orascom</v>
      </c>
      <c r="C458" s="56" t="str">
        <f t="array" ref="C458">IFERROR(IF(INDEX(Data!$B$2:$B$750,SMALL(Data!$S$2:$S$750,352))=0,"",INDEX(Data!$B$2:$B$750,SMALL(Data!$S$2:$S$750,352))),"")</f>
        <v/>
      </c>
      <c r="D458" s="56" t="str">
        <f t="array" ref="D458">IFERROR(INDEX(Data!$C$2:$C$750,SMALL(Data!$S$2:$S$750,352)),"")</f>
        <v>Destructive Windshield Tag-printed</v>
      </c>
      <c r="E458" s="56" t="str">
        <f t="array" ref="E458">IFERROR(IF(INDEX(Data!$D$2:$D$750,SMALL(Data!$S$2:$S$750,352))=0,"",INDEX(Data!$D$2:$D$750,SMALL(Data!$S$2:$S$750,352))),"")</f>
        <v>400 instead of 300</v>
      </c>
      <c r="F458" s="57">
        <f t="array" ref="F458">IFERROR(IF(INDEX(Data!$E$2:$E$750,SMALL(Data!$S$2:$S$750,352))=0,"",INDEX(Data!$E$2:$E$750,SMALL(Data!$S$2:$S$750,352))),"")</f>
        <v>36</v>
      </c>
      <c r="G458" s="57" t="str">
        <f t="array" ref="G458">IFERROR(INDEX(Data!$F$2:$F$750,SMALL(Data!$S$2:$S$750,352)),"")</f>
        <v/>
      </c>
      <c r="H458" s="58">
        <f t="array" ref="H458">IFERROR(IF(INDEX(Data!$G$2:$G$750,SMALL(Data!$S$2:$S$750,352))=0,"",INDEX(Data!$G$2:$G$750,SMALL(Data!$S$2:$S$750,352))),"")</f>
        <v>46295</v>
      </c>
      <c r="I458" s="56">
        <f t="array" ref="I458">IFERROR(IF(INDEX(Data!$H$2:$H$750,SMALL(Data!$S$2:$S$750,352))=0,"",INDEX(Data!$H$2:$H$750,SMALL(Data!$S$2:$S$750,352))),"")</f>
        <v>5</v>
      </c>
      <c r="J458" s="58">
        <f t="array" ref="J458">IFERROR(INDEX(Data!$I$2:$I$750,SMALL(Data!$S$2:$S$750,352)),"")</f>
        <v>46330</v>
      </c>
      <c r="K458" s="56" t="str">
        <f t="array" ref="K458">IFERROR(INDEX(Data!$J$2:$J$750,SMALL(Data!$S$2:$S$750,352)),"")</f>
        <v>Not Paid</v>
      </c>
      <c r="L458" s="56" t="str">
        <f t="array" ref="L458">IFERROR(INDEX(Data!$K$2:$K$750,SMALL(Data!$S$2:$S$750,352)),"")</f>
        <v>Pending</v>
      </c>
      <c r="M458" s="48" t="s">
        <v>31</v>
      </c>
      <c r="N458" s="48">
        <f>SUMIFS(Data!D2:D750,Data!K2:K750,M458,Data!P2:P750,1)</f>
        <v>1128631</v>
      </c>
    </row>
    <row r="459" ht="15.75" customHeight="1">
      <c r="B459" s="53" t="str">
        <f t="array" ref="B459">IFERROR(INDEX(Data!$A$2:$A$750,SMALL(Data!$S$2:$S$750,353)),"")</f>
        <v>Axiom Technology</v>
      </c>
      <c r="C459" s="53" t="str">
        <f t="array" ref="C459">IFERROR(IF(INDEX(Data!$B$2:$B$750,SMALL(Data!$S$2:$S$750,353))=0,"",INDEX(Data!$B$2:$B$750,SMALL(Data!$S$2:$S$750,353))),"")</f>
        <v/>
      </c>
      <c r="D459" s="53" t="str">
        <f t="array" ref="D459">IFERROR(INDEX(Data!$C$2:$C$750,SMALL(Data!$S$2:$S$750,353)),"")</f>
        <v>TWN4 Multi Tech 2 LF/HF reader with PI</v>
      </c>
      <c r="E459" s="53">
        <f t="array" ref="E459">IFERROR(IF(INDEX(Data!$D$2:$D$750,SMALL(Data!$S$2:$S$750,353))=0,"",INDEX(Data!$D$2:$D$750,SMALL(Data!$S$2:$S$750,353))),"")</f>
        <v>6</v>
      </c>
      <c r="F459" s="54">
        <f t="array" ref="F459">IFERROR(IF(INDEX(Data!$E$2:$E$750,SMALL(Data!$S$2:$S$750,353))=0,"",INDEX(Data!$E$2:$E$750,SMALL(Data!$S$2:$S$750,353))),"")</f>
        <v>95</v>
      </c>
      <c r="G459" s="54">
        <f t="array" ref="G459">IFERROR(INDEX(Data!$F$2:$F$750,SMALL(Data!$S$2:$S$750,353)),"")</f>
        <v>570</v>
      </c>
      <c r="H459" s="55">
        <f t="array" ref="H459">IFERROR(IF(INDEX(Data!$G$2:$G$750,SMALL(Data!$S$2:$S$750,353))=0,"",INDEX(Data!$G$2:$G$750,SMALL(Data!$S$2:$S$750,353))),"")</f>
        <v>46296</v>
      </c>
      <c r="I459" s="53">
        <f t="array" ref="I459">IFERROR(IF(INDEX(Data!$H$2:$H$750,SMALL(Data!$S$2:$S$750,353))=0,"",INDEX(Data!$H$2:$H$750,SMALL(Data!$S$2:$S$750,353))),"")</f>
        <v>4</v>
      </c>
      <c r="J459" s="55">
        <f t="array" ref="J459">IFERROR(INDEX(Data!$I$2:$I$750,SMALL(Data!$S$2:$S$750,353)),"")</f>
        <v>46324</v>
      </c>
      <c r="K459" s="53" t="str">
        <f t="array" ref="K459">IFERROR(INDEX(Data!$J$2:$J$750,SMALL(Data!$S$2:$S$750,353)),"")</f>
        <v>Not Paid</v>
      </c>
      <c r="L459" s="53" t="str">
        <f t="array" ref="L459">IFERROR(INDEX(Data!$K$2:$K$750,SMALL(Data!$S$2:$S$750,353)),"")</f>
        <v>Pending</v>
      </c>
      <c r="M459" s="48" t="s">
        <v>37</v>
      </c>
      <c r="N459" s="48">
        <f>SUMIFS(Data!D2:D750,Data!K2:K750,M459,Data!P2:P750,1)</f>
        <v>86109</v>
      </c>
    </row>
    <row r="460" ht="15.75" customHeight="1">
      <c r="B460" s="56" t="str">
        <f t="array" ref="B460">IFERROR(INDEX(Data!$A$2:$A$750,SMALL(Data!$S$2:$S$750,354)),"")</f>
        <v>Japan University of science and technology</v>
      </c>
      <c r="C460" s="56" t="str">
        <f t="array" ref="C460">IFERROR(IF(INDEX(Data!$B$2:$B$750,SMALL(Data!$S$2:$S$750,354))=0,"",INDEX(Data!$B$2:$B$750,SMALL(Data!$S$2:$S$750,354))),"")</f>
        <v/>
      </c>
      <c r="D460" s="56" t="str">
        <f t="array" ref="D460">IFERROR(INDEX(Data!$C$2:$C$750,SMALL(Data!$S$2:$S$750,354)),"")</f>
        <v>LRU1002 UHF Reader with 2 Antennas Kit</v>
      </c>
      <c r="E460" s="56">
        <f t="array" ref="E460">IFERROR(IF(INDEX(Data!$D$2:$D$750,SMALL(Data!$S$2:$S$750,354))=0,"",INDEX(Data!$D$2:$D$750,SMALL(Data!$S$2:$S$750,354))),"")</f>
        <v>3</v>
      </c>
      <c r="F460" s="57">
        <f t="array" ref="F460">IFERROR(IF(INDEX(Data!$E$2:$E$750,SMALL(Data!$S$2:$S$750,354))=0,"",INDEX(Data!$E$2:$E$750,SMALL(Data!$S$2:$S$750,354))),"")</f>
        <v>574</v>
      </c>
      <c r="G460" s="57">
        <f t="array" ref="G460">IFERROR(INDEX(Data!$F$2:$F$750,SMALL(Data!$S$2:$S$750,354)),"")</f>
        <v>1722</v>
      </c>
      <c r="H460" s="58">
        <f t="array" ref="H460">IFERROR(IF(INDEX(Data!$G$2:$G$750,SMALL(Data!$S$2:$S$750,354))=0,"",INDEX(Data!$G$2:$G$750,SMALL(Data!$S$2:$S$750,354))),"")</f>
        <v>46297</v>
      </c>
      <c r="I460" s="56">
        <f t="array" ref="I460">IFERROR(IF(INDEX(Data!$H$2:$H$750,SMALL(Data!$S$2:$S$750,354))=0,"",INDEX(Data!$H$2:$H$750,SMALL(Data!$S$2:$S$750,354))),"")</f>
        <v>6</v>
      </c>
      <c r="J460" s="58">
        <f t="array" ref="J460">IFERROR(INDEX(Data!$I$2:$I$750,SMALL(Data!$S$2:$S$750,354)),"")</f>
        <v>46339</v>
      </c>
      <c r="K460" s="56" t="str">
        <f t="array" ref="K460">IFERROR(INDEX(Data!$J$2:$J$750,SMALL(Data!$S$2:$S$750,354)),"")</f>
        <v>Not Paid</v>
      </c>
      <c r="L460" s="56" t="str">
        <f t="array" ref="L460">IFERROR(INDEX(Data!$K$2:$K$750,SMALL(Data!$S$2:$S$750,354)),"")</f>
        <v>Pending</v>
      </c>
      <c r="M460" s="48" t="s">
        <v>26</v>
      </c>
      <c r="N460" s="48">
        <f>SUMIFS(Data!D2:D750,Data!K2:K750,M460,Data!P2:P750,1)</f>
        <v>48468</v>
      </c>
    </row>
    <row r="461" ht="15.75" customHeight="1">
      <c r="B461" s="53" t="str">
        <f t="array" ref="B461">IFERROR(INDEX(Data!$A$2:$A$750,SMALL(Data!$S$2:$S$750,355)),"")</f>
        <v>Japan University of science and technology</v>
      </c>
      <c r="C461" s="53" t="str">
        <f t="array" ref="C461">IFERROR(IF(INDEX(Data!$B$2:$B$750,SMALL(Data!$S$2:$S$750,355))=0,"",INDEX(Data!$B$2:$B$750,SMALL(Data!$S$2:$S$750,355))),"")</f>
        <v/>
      </c>
      <c r="D461" s="53" t="str">
        <f t="array" ref="D461">IFERROR(INDEX(Data!$C$2:$C$750,SMALL(Data!$S$2:$S$750,355)),"")</f>
        <v>AT 909</v>
      </c>
      <c r="E461" s="53">
        <f t="array" ref="E461">IFERROR(IF(INDEX(Data!$D$2:$D$750,SMALL(Data!$S$2:$S$750,355))=0,"",INDEX(Data!$D$2:$D$750,SMALL(Data!$S$2:$S$750,355))),"")</f>
        <v>1</v>
      </c>
      <c r="F461" s="54">
        <f t="array" ref="F461">IFERROR(IF(INDEX(Data!$E$2:$E$750,SMALL(Data!$S$2:$S$750,355))=0,"",INDEX(Data!$E$2:$E$750,SMALL(Data!$S$2:$S$750,355))),"")</f>
        <v>558</v>
      </c>
      <c r="G461" s="54">
        <f t="array" ref="G461">IFERROR(INDEX(Data!$F$2:$F$750,SMALL(Data!$S$2:$S$750,355)),"")</f>
        <v>558</v>
      </c>
      <c r="H461" s="55">
        <f t="array" ref="H461">IFERROR(IF(INDEX(Data!$G$2:$G$750,SMALL(Data!$S$2:$S$750,355))=0,"",INDEX(Data!$G$2:$G$750,SMALL(Data!$S$2:$S$750,355))),"")</f>
        <v>46298</v>
      </c>
      <c r="I461" s="53">
        <f t="array" ref="I461">IFERROR(IF(INDEX(Data!$H$2:$H$750,SMALL(Data!$S$2:$S$750,355))=0,"",INDEX(Data!$H$2:$H$750,SMALL(Data!$S$2:$S$750,355))),"")</f>
        <v>5</v>
      </c>
      <c r="J461" s="55">
        <f t="array" ref="J461">IFERROR(INDEX(Data!$I$2:$I$750,SMALL(Data!$S$2:$S$750,355)),"")</f>
        <v>46333</v>
      </c>
      <c r="K461" s="53" t="str">
        <f t="array" ref="K461">IFERROR(INDEX(Data!$J$2:$J$750,SMALL(Data!$S$2:$S$750,355)),"")</f>
        <v>Not Paid</v>
      </c>
      <c r="L461" s="53" t="str">
        <f t="array" ref="L461">IFERROR(INDEX(Data!$K$2:$K$750,SMALL(Data!$S$2:$S$750,355)),"")</f>
        <v>Pending</v>
      </c>
      <c r="M461" s="48" t="s">
        <v>48</v>
      </c>
      <c r="N461" s="48">
        <f>SUMIFS(Data!D2:D750,Data!K2:K750,M461,Data!P2:P750,1)</f>
        <v>36092</v>
      </c>
    </row>
    <row r="462" ht="15.75" customHeight="1">
      <c r="B462" s="56" t="str">
        <f t="array" ref="B462">IFERROR(INDEX(Data!$A$2:$A$750,SMALL(Data!$S$2:$S$750,356)),"")</f>
        <v>Japan University of science and technology</v>
      </c>
      <c r="C462" s="56" t="str">
        <f t="array" ref="C462">IFERROR(IF(INDEX(Data!$B$2:$B$750,SMALL(Data!$S$2:$S$750,356))=0,"",INDEX(Data!$B$2:$B$750,SMALL(Data!$S$2:$S$750,356))),"")</f>
        <v/>
      </c>
      <c r="D462" s="56" t="str">
        <f t="array" ref="D462">IFERROR(INDEX(Data!$C$2:$C$750,SMALL(Data!$S$2:$S$750,356)),"")</f>
        <v>ID SPAD.U-USB-EU UHF Shielded Pad Reader</v>
      </c>
      <c r="E462" s="56">
        <f t="array" ref="E462">IFERROR(IF(INDEX(Data!$D$2:$D$750,SMALL(Data!$S$2:$S$750,356))=0,"",INDEX(Data!$D$2:$D$750,SMALL(Data!$S$2:$S$750,356))),"")</f>
        <v>6</v>
      </c>
      <c r="F462" s="57">
        <f t="array" ref="F462">IFERROR(IF(INDEX(Data!$E$2:$E$750,SMALL(Data!$S$2:$S$750,356))=0,"",INDEX(Data!$E$2:$E$750,SMALL(Data!$S$2:$S$750,356))),"")</f>
        <v>2265</v>
      </c>
      <c r="G462" s="57">
        <f t="array" ref="G462">IFERROR(INDEX(Data!$F$2:$F$750,SMALL(Data!$S$2:$S$750,356)),"")</f>
        <v>13590</v>
      </c>
      <c r="H462" s="58">
        <f t="array" ref="H462">IFERROR(IF(INDEX(Data!$G$2:$G$750,SMALL(Data!$S$2:$S$750,356))=0,"",INDEX(Data!$G$2:$G$750,SMALL(Data!$S$2:$S$750,356))),"")</f>
        <v>46299</v>
      </c>
      <c r="I462" s="56">
        <f t="array" ref="I462">IFERROR(IF(INDEX(Data!$H$2:$H$750,SMALL(Data!$S$2:$S$750,356))=0,"",INDEX(Data!$H$2:$H$750,SMALL(Data!$S$2:$S$750,356))),"")</f>
        <v>2</v>
      </c>
      <c r="J462" s="58">
        <f t="array" ref="J462">IFERROR(INDEX(Data!$I$2:$I$750,SMALL(Data!$S$2:$S$750,356)),"")</f>
        <v>46313</v>
      </c>
      <c r="K462" s="56" t="str">
        <f t="array" ref="K462">IFERROR(INDEX(Data!$J$2:$J$750,SMALL(Data!$S$2:$S$750,356)),"")</f>
        <v>Not Paid</v>
      </c>
      <c r="L462" s="56" t="str">
        <f t="array" ref="L462">IFERROR(INDEX(Data!$K$2:$K$750,SMALL(Data!$S$2:$S$750,356)),"")</f>
        <v>Pending</v>
      </c>
    </row>
    <row r="463" ht="15.75" customHeight="1">
      <c r="B463" s="53" t="str">
        <f t="array" ref="B463">IFERROR(INDEX(Data!$A$2:$A$750,SMALL(Data!$S$2:$S$750,357)),"")</f>
        <v>Japan University of science and technology</v>
      </c>
      <c r="C463" s="53" t="str">
        <f t="array" ref="C463">IFERROR(IF(INDEX(Data!$B$2:$B$750,SMALL(Data!$S$2:$S$750,357))=0,"",INDEX(Data!$B$2:$B$750,SMALL(Data!$S$2:$S$750,357))),"")</f>
        <v/>
      </c>
      <c r="D463" s="53" t="str">
        <f t="array" ref="D463">IFERROR(INDEX(Data!$C$2:$C$750,SMALL(Data!$S$2:$S$750,357)),"")</f>
        <v>RCO -7012 blank</v>
      </c>
      <c r="E463" s="53">
        <f t="array" ref="E463">IFERROR(IF(INDEX(Data!$D$2:$D$750,SMALL(Data!$S$2:$S$750,357))=0,"",INDEX(Data!$D$2:$D$750,SMALL(Data!$S$2:$S$750,357))),"")</f>
        <v>5000</v>
      </c>
      <c r="F463" s="54">
        <f t="array" ref="F463">IFERROR(IF(INDEX(Data!$E$2:$E$750,SMALL(Data!$S$2:$S$750,357))=0,"",INDEX(Data!$E$2:$E$750,SMALL(Data!$S$2:$S$750,357))),"")</f>
        <v>45</v>
      </c>
      <c r="G463" s="54">
        <f t="array" ref="G463">IFERROR(INDEX(Data!$F$2:$F$750,SMALL(Data!$S$2:$S$750,357)),"")</f>
        <v>225000</v>
      </c>
      <c r="H463" s="55">
        <f t="array" ref="H463">IFERROR(IF(INDEX(Data!$G$2:$G$750,SMALL(Data!$S$2:$S$750,357))=0,"",INDEX(Data!$G$2:$G$750,SMALL(Data!$S$2:$S$750,357))),"")</f>
        <v>46300</v>
      </c>
      <c r="I463" s="53">
        <f t="array" ref="I463">IFERROR(IF(INDEX(Data!$H$2:$H$750,SMALL(Data!$S$2:$S$750,357))=0,"",INDEX(Data!$H$2:$H$750,SMALL(Data!$S$2:$S$750,357))),"")</f>
        <v>5</v>
      </c>
      <c r="J463" s="55">
        <f t="array" ref="J463">IFERROR(INDEX(Data!$I$2:$I$750,SMALL(Data!$S$2:$S$750,357)),"")</f>
        <v>46335</v>
      </c>
      <c r="K463" s="53" t="str">
        <f t="array" ref="K463">IFERROR(INDEX(Data!$J$2:$J$750,SMALL(Data!$S$2:$S$750,357)),"")</f>
        <v>Not Paid</v>
      </c>
      <c r="L463" s="53" t="str">
        <f t="array" ref="L463">IFERROR(INDEX(Data!$K$2:$K$750,SMALL(Data!$S$2:$S$750,357)),"")</f>
        <v>Pending</v>
      </c>
      <c r="M463" s="46" t="s">
        <v>694</v>
      </c>
    </row>
    <row r="464" ht="15.75" customHeight="1">
      <c r="B464" s="56" t="str">
        <f t="array" ref="B464">IFERROR(INDEX(Data!$A$2:$A$750,SMALL(Data!$S$2:$S$750,358)),"")</f>
        <v>Japan University of science and technology</v>
      </c>
      <c r="C464" s="56" t="str">
        <f t="array" ref="C464">IFERROR(IF(INDEX(Data!$B$2:$B$750,SMALL(Data!$S$2:$S$750,358))=0,"",INDEX(Data!$B$2:$B$750,SMALL(Data!$S$2:$S$750,358))),"")</f>
        <v/>
      </c>
      <c r="D464" s="56" t="str">
        <f t="array" ref="D464">IFERROR(INDEX(Data!$C$2:$C$750,SMALL(Data!$S$2:$S$750,358)),"")</f>
        <v>Web paper tags (M730) Blank</v>
      </c>
      <c r="E464" s="56">
        <f t="array" ref="E464">IFERROR(IF(INDEX(Data!$D$2:$D$750,SMALL(Data!$S$2:$S$750,358))=0,"",INDEX(Data!$D$2:$D$750,SMALL(Data!$S$2:$S$750,358))),"")</f>
        <v>5000</v>
      </c>
      <c r="F464" s="57">
        <f t="array" ref="F464">IFERROR(IF(INDEX(Data!$E$2:$E$750,SMALL(Data!$S$2:$S$750,358))=0,"",INDEX(Data!$E$2:$E$750,SMALL(Data!$S$2:$S$750,358))),"")</f>
        <v>5554</v>
      </c>
      <c r="G464" s="57">
        <f t="array" ref="G464">IFERROR(INDEX(Data!$F$2:$F$750,SMALL(Data!$S$2:$S$750,358)),"")</f>
        <v>27770000</v>
      </c>
      <c r="H464" s="58">
        <f t="array" ref="H464">IFERROR(IF(INDEX(Data!$G$2:$G$750,SMALL(Data!$S$2:$S$750,358))=0,"",INDEX(Data!$G$2:$G$750,SMALL(Data!$S$2:$S$750,358))),"")</f>
        <v>46301</v>
      </c>
      <c r="I464" s="56">
        <f t="array" ref="I464">IFERROR(IF(INDEX(Data!$H$2:$H$750,SMALL(Data!$S$2:$S$750,358))=0,"",INDEX(Data!$H$2:$H$750,SMALL(Data!$S$2:$S$750,358))),"")</f>
        <v>2</v>
      </c>
      <c r="J464" s="58">
        <f t="array" ref="J464">IFERROR(INDEX(Data!$I$2:$I$750,SMALL(Data!$S$2:$S$750,358)),"")</f>
        <v>46315</v>
      </c>
      <c r="K464" s="56" t="str">
        <f t="array" ref="K464">IFERROR(INDEX(Data!$J$2:$J$750,SMALL(Data!$S$2:$S$750,358)),"")</f>
        <v>Not Paid</v>
      </c>
      <c r="L464" s="56" t="str">
        <f t="array" ref="L464">IFERROR(INDEX(Data!$K$2:$K$750,SMALL(Data!$S$2:$S$750,358)),"")</f>
        <v>Pending</v>
      </c>
      <c r="M464" s="47" t="s">
        <v>682</v>
      </c>
      <c r="N464" s="47" t="s">
        <v>3</v>
      </c>
    </row>
    <row r="465" ht="15.75" customHeight="1">
      <c r="B465" s="53" t="str">
        <f t="array" ref="B465">IFERROR(INDEX(Data!$A$2:$A$750,SMALL(Data!$S$2:$S$750,359)),"")</f>
        <v>Japan University of science and technology</v>
      </c>
      <c r="C465" s="53" t="str">
        <f t="array" ref="C465">IFERROR(IF(INDEX(Data!$B$2:$B$750,SMALL(Data!$S$2:$S$750,359))=0,"",INDEX(Data!$B$2:$B$750,SMALL(Data!$S$2:$S$750,359))),"")</f>
        <v/>
      </c>
      <c r="D465" s="53" t="str">
        <f t="array" ref="D465">IFERROR(INDEX(Data!$C$2:$C$750,SMALL(Data!$S$2:$S$750,359)),"")</f>
        <v>RFID Industrial Printer CL4NX Plus Kit</v>
      </c>
      <c r="E465" s="53">
        <f t="array" ref="E465">IFERROR(IF(INDEX(Data!$D$2:$D$750,SMALL(Data!$S$2:$S$750,359))=0,"",INDEX(Data!$D$2:$D$750,SMALL(Data!$S$2:$S$750,359))),"")</f>
        <v>1</v>
      </c>
      <c r="F465" s="54">
        <f t="array" ref="F465">IFERROR(IF(INDEX(Data!$E$2:$E$750,SMALL(Data!$S$2:$S$750,359))=0,"",INDEX(Data!$E$2:$E$750,SMALL(Data!$S$2:$S$750,359))),"")</f>
        <v>41</v>
      </c>
      <c r="G465" s="54">
        <f t="array" ref="G465">IFERROR(INDEX(Data!$F$2:$F$750,SMALL(Data!$S$2:$S$750,359)),"")</f>
        <v>41</v>
      </c>
      <c r="H465" s="55">
        <f t="array" ref="H465">IFERROR(IF(INDEX(Data!$G$2:$G$750,SMALL(Data!$S$2:$S$750,359))=0,"",INDEX(Data!$G$2:$G$750,SMALL(Data!$S$2:$S$750,359))),"")</f>
        <v>46302</v>
      </c>
      <c r="I465" s="53">
        <f t="array" ref="I465">IFERROR(IF(INDEX(Data!$H$2:$H$750,SMALL(Data!$S$2:$S$750,359))=0,"",INDEX(Data!$H$2:$H$750,SMALL(Data!$S$2:$S$750,359))),"")</f>
        <v>4</v>
      </c>
      <c r="J465" s="55">
        <f t="array" ref="J465">IFERROR(INDEX(Data!$I$2:$I$750,SMALL(Data!$S$2:$S$750,359)),"")</f>
        <v>46330</v>
      </c>
      <c r="K465" s="53" t="str">
        <f t="array" ref="K465">IFERROR(INDEX(Data!$J$2:$J$750,SMALL(Data!$S$2:$S$750,359)),"")</f>
        <v>Not Paid</v>
      </c>
      <c r="L465" s="53" t="str">
        <f t="array" ref="L465">IFERROR(INDEX(Data!$K$2:$K$750,SMALL(Data!$S$2:$S$750,359)),"")</f>
        <v>Pending</v>
      </c>
      <c r="M465" s="48" t="s">
        <v>25</v>
      </c>
      <c r="N465" s="48">
        <f>SUMIFS(Data!D2:D750,Data!J2:J750,M465,Data!R2:R750,1)</f>
        <v>1232438</v>
      </c>
    </row>
    <row r="466" ht="15.75" customHeight="1">
      <c r="B466" s="56" t="str">
        <f t="array" ref="B466">IFERROR(INDEX(Data!$A$2:$A$750,SMALL(Data!$S$2:$S$750,360)),"")</f>
        <v>Japan University of science and technology</v>
      </c>
      <c r="C466" s="56" t="str">
        <f t="array" ref="C466">IFERROR(IF(INDEX(Data!$B$2:$B$750,SMALL(Data!$S$2:$S$750,360))=0,"",INDEX(Data!$B$2:$B$750,SMALL(Data!$S$2:$S$750,360))),"")</f>
        <v/>
      </c>
      <c r="D466" s="56" t="str">
        <f t="array" ref="D466">IFERROR(INDEX(Data!$C$2:$C$750,SMALL(Data!$S$2:$S$750,360)),"")</f>
        <v>Ribbons for SATO Industrial Printer</v>
      </c>
      <c r="E466" s="56">
        <f t="array" ref="E466">IFERROR(IF(INDEX(Data!$D$2:$D$750,SMALL(Data!$S$2:$S$750,360))=0,"",INDEX(Data!$D$2:$D$750,SMALL(Data!$S$2:$S$750,360))),"")</f>
        <v>10</v>
      </c>
      <c r="F466" s="57">
        <f t="array" ref="F466">IFERROR(IF(INDEX(Data!$E$2:$E$750,SMALL(Data!$S$2:$S$750,360))=0,"",INDEX(Data!$E$2:$E$750,SMALL(Data!$S$2:$S$750,360))),"")</f>
        <v>231</v>
      </c>
      <c r="G466" s="57">
        <f t="array" ref="G466">IFERROR(INDEX(Data!$F$2:$F$750,SMALL(Data!$S$2:$S$750,360)),"")</f>
        <v>2310</v>
      </c>
      <c r="H466" s="58">
        <f t="array" ref="H466">IFERROR(IF(INDEX(Data!$G$2:$G$750,SMALL(Data!$S$2:$S$750,360))=0,"",INDEX(Data!$G$2:$G$750,SMALL(Data!$S$2:$S$750,360))),"")</f>
        <v>46303</v>
      </c>
      <c r="I466" s="56">
        <f t="array" ref="I466">IFERROR(IF(INDEX(Data!$H$2:$H$750,SMALL(Data!$S$2:$S$750,360))=0,"",INDEX(Data!$H$2:$H$750,SMALL(Data!$S$2:$S$750,360))),"")</f>
        <v>3</v>
      </c>
      <c r="J466" s="58">
        <f t="array" ref="J466">IFERROR(INDEX(Data!$I$2:$I$750,SMALL(Data!$S$2:$S$750,360)),"")</f>
        <v>46324</v>
      </c>
      <c r="K466" s="56" t="str">
        <f t="array" ref="K466">IFERROR(INDEX(Data!$J$2:$J$750,SMALL(Data!$S$2:$S$750,360)),"")</f>
        <v>Not Paid</v>
      </c>
      <c r="L466" s="56" t="str">
        <f t="array" ref="L466">IFERROR(INDEX(Data!$K$2:$K$750,SMALL(Data!$S$2:$S$750,360)),"")</f>
        <v>Pending</v>
      </c>
      <c r="M466" s="48" t="s">
        <v>695</v>
      </c>
      <c r="N466" s="48">
        <f>SUMIFS(Data!D2:D750,Data!J2:J750,M466,Data!R2:R750,1)</f>
        <v>0</v>
      </c>
    </row>
    <row r="467" ht="15.75" customHeight="1">
      <c r="B467" s="53" t="str">
        <f t="array" ref="B467">IFERROR(INDEX(Data!$A$2:$A$750,SMALL(Data!$S$2:$S$750,361)),"")</f>
        <v>Japan University of science and technology</v>
      </c>
      <c r="C467" s="53" t="str">
        <f t="array" ref="C467">IFERROR(IF(INDEX(Data!$B$2:$B$750,SMALL(Data!$S$2:$S$750,361))=0,"",INDEX(Data!$B$2:$B$750,SMALL(Data!$S$2:$S$750,361))),"")</f>
        <v/>
      </c>
      <c r="D467" s="53" t="str">
        <f t="array" ref="D467">IFERROR(INDEX(Data!$C$2:$C$750,SMALL(Data!$S$2:$S$750,361)),"")</f>
        <v>UHF- printed</v>
      </c>
      <c r="E467" s="53">
        <f t="array" ref="E467">IFERROR(IF(INDEX(Data!$D$2:$D$750,SMALL(Data!$S$2:$S$750,361))=0,"",INDEX(Data!$D$2:$D$750,SMALL(Data!$S$2:$S$750,361))),"")</f>
        <v>1000</v>
      </c>
      <c r="F467" s="54">
        <f t="array" ref="F467">IFERROR(IF(INDEX(Data!$E$2:$E$750,SMALL(Data!$S$2:$S$750,361))=0,"",INDEX(Data!$E$2:$E$750,SMALL(Data!$S$2:$S$750,361))),"")</f>
        <v>25</v>
      </c>
      <c r="G467" s="54">
        <f t="array" ref="G467">IFERROR(INDEX(Data!$F$2:$F$750,SMALL(Data!$S$2:$S$750,361)),"")</f>
        <v>25000</v>
      </c>
      <c r="H467" s="55">
        <f t="array" ref="H467">IFERROR(IF(INDEX(Data!$G$2:$G$750,SMALL(Data!$S$2:$S$750,361))=0,"",INDEX(Data!$G$2:$G$750,SMALL(Data!$S$2:$S$750,361))),"")</f>
        <v>46304</v>
      </c>
      <c r="I467" s="53">
        <f t="array" ref="I467">IFERROR(IF(INDEX(Data!$H$2:$H$750,SMALL(Data!$S$2:$S$750,361))=0,"",INDEX(Data!$H$2:$H$750,SMALL(Data!$S$2:$S$750,361))),"")</f>
        <v>6</v>
      </c>
      <c r="J467" s="55">
        <f t="array" ref="J467">IFERROR(INDEX(Data!$I$2:$I$750,SMALL(Data!$S$2:$S$750,361)),"")</f>
        <v>46346</v>
      </c>
      <c r="K467" s="53" t="str">
        <f t="array" ref="K467">IFERROR(INDEX(Data!$J$2:$J$750,SMALL(Data!$S$2:$S$750,361)),"")</f>
        <v>Not Paid</v>
      </c>
      <c r="L467" s="53" t="str">
        <f t="array" ref="L467">IFERROR(INDEX(Data!$K$2:$K$750,SMALL(Data!$S$2:$S$750,361)),"")</f>
        <v>Pending</v>
      </c>
      <c r="M467" s="48" t="s">
        <v>36</v>
      </c>
      <c r="N467" s="48">
        <f>SUMIFS(Data!D2:D750,Data!J2:J750,M467,Data!R2:R750,1)</f>
        <v>2641</v>
      </c>
    </row>
    <row r="468" ht="15.75" customHeight="1">
      <c r="B468" s="56" t="str">
        <f t="array" ref="B468">IFERROR(INDEX(Data!$A$2:$A$750,SMALL(Data!$S$2:$S$750,362)),"")</f>
        <v>SkyTex Garments</v>
      </c>
      <c r="C468" s="56" t="str">
        <f t="array" ref="C468">IFERROR(IF(INDEX(Data!$B$2:$B$750,SMALL(Data!$S$2:$S$750,362))=0,"",INDEX(Data!$B$2:$B$750,SMALL(Data!$S$2:$S$750,362))),"")</f>
        <v/>
      </c>
      <c r="D468" s="56" t="str">
        <f t="array" ref="D468">IFERROR(INDEX(Data!$C$2:$C$750,SMALL(Data!$S$2:$S$750,362)),"")</f>
        <v>RFID Industrial Printer CL4NX Plus Kit</v>
      </c>
      <c r="E468" s="56">
        <f t="array" ref="E468">IFERROR(IF(INDEX(Data!$D$2:$D$750,SMALL(Data!$S$2:$S$750,362))=0,"",INDEX(Data!$D$2:$D$750,SMALL(Data!$S$2:$S$750,362))),"")</f>
        <v>1</v>
      </c>
      <c r="F468" s="57">
        <f t="array" ref="F468">IFERROR(IF(INDEX(Data!$E$2:$E$750,SMALL(Data!$S$2:$S$750,362))=0,"",INDEX(Data!$E$2:$E$750,SMALL(Data!$S$2:$S$750,362))),"")</f>
        <v>245</v>
      </c>
      <c r="G468" s="57">
        <f t="array" ref="G468">IFERROR(INDEX(Data!$F$2:$F$750,SMALL(Data!$S$2:$S$750,362)),"")</f>
        <v>245</v>
      </c>
      <c r="H468" s="58">
        <f t="array" ref="H468">IFERROR(IF(INDEX(Data!$G$2:$G$750,SMALL(Data!$S$2:$S$750,362))=0,"",INDEX(Data!$G$2:$G$750,SMALL(Data!$S$2:$S$750,362))),"")</f>
        <v>46305</v>
      </c>
      <c r="I468" s="56">
        <f t="array" ref="I468">IFERROR(IF(INDEX(Data!$H$2:$H$750,SMALL(Data!$S$2:$S$750,362))=0,"",INDEX(Data!$H$2:$H$750,SMALL(Data!$S$2:$S$750,362))),"")</f>
        <v>22</v>
      </c>
      <c r="J468" s="58">
        <f t="array" ref="J468">IFERROR(INDEX(Data!$I$2:$I$750,SMALL(Data!$S$2:$S$750,362)),"")</f>
        <v>46459</v>
      </c>
      <c r="K468" s="56" t="str">
        <f t="array" ref="K468">IFERROR(INDEX(Data!$J$2:$J$750,SMALL(Data!$S$2:$S$750,362)),"")</f>
        <v>Not Paid</v>
      </c>
      <c r="L468" s="56" t="str">
        <f t="array" ref="L468">IFERROR(INDEX(Data!$K$2:$K$750,SMALL(Data!$S$2:$S$750,362)),"")</f>
        <v>Pending</v>
      </c>
    </row>
    <row r="469" ht="15.75" customHeight="1">
      <c r="B469" s="53" t="str">
        <f t="array" ref="B469">IFERROR(INDEX(Data!$A$2:$A$750,SMALL(Data!$S$2:$S$750,363)),"")</f>
        <v>SkyTex Garments</v>
      </c>
      <c r="C469" s="53" t="str">
        <f t="array" ref="C469">IFERROR(IF(INDEX(Data!$B$2:$B$750,SMALL(Data!$S$2:$S$750,363))=0,"",INDEX(Data!$B$2:$B$750,SMALL(Data!$S$2:$S$750,363))),"")</f>
        <v/>
      </c>
      <c r="D469" s="53" t="str">
        <f t="array" ref="D469">IFERROR(INDEX(Data!$C$2:$C$750,SMALL(Data!$S$2:$S$750,363)),"")</f>
        <v>Ribbons for SATO Industrial Printer</v>
      </c>
      <c r="E469" s="53">
        <f t="array" ref="E469">IFERROR(IF(INDEX(Data!$D$2:$D$750,SMALL(Data!$S$2:$S$750,363))=0,"",INDEX(Data!$D$2:$D$750,SMALL(Data!$S$2:$S$750,363))),"")</f>
        <v>10</v>
      </c>
      <c r="F469" s="54">
        <f t="array" ref="F469">IFERROR(IF(INDEX(Data!$E$2:$E$750,SMALL(Data!$S$2:$S$750,363))=0,"",INDEX(Data!$E$2:$E$750,SMALL(Data!$S$2:$S$750,363))),"")</f>
        <v>2555</v>
      </c>
      <c r="G469" s="54">
        <f t="array" ref="G469">IFERROR(INDEX(Data!$F$2:$F$750,SMALL(Data!$S$2:$S$750,363)),"")</f>
        <v>25550</v>
      </c>
      <c r="H469" s="55">
        <f t="array" ref="H469">IFERROR(IF(INDEX(Data!$G$2:$G$750,SMALL(Data!$S$2:$S$750,363))=0,"",INDEX(Data!$G$2:$G$750,SMALL(Data!$S$2:$S$750,363))),"")</f>
        <v>46306</v>
      </c>
      <c r="I469" s="53">
        <f t="array" ref="I469">IFERROR(IF(INDEX(Data!$H$2:$H$750,SMALL(Data!$S$2:$S$750,363))=0,"",INDEX(Data!$H$2:$H$750,SMALL(Data!$S$2:$S$750,363))),"")</f>
        <v>24</v>
      </c>
      <c r="J469" s="55">
        <f t="array" ref="J469">IFERROR(INDEX(Data!$I$2:$I$750,SMALL(Data!$S$2:$S$750,363)),"")</f>
        <v>46474</v>
      </c>
      <c r="K469" s="53" t="str">
        <f t="array" ref="K469">IFERROR(INDEX(Data!$J$2:$J$750,SMALL(Data!$S$2:$S$750,363)),"")</f>
        <v>Not Paid</v>
      </c>
      <c r="L469" s="53" t="str">
        <f t="array" ref="L469">IFERROR(INDEX(Data!$K$2:$K$750,SMALL(Data!$S$2:$S$750,363)),"")</f>
        <v>Pending</v>
      </c>
      <c r="M469" s="46" t="s">
        <v>696</v>
      </c>
    </row>
    <row r="470" ht="15.75" customHeight="1">
      <c r="B470" s="56" t="str">
        <f t="array" ref="B470">IFERROR(INDEX(Data!$A$2:$A$750,SMALL(Data!$S$2:$S$750,364)),"")</f>
        <v>Obour Institute</v>
      </c>
      <c r="C470" s="56" t="str">
        <f t="array" ref="C470">IFERROR(IF(INDEX(Data!$B$2:$B$750,SMALL(Data!$S$2:$S$750,364))=0,"",INDEX(Data!$B$2:$B$750,SMALL(Data!$S$2:$S$750,364))),"")</f>
        <v/>
      </c>
      <c r="D470" s="56" t="str">
        <f t="array" ref="D470">IFERROR(INDEX(Data!$C$2:$C$750,SMALL(Data!$S$2:$S$750,364)),"")</f>
        <v>Optical Flap Turnstile DS312 - Daosafe</v>
      </c>
      <c r="E470" s="56">
        <f t="array" ref="E470">IFERROR(IF(INDEX(Data!$D$2:$D$750,SMALL(Data!$S$2:$S$750,364))=0,"",INDEX(Data!$D$2:$D$750,SMALL(Data!$S$2:$S$750,364))),"")</f>
        <v>1</v>
      </c>
      <c r="F470" s="57">
        <f t="array" ref="F470">IFERROR(IF(INDEX(Data!$E$2:$E$750,SMALL(Data!$S$2:$S$750,364))=0,"",INDEX(Data!$E$2:$E$750,SMALL(Data!$S$2:$S$750,364))),"")</f>
        <v>255</v>
      </c>
      <c r="G470" s="57">
        <f t="array" ref="G470">IFERROR(INDEX(Data!$F$2:$F$750,SMALL(Data!$S$2:$S$750,364)),"")</f>
        <v>255</v>
      </c>
      <c r="H470" s="58">
        <f t="array" ref="H470">IFERROR(IF(INDEX(Data!$G$2:$G$750,SMALL(Data!$S$2:$S$750,364))=0,"",INDEX(Data!$G$2:$G$750,SMALL(Data!$S$2:$S$750,364))),"")</f>
        <v>46307</v>
      </c>
      <c r="I470" s="56">
        <f t="array" ref="I470">IFERROR(IF(INDEX(Data!$H$2:$H$750,SMALL(Data!$S$2:$S$750,364))=0,"",INDEX(Data!$H$2:$H$750,SMALL(Data!$S$2:$S$750,364))),"")</f>
        <v>24</v>
      </c>
      <c r="J470" s="58">
        <f t="array" ref="J470">IFERROR(INDEX(Data!$I$2:$I$750,SMALL(Data!$S$2:$S$750,364)),"")</f>
        <v>46475</v>
      </c>
      <c r="K470" s="56" t="str">
        <f t="array" ref="K470">IFERROR(INDEX(Data!$J$2:$J$750,SMALL(Data!$S$2:$S$750,364)),"")</f>
        <v>Not Paid</v>
      </c>
      <c r="L470" s="56" t="str">
        <f t="array" ref="L470">IFERROR(INDEX(Data!$K$2:$K$750,SMALL(Data!$S$2:$S$750,364)),"")</f>
        <v>Pending</v>
      </c>
      <c r="M470" s="47" t="s">
        <v>682</v>
      </c>
      <c r="N470" s="47" t="s">
        <v>3</v>
      </c>
    </row>
    <row r="471" ht="15.75" customHeight="1">
      <c r="B471" s="53" t="str">
        <f t="array" ref="B471">IFERROR(INDEX(Data!$A$2:$A$750,SMALL(Data!$S$2:$S$750,365)),"")</f>
        <v>Pharma Overseas</v>
      </c>
      <c r="C471" s="53" t="str">
        <f t="array" ref="C471">IFERROR(IF(INDEX(Data!$B$2:$B$750,SMALL(Data!$S$2:$S$750,365))=0,"",INDEX(Data!$B$2:$B$750,SMALL(Data!$S$2:$S$750,365))),"")</f>
        <v/>
      </c>
      <c r="D471" s="53" t="str">
        <f t="array" ref="D471">IFERROR(INDEX(Data!$C$2:$C$750,SMALL(Data!$S$2:$S$750,365)),"")</f>
        <v>RCO-7012 - Blank</v>
      </c>
      <c r="E471" s="53">
        <f t="array" ref="E471">IFERROR(IF(INDEX(Data!$D$2:$D$750,SMALL(Data!$S$2:$S$750,365))=0,"",INDEX(Data!$D$2:$D$750,SMALL(Data!$S$2:$S$750,365))),"")</f>
        <v>10000</v>
      </c>
      <c r="F471" s="54">
        <f t="array" ref="F471">IFERROR(IF(INDEX(Data!$E$2:$E$750,SMALL(Data!$S$2:$S$750,365))=0,"",INDEX(Data!$E$2:$E$750,SMALL(Data!$S$2:$S$750,365))),"")</f>
        <v>45</v>
      </c>
      <c r="G471" s="54">
        <f t="array" ref="G471">IFERROR(INDEX(Data!$F$2:$F$750,SMALL(Data!$S$2:$S$750,365)),"")</f>
        <v>450000</v>
      </c>
      <c r="H471" s="55">
        <f t="array" ref="H471">IFERROR(IF(INDEX(Data!$G$2:$G$750,SMALL(Data!$S$2:$S$750,365))=0,"",INDEX(Data!$G$2:$G$750,SMALL(Data!$S$2:$S$750,365))),"")</f>
        <v>46308</v>
      </c>
      <c r="I471" s="53">
        <f t="array" ref="I471">IFERROR(IF(INDEX(Data!$H$2:$H$750,SMALL(Data!$S$2:$S$750,365))=0,"",INDEX(Data!$H$2:$H$750,SMALL(Data!$S$2:$S$750,365))),"")</f>
        <v>23</v>
      </c>
      <c r="J471" s="55">
        <f t="array" ref="J471">IFERROR(INDEX(Data!$I$2:$I$750,SMALL(Data!$S$2:$S$750,365)),"")</f>
        <v>46469</v>
      </c>
      <c r="K471" s="53" t="str">
        <f t="array" ref="K471">IFERROR(INDEX(Data!$J$2:$J$750,SMALL(Data!$S$2:$S$750,365)),"")</f>
        <v>Not Paid</v>
      </c>
      <c r="L471" s="53" t="str">
        <f t="array" ref="L471">IFERROR(INDEX(Data!$K$2:$K$750,SMALL(Data!$S$2:$S$750,365)),"")</f>
        <v>Pending</v>
      </c>
      <c r="M471" s="48" t="s">
        <v>22</v>
      </c>
      <c r="N471" s="48">
        <f>SUMIFS(Data!D2:D750,Data!A2:A750,M471,Data!Q2:Q750,1)</f>
        <v>4614</v>
      </c>
      <c r="O471" s="61">
        <f t="shared" ref="O471:O667" si="1">N471+ROW()/100000000</f>
        <v>4614.000005</v>
      </c>
    </row>
    <row r="472" ht="15.75" customHeight="1">
      <c r="B472" s="56" t="str">
        <f t="array" ref="B472">IFERROR(INDEX(Data!$A$2:$A$750,SMALL(Data!$S$2:$S$750,366)),"")</f>
        <v>Hassan Allam Properties (HQ)</v>
      </c>
      <c r="C472" s="56" t="str">
        <f t="array" ref="C472">IFERROR(IF(INDEX(Data!$B$2:$B$750,SMALL(Data!$S$2:$S$750,366))=0,"",INDEX(Data!$B$2:$B$750,SMALL(Data!$S$2:$S$750,366))),"")</f>
        <v/>
      </c>
      <c r="D472" s="56" t="str">
        <f t="array" ref="D472">IFERROR(INDEX(Data!$C$2:$C$750,SMALL(Data!$S$2:$S$750,366)),"")</f>
        <v>HF card- printed</v>
      </c>
      <c r="E472" s="56">
        <f t="array" ref="E472">IFERROR(IF(INDEX(Data!$D$2:$D$750,SMALL(Data!$S$2:$S$750,366))=0,"",INDEX(Data!$D$2:$D$750,SMALL(Data!$S$2:$S$750,366))),"")</f>
        <v>60</v>
      </c>
      <c r="F472" s="57">
        <f t="array" ref="F472">IFERROR(IF(INDEX(Data!$E$2:$E$750,SMALL(Data!$S$2:$S$750,366))=0,"",INDEX(Data!$E$2:$E$750,SMALL(Data!$S$2:$S$750,366))),"")</f>
        <v>36</v>
      </c>
      <c r="G472" s="57">
        <f t="array" ref="G472">IFERROR(INDEX(Data!$F$2:$F$750,SMALL(Data!$S$2:$S$750,366)),"")</f>
        <v>2160</v>
      </c>
      <c r="H472" s="58">
        <f t="array" ref="H472">IFERROR(IF(INDEX(Data!$G$2:$G$750,SMALL(Data!$S$2:$S$750,366))=0,"",INDEX(Data!$G$2:$G$750,SMALL(Data!$S$2:$S$750,366))),"")</f>
        <v>46309</v>
      </c>
      <c r="I472" s="56">
        <f t="array" ref="I472">IFERROR(IF(INDEX(Data!$H$2:$H$750,SMALL(Data!$S$2:$S$750,366))=0,"",INDEX(Data!$H$2:$H$750,SMALL(Data!$S$2:$S$750,366))),"")</f>
        <v>24</v>
      </c>
      <c r="J472" s="58">
        <f t="array" ref="J472">IFERROR(INDEX(Data!$I$2:$I$750,SMALL(Data!$S$2:$S$750,366)),"")</f>
        <v>46477</v>
      </c>
      <c r="K472" s="56" t="str">
        <f t="array" ref="K472">IFERROR(INDEX(Data!$J$2:$J$750,SMALL(Data!$S$2:$S$750,366)),"")</f>
        <v>Not Paid</v>
      </c>
      <c r="L472" s="56" t="str">
        <f t="array" ref="L472">IFERROR(INDEX(Data!$K$2:$K$750,SMALL(Data!$S$2:$S$750,366)),"")</f>
        <v>Pending</v>
      </c>
      <c r="M472" s="48" t="s">
        <v>38</v>
      </c>
      <c r="N472" s="48">
        <f>SUMIFS(Data!D2:D750,Data!A2:A750,M472,Data!Q2:Q750,1)</f>
        <v>45050</v>
      </c>
      <c r="O472" s="61">
        <f t="shared" si="1"/>
        <v>45050</v>
      </c>
    </row>
    <row r="473" ht="15.75" customHeight="1">
      <c r="B473" s="53" t="str">
        <f t="array" ref="B473">IFERROR(INDEX(Data!$A$2:$A$750,SMALL(Data!$S$2:$S$750,367)),"")</f>
        <v>Hassan Allam Properties (HQ)</v>
      </c>
      <c r="C473" s="53" t="str">
        <f t="array" ref="C473">IFERROR(IF(INDEX(Data!$B$2:$B$750,SMALL(Data!$S$2:$S$750,367))=0,"",INDEX(Data!$B$2:$B$750,SMALL(Data!$S$2:$S$750,367))),"")</f>
        <v/>
      </c>
      <c r="D473" s="53" t="str">
        <f t="array" ref="D473">IFERROR(INDEX(Data!$C$2:$C$750,SMALL(Data!$S$2:$S$750,367)),"")</f>
        <v>Push button</v>
      </c>
      <c r="E473" s="53">
        <f t="array" ref="E473">IFERROR(IF(INDEX(Data!$D$2:$D$750,SMALL(Data!$S$2:$S$750,367))=0,"",INDEX(Data!$D$2:$D$750,SMALL(Data!$S$2:$S$750,367))),"")</f>
        <v>3</v>
      </c>
      <c r="F473" s="54">
        <f t="array" ref="F473">IFERROR(IF(INDEX(Data!$E$2:$E$750,SMALL(Data!$S$2:$S$750,367))=0,"",INDEX(Data!$E$2:$E$750,SMALL(Data!$S$2:$S$750,367))),"")</f>
        <v>96</v>
      </c>
      <c r="G473" s="54">
        <f t="array" ref="G473">IFERROR(INDEX(Data!$F$2:$F$750,SMALL(Data!$S$2:$S$750,367)),"")</f>
        <v>288</v>
      </c>
      <c r="H473" s="55">
        <f t="array" ref="H473">IFERROR(IF(INDEX(Data!$G$2:$G$750,SMALL(Data!$S$2:$S$750,367))=0,"",INDEX(Data!$G$2:$G$750,SMALL(Data!$S$2:$S$750,367))),"")</f>
        <v>46310</v>
      </c>
      <c r="I473" s="53">
        <f t="array" ref="I473">IFERROR(IF(INDEX(Data!$H$2:$H$750,SMALL(Data!$S$2:$S$750,367))=0,"",INDEX(Data!$H$2:$H$750,SMALL(Data!$S$2:$S$750,367))),"")</f>
        <v>23</v>
      </c>
      <c r="J473" s="55">
        <f t="array" ref="J473">IFERROR(INDEX(Data!$I$2:$I$750,SMALL(Data!$S$2:$S$750,367)),"")</f>
        <v>46471</v>
      </c>
      <c r="K473" s="53" t="str">
        <f t="array" ref="K473">IFERROR(INDEX(Data!$J$2:$J$750,SMALL(Data!$S$2:$S$750,367)),"")</f>
        <v>Not Paid</v>
      </c>
      <c r="L473" s="53" t="str">
        <f t="array" ref="L473">IFERROR(INDEX(Data!$K$2:$K$750,SMALL(Data!$S$2:$S$750,367)),"")</f>
        <v>Pending</v>
      </c>
      <c r="M473" s="48" t="s">
        <v>43</v>
      </c>
      <c r="N473" s="48">
        <f>SUMIFS(Data!D2:D750,Data!A2:A750,M473,Data!Q2:Q750,1)</f>
        <v>22209</v>
      </c>
      <c r="O473" s="61">
        <f t="shared" si="1"/>
        <v>22209</v>
      </c>
    </row>
    <row r="474" ht="15.75" customHeight="1">
      <c r="B474" s="56" t="str">
        <f t="array" ref="B474">IFERROR(INDEX(Data!$A$2:$A$750,SMALL(Data!$S$2:$S$750,368)),"")</f>
        <v>Tanmeya</v>
      </c>
      <c r="C474" s="56" t="str">
        <f t="array" ref="C474">IFERROR(IF(INDEX(Data!$B$2:$B$750,SMALL(Data!$S$2:$S$750,368))=0,"",INDEX(Data!$B$2:$B$750,SMALL(Data!$S$2:$S$750,368))),"")</f>
        <v/>
      </c>
      <c r="D474" s="56" t="str">
        <f t="array" ref="D474">IFERROR(INDEX(Data!$C$2:$C$750,SMALL(Data!$S$2:$S$750,368)),"")</f>
        <v>Dogbone-printed&amp; encoded</v>
      </c>
      <c r="E474" s="56">
        <f t="array" ref="E474">IFERROR(IF(INDEX(Data!$D$2:$D$750,SMALL(Data!$S$2:$S$750,368))=0,"",INDEX(Data!$D$2:$D$750,SMALL(Data!$S$2:$S$750,368))),"")</f>
        <v>5000</v>
      </c>
      <c r="F474" s="57">
        <f t="array" ref="F474">IFERROR(IF(INDEX(Data!$E$2:$E$750,SMALL(Data!$S$2:$S$750,368))=0,"",INDEX(Data!$E$2:$E$750,SMALL(Data!$S$2:$S$750,368))),"")</f>
        <v>8</v>
      </c>
      <c r="G474" s="57">
        <f t="array" ref="G474">IFERROR(INDEX(Data!$F$2:$F$750,SMALL(Data!$S$2:$S$750,368)),"")</f>
        <v>40000</v>
      </c>
      <c r="H474" s="58">
        <f t="array" ref="H474">IFERROR(IF(INDEX(Data!$G$2:$G$750,SMALL(Data!$S$2:$S$750,368))=0,"",INDEX(Data!$G$2:$G$750,SMALL(Data!$S$2:$S$750,368))),"")</f>
        <v>46311</v>
      </c>
      <c r="I474" s="56">
        <f t="array" ref="I474">IFERROR(IF(INDEX(Data!$H$2:$H$750,SMALL(Data!$S$2:$S$750,368))=0,"",INDEX(Data!$H$2:$H$750,SMALL(Data!$S$2:$S$750,368))),"")</f>
        <v>24</v>
      </c>
      <c r="J474" s="58">
        <f t="array" ref="J474">IFERROR(INDEX(Data!$I$2:$I$750,SMALL(Data!$S$2:$S$750,368)),"")</f>
        <v>46479</v>
      </c>
      <c r="K474" s="56" t="str">
        <f t="array" ref="K474">IFERROR(INDEX(Data!$J$2:$J$750,SMALL(Data!$S$2:$S$750,368)),"")</f>
        <v>Not Paid</v>
      </c>
      <c r="L474" s="56" t="str">
        <f t="array" ref="L474">IFERROR(INDEX(Data!$K$2:$K$750,SMALL(Data!$S$2:$S$750,368)),"")</f>
        <v>Pending</v>
      </c>
      <c r="M474" s="48" t="s">
        <v>49</v>
      </c>
      <c r="N474" s="48">
        <f>SUMIFS(Data!D2:D750,Data!A2:A750,M474,Data!Q2:Q750,1)</f>
        <v>500</v>
      </c>
      <c r="O474" s="61">
        <f t="shared" si="1"/>
        <v>500.0000047</v>
      </c>
    </row>
    <row r="475" ht="15.75" customHeight="1">
      <c r="B475" s="53" t="str">
        <f t="array" ref="B475">IFERROR(INDEX(Data!$A$2:$A$750,SMALL(Data!$S$2:$S$750,369)),"")</f>
        <v>Tanmeya</v>
      </c>
      <c r="C475" s="53" t="str">
        <f t="array" ref="C475">IFERROR(IF(INDEX(Data!$B$2:$B$750,SMALL(Data!$S$2:$S$750,369))=0,"",INDEX(Data!$B$2:$B$750,SMALL(Data!$S$2:$S$750,369))),"")</f>
        <v/>
      </c>
      <c r="D475" s="53" t="str">
        <f t="array" ref="D475">IFERROR(INDEX(Data!$C$2:$C$750,SMALL(Data!$S$2:$S$750,369)),"")</f>
        <v>RCO -7012 printed&amp; encoded</v>
      </c>
      <c r="E475" s="53">
        <f t="array" ref="E475">IFERROR(IF(INDEX(Data!$D$2:$D$750,SMALL(Data!$S$2:$S$750,369))=0,"",INDEX(Data!$D$2:$D$750,SMALL(Data!$S$2:$S$750,369))),"")</f>
        <v>3500</v>
      </c>
      <c r="F475" s="54">
        <f t="array" ref="F475">IFERROR(IF(INDEX(Data!$E$2:$E$750,SMALL(Data!$S$2:$S$750,369))=0,"",INDEX(Data!$E$2:$E$750,SMALL(Data!$S$2:$S$750,369))),"")</f>
        <v>5</v>
      </c>
      <c r="G475" s="54">
        <f t="array" ref="G475">IFERROR(INDEX(Data!$F$2:$F$750,SMALL(Data!$S$2:$S$750,369)),"")</f>
        <v>17500</v>
      </c>
      <c r="H475" s="55">
        <f t="array" ref="H475">IFERROR(IF(INDEX(Data!$G$2:$G$750,SMALL(Data!$S$2:$S$750,369))=0,"",INDEX(Data!$G$2:$G$750,SMALL(Data!$S$2:$S$750,369))),"")</f>
        <v>46312</v>
      </c>
      <c r="I475" s="53">
        <f t="array" ref="I475">IFERROR(IF(INDEX(Data!$H$2:$H$750,SMALL(Data!$S$2:$S$750,369))=0,"",INDEX(Data!$H$2:$H$750,SMALL(Data!$S$2:$S$750,369))),"")</f>
        <v>24</v>
      </c>
      <c r="J475" s="55">
        <f t="array" ref="J475">IFERROR(INDEX(Data!$I$2:$I$750,SMALL(Data!$S$2:$S$750,369)),"")</f>
        <v>46480</v>
      </c>
      <c r="K475" s="53" t="str">
        <f t="array" ref="K475">IFERROR(INDEX(Data!$J$2:$J$750,SMALL(Data!$S$2:$S$750,369)),"")</f>
        <v>Not Paid</v>
      </c>
      <c r="L475" s="53" t="str">
        <f t="array" ref="L475">IFERROR(INDEX(Data!$K$2:$K$750,SMALL(Data!$S$2:$S$750,369)),"")</f>
        <v>Pending</v>
      </c>
      <c r="M475" s="48" t="s">
        <v>53</v>
      </c>
      <c r="N475" s="48">
        <f>SUMIFS(Data!D2:D750,Data!A2:A750,M475,Data!Q2:Q750,1)</f>
        <v>5000</v>
      </c>
      <c r="O475" s="61">
        <f t="shared" si="1"/>
        <v>5000.000005</v>
      </c>
    </row>
    <row r="476" ht="15.75" customHeight="1">
      <c r="B476" s="56" t="str">
        <f t="array" ref="B476">IFERROR(INDEX(Data!$A$2:$A$750,SMALL(Data!$S$2:$S$750,370)),"")</f>
        <v>CACC(CARGOLINX)</v>
      </c>
      <c r="C476" s="56" t="str">
        <f t="array" ref="C476">IFERROR(IF(INDEX(Data!$B$2:$B$750,SMALL(Data!$S$2:$S$750,370))=0,"",INDEX(Data!$B$2:$B$750,SMALL(Data!$S$2:$S$750,370))),"")</f>
        <v/>
      </c>
      <c r="D476" s="56" t="str">
        <f t="array" ref="D476">IFERROR(INDEX(Data!$C$2:$C$750,SMALL(Data!$S$2:$S$750,370)),"")</f>
        <v>Barcode label (10 * 2 cm) - Blank</v>
      </c>
      <c r="E476" s="56">
        <f t="array" ref="E476">IFERROR(IF(INDEX(Data!$D$2:$D$750,SMALL(Data!$S$2:$S$750,370))=0,"",INDEX(Data!$D$2:$D$750,SMALL(Data!$S$2:$S$750,370))),"")</f>
        <v>60000</v>
      </c>
      <c r="F476" s="57">
        <f t="array" ref="F476">IFERROR(IF(INDEX(Data!$E$2:$E$750,SMALL(Data!$S$2:$S$750,370))=0,"",INDEX(Data!$E$2:$E$750,SMALL(Data!$S$2:$S$750,370))),"")</f>
        <v>4</v>
      </c>
      <c r="G476" s="57">
        <f t="array" ref="G476">IFERROR(INDEX(Data!$F$2:$F$750,SMALL(Data!$S$2:$S$750,370)),"")</f>
        <v>240000</v>
      </c>
      <c r="H476" s="58">
        <f t="array" ref="H476">IFERROR(IF(INDEX(Data!$G$2:$G$750,SMALL(Data!$S$2:$S$750,370))=0,"",INDEX(Data!$G$2:$G$750,SMALL(Data!$S$2:$S$750,370))),"")</f>
        <v>46313</v>
      </c>
      <c r="I476" s="56">
        <f t="array" ref="I476">IFERROR(IF(INDEX(Data!$H$2:$H$750,SMALL(Data!$S$2:$S$750,370))=0,"",INDEX(Data!$H$2:$H$750,SMALL(Data!$S$2:$S$750,370))),"")</f>
        <v>24</v>
      </c>
      <c r="J476" s="58">
        <f t="array" ref="J476">IFERROR(INDEX(Data!$I$2:$I$750,SMALL(Data!$S$2:$S$750,370)),"")</f>
        <v>46481</v>
      </c>
      <c r="K476" s="56" t="str">
        <f t="array" ref="K476">IFERROR(INDEX(Data!$J$2:$J$750,SMALL(Data!$S$2:$S$750,370)),"")</f>
        <v>Not Paid</v>
      </c>
      <c r="L476" s="56" t="str">
        <f t="array" ref="L476">IFERROR(INDEX(Data!$K$2:$K$750,SMALL(Data!$S$2:$S$750,370)),"")</f>
        <v>Pending</v>
      </c>
      <c r="M476" s="48" t="s">
        <v>58</v>
      </c>
      <c r="N476" s="48">
        <f>SUMIFS(Data!D2:D750,Data!A2:A750,M476,Data!Q2:Q750,1)</f>
        <v>53</v>
      </c>
      <c r="O476" s="61">
        <f t="shared" si="1"/>
        <v>53.00000476</v>
      </c>
    </row>
    <row r="477" ht="15.75" customHeight="1">
      <c r="B477" s="53" t="str">
        <f t="array" ref="B477">IFERROR(INDEX(Data!$A$2:$A$750,SMALL(Data!$S$2:$S$750,371)),"")</f>
        <v>CACC(CARGOLINX)</v>
      </c>
      <c r="C477" s="53" t="str">
        <f t="array" ref="C477">IFERROR(IF(INDEX(Data!$B$2:$B$750,SMALL(Data!$S$2:$S$750,371))=0,"",INDEX(Data!$B$2:$B$750,SMALL(Data!$S$2:$S$750,371))),"")</f>
        <v/>
      </c>
      <c r="D477" s="53" t="str">
        <f t="array" ref="D477">IFERROR(INDEX(Data!$C$2:$C$750,SMALL(Data!$S$2:$S$750,371)),"")</f>
        <v>Ribbons for the printer(R333A) 110mm x 74m</v>
      </c>
      <c r="E477" s="53">
        <f t="array" ref="E477">IFERROR(IF(INDEX(Data!$D$2:$D$750,SMALL(Data!$S$2:$S$750,371))=0,"",INDEX(Data!$D$2:$D$750,SMALL(Data!$S$2:$S$750,371))),"")</f>
        <v>19</v>
      </c>
      <c r="F477" s="54">
        <f t="array" ref="F477">IFERROR(IF(INDEX(Data!$E$2:$E$750,SMALL(Data!$S$2:$S$750,371))=0,"",INDEX(Data!$E$2:$E$750,SMALL(Data!$S$2:$S$750,371))),"")</f>
        <v>2</v>
      </c>
      <c r="G477" s="54">
        <f t="array" ref="G477">IFERROR(INDEX(Data!$F$2:$F$750,SMALL(Data!$S$2:$S$750,371)),"")</f>
        <v>38</v>
      </c>
      <c r="H477" s="55">
        <f t="array" ref="H477">IFERROR(IF(INDEX(Data!$G$2:$G$750,SMALL(Data!$S$2:$S$750,371))=0,"",INDEX(Data!$G$2:$G$750,SMALL(Data!$S$2:$S$750,371))),"")</f>
        <v>46314</v>
      </c>
      <c r="I477" s="53">
        <f t="array" ref="I477">IFERROR(IF(INDEX(Data!$H$2:$H$750,SMALL(Data!$S$2:$S$750,371))=0,"",INDEX(Data!$H$2:$H$750,SMALL(Data!$S$2:$S$750,371))),"")</f>
        <v>24</v>
      </c>
      <c r="J477" s="55">
        <f t="array" ref="J477">IFERROR(INDEX(Data!$I$2:$I$750,SMALL(Data!$S$2:$S$750,371)),"")</f>
        <v>46482</v>
      </c>
      <c r="K477" s="53" t="str">
        <f t="array" ref="K477">IFERROR(INDEX(Data!$J$2:$J$750,SMALL(Data!$S$2:$S$750,371)),"")</f>
        <v>Not Paid</v>
      </c>
      <c r="L477" s="53" t="str">
        <f t="array" ref="L477">IFERROR(INDEX(Data!$K$2:$K$750,SMALL(Data!$S$2:$S$750,371)),"")</f>
        <v>Pending</v>
      </c>
      <c r="M477" s="62" t="s">
        <v>61</v>
      </c>
      <c r="N477" s="48">
        <f>SUMIFS(Data!D2:D750,Data!A2:A750,M477,Data!Q2:Q750,1)</f>
        <v>25046</v>
      </c>
      <c r="O477" s="61">
        <f t="shared" si="1"/>
        <v>25046</v>
      </c>
    </row>
    <row r="478" ht="15.75" customHeight="1">
      <c r="B478" s="56" t="str">
        <f t="array" ref="B478">IFERROR(INDEX(Data!$A$2:$A$750,SMALL(Data!$S$2:$S$750,372)),"")</f>
        <v>1920- Hardrock Cafe Egypt</v>
      </c>
      <c r="C478" s="56" t="str">
        <f t="array" ref="C478">IFERROR(IF(INDEX(Data!$B$2:$B$750,SMALL(Data!$S$2:$S$750,372))=0,"",INDEX(Data!$B$2:$B$750,SMALL(Data!$S$2:$S$750,372))),"")</f>
        <v/>
      </c>
      <c r="D478" s="56" t="str">
        <f t="array" ref="D478">IFERROR(INDEX(Data!$C$2:$C$750,SMALL(Data!$S$2:$S$750,372)),"")</f>
        <v>[WWFX31243] FX3-LX SATO Food Printer</v>
      </c>
      <c r="E478" s="56">
        <f t="array" ref="E478">IFERROR(IF(INDEX(Data!$D$2:$D$750,SMALL(Data!$S$2:$S$750,372))=0,"",INDEX(Data!$D$2:$D$750,SMALL(Data!$S$2:$S$750,372))),"")</f>
        <v>2</v>
      </c>
      <c r="F478" s="57">
        <f t="array" ref="F478">IFERROR(IF(INDEX(Data!$E$2:$E$750,SMALL(Data!$S$2:$S$750,372))=0,"",INDEX(Data!$E$2:$E$750,SMALL(Data!$S$2:$S$750,372))),"")</f>
        <v>36</v>
      </c>
      <c r="G478" s="57">
        <f t="array" ref="G478">IFERROR(INDEX(Data!$F$2:$F$750,SMALL(Data!$S$2:$S$750,372)),"")</f>
        <v>72</v>
      </c>
      <c r="H478" s="58">
        <f t="array" ref="H478">IFERROR(IF(INDEX(Data!$G$2:$G$750,SMALL(Data!$S$2:$S$750,372))=0,"",INDEX(Data!$G$2:$G$750,SMALL(Data!$S$2:$S$750,372))),"")</f>
        <v>46315</v>
      </c>
      <c r="I478" s="56">
        <f t="array" ref="I478">IFERROR(IF(INDEX(Data!$H$2:$H$750,SMALL(Data!$S$2:$S$750,372))=0,"",INDEX(Data!$H$2:$H$750,SMALL(Data!$S$2:$S$750,372))),"")</f>
        <v>23</v>
      </c>
      <c r="J478" s="58">
        <f t="array" ref="J478">IFERROR(INDEX(Data!$I$2:$I$750,SMALL(Data!$S$2:$S$750,372)),"")</f>
        <v>46476</v>
      </c>
      <c r="K478" s="56" t="str">
        <f t="array" ref="K478">IFERROR(INDEX(Data!$J$2:$J$750,SMALL(Data!$S$2:$S$750,372)),"")</f>
        <v>Not Paid</v>
      </c>
      <c r="L478" s="56" t="str">
        <f t="array" ref="L478">IFERROR(INDEX(Data!$K$2:$K$750,SMALL(Data!$S$2:$S$750,372)),"")</f>
        <v>Pending</v>
      </c>
      <c r="M478" s="48" t="s">
        <v>66</v>
      </c>
      <c r="N478" s="48">
        <f>SUMIFS(Data!D2:D750,Data!A2:A750,M478,Data!Q2:Q750,1)</f>
        <v>2686</v>
      </c>
      <c r="O478" s="61">
        <f t="shared" si="1"/>
        <v>2686.000005</v>
      </c>
    </row>
    <row r="479" ht="15.75" customHeight="1">
      <c r="B479" s="53" t="str">
        <f t="array" ref="B479">IFERROR(INDEX(Data!$A$2:$A$750,SMALL(Data!$S$2:$S$750,373)),"")</f>
        <v>1920- Hardrock Cafe Egypt</v>
      </c>
      <c r="C479" s="53" t="str">
        <f t="array" ref="C479">IFERROR(IF(INDEX(Data!$B$2:$B$750,SMALL(Data!$S$2:$S$750,373))=0,"",INDEX(Data!$B$2:$B$750,SMALL(Data!$S$2:$S$750,373))),"")</f>
        <v/>
      </c>
      <c r="D479" s="59" t="str">
        <f t="array" ref="D479">IFERROR(INDEX(Data!$C$2:$C$750,SMALL(Data!$S$2:$S$750,373)),"")</f>
        <v>SATO DT Film for FX3-LX Printer T1062000011
-Size:  40mm (P) x 40mm (W)
- 500 pcs per roll</v>
      </c>
      <c r="E479" s="53">
        <f t="array" ref="E479">IFERROR(IF(INDEX(Data!$D$2:$D$750,SMALL(Data!$S$2:$S$750,373))=0,"",INDEX(Data!$D$2:$D$750,SMALL(Data!$S$2:$S$750,373))),"")</f>
        <v>120</v>
      </c>
      <c r="F479" s="54">
        <f t="array" ref="F479">IFERROR(IF(INDEX(Data!$E$2:$E$750,SMALL(Data!$S$2:$S$750,373))=0,"",INDEX(Data!$E$2:$E$750,SMALL(Data!$S$2:$S$750,373))),"")</f>
        <v>2</v>
      </c>
      <c r="G479" s="54">
        <f t="array" ref="G479">IFERROR(INDEX(Data!$F$2:$F$750,SMALL(Data!$S$2:$S$750,373)),"")</f>
        <v>240</v>
      </c>
      <c r="H479" s="55">
        <f t="array" ref="H479">IFERROR(IF(INDEX(Data!$G$2:$G$750,SMALL(Data!$S$2:$S$750,373))=0,"",INDEX(Data!$G$2:$G$750,SMALL(Data!$S$2:$S$750,373))),"")</f>
        <v>46316</v>
      </c>
      <c r="I479" s="53">
        <f t="array" ref="I479">IFERROR(IF(INDEX(Data!$H$2:$H$750,SMALL(Data!$S$2:$S$750,373))=0,"",INDEX(Data!$H$2:$H$750,SMALL(Data!$S$2:$S$750,373))),"")</f>
        <v>21</v>
      </c>
      <c r="J479" s="55">
        <f t="array" ref="J479">IFERROR(INDEX(Data!$I$2:$I$750,SMALL(Data!$S$2:$S$750,373)),"")</f>
        <v>46463</v>
      </c>
      <c r="K479" s="53" t="str">
        <f t="array" ref="K479">IFERROR(INDEX(Data!$J$2:$J$750,SMALL(Data!$S$2:$S$750,373)),"")</f>
        <v>Not Paid</v>
      </c>
      <c r="L479" s="53" t="str">
        <f t="array" ref="L479">IFERROR(INDEX(Data!$K$2:$K$750,SMALL(Data!$S$2:$S$750,373)),"")</f>
        <v>Pending</v>
      </c>
      <c r="M479" s="48" t="s">
        <v>70</v>
      </c>
      <c r="N479" s="48">
        <f>SUMIFS(Data!D2:D750,Data!A2:A750,M479,Data!Q2:Q750,1)</f>
        <v>7</v>
      </c>
      <c r="O479" s="61">
        <f t="shared" si="1"/>
        <v>7.00000479</v>
      </c>
    </row>
    <row r="480" ht="15.75" customHeight="1">
      <c r="B480" s="56" t="str">
        <f t="array" ref="B480">IFERROR(INDEX(Data!$A$2:$A$750,SMALL(Data!$S$2:$S$750,374)),"")</f>
        <v>La Hacienda</v>
      </c>
      <c r="C480" s="56" t="str">
        <f t="array" ref="C480">IFERROR(IF(INDEX(Data!$B$2:$B$750,SMALL(Data!$S$2:$S$750,374))=0,"",INDEX(Data!$B$2:$B$750,SMALL(Data!$S$2:$S$750,374))),"")</f>
        <v/>
      </c>
      <c r="D480" s="56" t="str">
        <f t="array" ref="D480">IFERROR(INDEX(Data!$C$2:$C$750,SMALL(Data!$S$2:$S$750,374)),"")</f>
        <v>HF Card Mifare - printed</v>
      </c>
      <c r="E480" s="56">
        <f t="array" ref="E480">IFERROR(IF(INDEX(Data!$D$2:$D$750,SMALL(Data!$S$2:$S$750,374))=0,"",INDEX(Data!$D$2:$D$750,SMALL(Data!$S$2:$S$750,374))),"")</f>
        <v>1500</v>
      </c>
      <c r="F480" s="57">
        <f t="array" ref="F480">IFERROR(IF(INDEX(Data!$E$2:$E$750,SMALL(Data!$S$2:$S$750,374))=0,"",INDEX(Data!$E$2:$E$750,SMALL(Data!$S$2:$S$750,374))),"")</f>
        <v>5</v>
      </c>
      <c r="G480" s="57">
        <f t="array" ref="G480">IFERROR(INDEX(Data!$F$2:$F$750,SMALL(Data!$S$2:$S$750,374)),"")</f>
        <v>7500</v>
      </c>
      <c r="H480" s="58">
        <f t="array" ref="H480">IFERROR(IF(INDEX(Data!$G$2:$G$750,SMALL(Data!$S$2:$S$750,374))=0,"",INDEX(Data!$G$2:$G$750,SMALL(Data!$S$2:$S$750,374))),"")</f>
        <v>46317</v>
      </c>
      <c r="I480" s="56">
        <f t="array" ref="I480">IFERROR(IF(INDEX(Data!$H$2:$H$750,SMALL(Data!$S$2:$S$750,374))=0,"",INDEX(Data!$H$2:$H$750,SMALL(Data!$S$2:$S$750,374))),"")</f>
        <v>20</v>
      </c>
      <c r="J480" s="58">
        <f t="array" ref="J480">IFERROR(INDEX(Data!$I$2:$I$750,SMALL(Data!$S$2:$S$750,374)),"")</f>
        <v>46457</v>
      </c>
      <c r="K480" s="56" t="str">
        <f t="array" ref="K480">IFERROR(INDEX(Data!$J$2:$J$750,SMALL(Data!$S$2:$S$750,374)),"")</f>
        <v>Not Paid</v>
      </c>
      <c r="L480" s="56" t="str">
        <f t="array" ref="L480">IFERROR(INDEX(Data!$K$2:$K$750,SMALL(Data!$S$2:$S$750,374)),"")</f>
        <v>Pending</v>
      </c>
      <c r="M480" s="48" t="s">
        <v>74</v>
      </c>
      <c r="N480" s="48">
        <f>SUMIFS(Data!D2:D750,Data!A2:A750,M480,Data!Q2:Q750,1)</f>
        <v>6</v>
      </c>
      <c r="O480" s="61">
        <f t="shared" si="1"/>
        <v>6.0000048</v>
      </c>
    </row>
    <row r="481" ht="15.75" customHeight="1">
      <c r="B481" s="53" t="str">
        <f t="array" ref="B481">IFERROR(INDEX(Data!$A$2:$A$750,SMALL(Data!$S$2:$S$750,375)),"")</f>
        <v>Syntegon Technology Ltd</v>
      </c>
      <c r="C481" s="53" t="str">
        <f t="array" ref="C481">IFERROR(IF(INDEX(Data!$B$2:$B$750,SMALL(Data!$S$2:$S$750,375))=0,"",INDEX(Data!$B$2:$B$750,SMALL(Data!$S$2:$S$750,375))),"")</f>
        <v/>
      </c>
      <c r="D481" s="53" t="str">
        <f t="array" ref="D481">IFERROR(INDEX(Data!$C$2:$C$750,SMALL(Data!$S$2:$S$750,375)),"")</f>
        <v>HF Card - blank</v>
      </c>
      <c r="E481" s="53">
        <f t="array" ref="E481">IFERROR(IF(INDEX(Data!$D$2:$D$750,SMALL(Data!$S$2:$S$750,375))=0,"",INDEX(Data!$D$2:$D$750,SMALL(Data!$S$2:$S$750,375))),"")</f>
        <v>5</v>
      </c>
      <c r="F481" s="54">
        <f t="array" ref="F481">IFERROR(IF(INDEX(Data!$E$2:$E$750,SMALL(Data!$S$2:$S$750,375))=0,"",INDEX(Data!$E$2:$E$750,SMALL(Data!$S$2:$S$750,375))),"")</f>
        <v>6</v>
      </c>
      <c r="G481" s="54">
        <f t="array" ref="G481">IFERROR(INDEX(Data!$F$2:$F$750,SMALL(Data!$S$2:$S$750,375)),"")</f>
        <v>30</v>
      </c>
      <c r="H481" s="55">
        <f t="array" ref="H481">IFERROR(IF(INDEX(Data!$G$2:$G$750,SMALL(Data!$S$2:$S$750,375))=0,"",INDEX(Data!$G$2:$G$750,SMALL(Data!$S$2:$S$750,375))),"")</f>
        <v>46318</v>
      </c>
      <c r="I481" s="53">
        <f t="array" ref="I481">IFERROR(IF(INDEX(Data!$H$2:$H$750,SMALL(Data!$S$2:$S$750,375))=0,"",INDEX(Data!$H$2:$H$750,SMALL(Data!$S$2:$S$750,375))),"")</f>
        <v>23</v>
      </c>
      <c r="J481" s="55">
        <f t="array" ref="J481">IFERROR(INDEX(Data!$I$2:$I$750,SMALL(Data!$S$2:$S$750,375)),"")</f>
        <v>46479</v>
      </c>
      <c r="K481" s="53" t="str">
        <f t="array" ref="K481">IFERROR(INDEX(Data!$J$2:$J$750,SMALL(Data!$S$2:$S$750,375)),"")</f>
        <v>Not Paid</v>
      </c>
      <c r="L481" s="53" t="str">
        <f t="array" ref="L481">IFERROR(INDEX(Data!$K$2:$K$750,SMALL(Data!$S$2:$S$750,375)),"")</f>
        <v>Pending</v>
      </c>
      <c r="M481" s="48" t="s">
        <v>77</v>
      </c>
      <c r="N481" s="48">
        <f>SUMIFS(Data!D2:D750,Data!A2:A750,M481,Data!Q2:Q750,1)</f>
        <v>3</v>
      </c>
      <c r="O481" s="61">
        <f t="shared" si="1"/>
        <v>3.00000481</v>
      </c>
    </row>
    <row r="482" ht="15.75" customHeight="1">
      <c r="B482" s="56" t="str">
        <f t="array" ref="B482">IFERROR(INDEX(Data!$A$2:$A$750,SMALL(Data!$S$2:$S$750,376)),"")</f>
        <v>CACC(CARGOLINX) </v>
      </c>
      <c r="C482" s="56" t="str">
        <f t="array" ref="C482">IFERROR(IF(INDEX(Data!$B$2:$B$750,SMALL(Data!$S$2:$S$750,376))=0,"",INDEX(Data!$B$2:$B$750,SMALL(Data!$S$2:$S$750,376))),"")</f>
        <v/>
      </c>
      <c r="D482" s="56" t="str">
        <f t="array" ref="D482">IFERROR(INDEX(Data!$C$2:$C$750,SMALL(Data!$S$2:$S$750,376)),"")</f>
        <v>A5 Paper Sticker Label - Blank</v>
      </c>
      <c r="E482" s="56">
        <f t="array" ref="E482">IFERROR(IF(INDEX(Data!$D$2:$D$750,SMALL(Data!$S$2:$S$750,376))=0,"",INDEX(Data!$D$2:$D$750,SMALL(Data!$S$2:$S$750,376))),"")</f>
        <v>2000</v>
      </c>
      <c r="F482" s="57">
        <f t="array" ref="F482">IFERROR(IF(INDEX(Data!$E$2:$E$750,SMALL(Data!$S$2:$S$750,376))=0,"",INDEX(Data!$E$2:$E$750,SMALL(Data!$S$2:$S$750,376))),"")</f>
        <v>7</v>
      </c>
      <c r="G482" s="57">
        <f t="array" ref="G482">IFERROR(INDEX(Data!$F$2:$F$750,SMALL(Data!$S$2:$S$750,376)),"")</f>
        <v>14000</v>
      </c>
      <c r="H482" s="58">
        <f t="array" ref="H482">IFERROR(IF(INDEX(Data!$G$2:$G$750,SMALL(Data!$S$2:$S$750,376))=0,"",INDEX(Data!$G$2:$G$750,SMALL(Data!$S$2:$S$750,376))),"")</f>
        <v>46319</v>
      </c>
      <c r="I482" s="56">
        <f t="array" ref="I482">IFERROR(IF(INDEX(Data!$H$2:$H$750,SMALL(Data!$S$2:$S$750,376))=0,"",INDEX(Data!$H$2:$H$750,SMALL(Data!$S$2:$S$750,376))),"")</f>
        <v>23</v>
      </c>
      <c r="J482" s="58">
        <f t="array" ref="J482">IFERROR(INDEX(Data!$I$2:$I$750,SMALL(Data!$S$2:$S$750,376)),"")</f>
        <v>46480</v>
      </c>
      <c r="K482" s="56" t="str">
        <f t="array" ref="K482">IFERROR(INDEX(Data!$J$2:$J$750,SMALL(Data!$S$2:$S$750,376)),"")</f>
        <v>Not Paid</v>
      </c>
      <c r="L482" s="56" t="str">
        <f t="array" ref="L482">IFERROR(INDEX(Data!$K$2:$K$750,SMALL(Data!$S$2:$S$750,376)),"")</f>
        <v>Pending</v>
      </c>
      <c r="M482" s="48" t="s">
        <v>80</v>
      </c>
      <c r="N482" s="48">
        <f>SUMIFS(Data!D2:D750,Data!A2:A750,M482,Data!Q2:Q750,1)</f>
        <v>8</v>
      </c>
      <c r="O482" s="61">
        <f t="shared" si="1"/>
        <v>8.00000482</v>
      </c>
    </row>
    <row r="483" ht="15.75" customHeight="1">
      <c r="B483" s="53" t="str">
        <f t="array" ref="B483">IFERROR(INDEX(Data!$A$2:$A$750,SMALL(Data!$S$2:$S$750,377)),"")</f>
        <v>Hassan Allam</v>
      </c>
      <c r="C483" s="53" t="str">
        <f t="array" ref="C483">IFERROR(IF(INDEX(Data!$B$2:$B$750,SMALL(Data!$S$2:$S$750,377))=0,"",INDEX(Data!$B$2:$B$750,SMALL(Data!$S$2:$S$750,377))),"")</f>
        <v/>
      </c>
      <c r="D483" s="53" t="str">
        <f t="array" ref="D483">IFERROR(INDEX(Data!$C$2:$C$750,SMALL(Data!$S$2:$S$750,377)),"")</f>
        <v>Control board for Magnetic Toll</v>
      </c>
      <c r="E483" s="53">
        <f t="array" ref="E483">IFERROR(IF(INDEX(Data!$D$2:$D$750,SMALL(Data!$S$2:$S$750,377))=0,"",INDEX(Data!$D$2:$D$750,SMALL(Data!$S$2:$S$750,377))),"")</f>
        <v>1</v>
      </c>
      <c r="F483" s="54">
        <f t="array" ref="F483">IFERROR(IF(INDEX(Data!$E$2:$E$750,SMALL(Data!$S$2:$S$750,377))=0,"",INDEX(Data!$E$2:$E$750,SMALL(Data!$S$2:$S$750,377))),"")</f>
        <v>8</v>
      </c>
      <c r="G483" s="54">
        <f t="array" ref="G483">IFERROR(INDEX(Data!$F$2:$F$750,SMALL(Data!$S$2:$S$750,377)),"")</f>
        <v>8</v>
      </c>
      <c r="H483" s="55">
        <f t="array" ref="H483">IFERROR(IF(INDEX(Data!$G$2:$G$750,SMALL(Data!$S$2:$S$750,377))=0,"",INDEX(Data!$G$2:$G$750,SMALL(Data!$S$2:$S$750,377))),"")</f>
        <v>46320</v>
      </c>
      <c r="I483" s="53">
        <f t="array" ref="I483">IFERROR(IF(INDEX(Data!$H$2:$H$750,SMALL(Data!$S$2:$S$750,377))=0,"",INDEX(Data!$H$2:$H$750,SMALL(Data!$S$2:$S$750,377))),"")</f>
        <v>22</v>
      </c>
      <c r="J483" s="55">
        <f t="array" ref="J483">IFERROR(INDEX(Data!$I$2:$I$750,SMALL(Data!$S$2:$S$750,377)),"")</f>
        <v>46474</v>
      </c>
      <c r="K483" s="53" t="str">
        <f t="array" ref="K483">IFERROR(INDEX(Data!$J$2:$J$750,SMALL(Data!$S$2:$S$750,377)),"")</f>
        <v>Not Paid</v>
      </c>
      <c r="L483" s="53" t="str">
        <f t="array" ref="L483">IFERROR(INDEX(Data!$K$2:$K$750,SMALL(Data!$S$2:$S$750,377)),"")</f>
        <v>Pending</v>
      </c>
      <c r="M483" s="48" t="s">
        <v>83</v>
      </c>
      <c r="N483" s="48">
        <f>SUMIFS(Data!D2:D750,Data!A2:A750,M483,Data!Q2:Q750,1)</f>
        <v>25500</v>
      </c>
      <c r="O483" s="61">
        <f t="shared" si="1"/>
        <v>25500</v>
      </c>
    </row>
    <row r="484" ht="15.75" customHeight="1">
      <c r="B484" s="56" t="str">
        <f t="array" ref="B484">IFERROR(INDEX(Data!$A$2:$A$750,SMALL(Data!$S$2:$S$750,378)),"")</f>
        <v>Misr Public Library</v>
      </c>
      <c r="C484" s="56" t="str">
        <f t="array" ref="C484">IFERROR(IF(INDEX(Data!$B$2:$B$750,SMALL(Data!$S$2:$S$750,378))=0,"",INDEX(Data!$B$2:$B$750,SMALL(Data!$S$2:$S$750,378))),"")</f>
        <v/>
      </c>
      <c r="D484" s="56" t="str">
        <f t="array" ref="D484">IFERROR(INDEX(Data!$C$2:$C$750,SMALL(Data!$S$2:$S$750,378)),"")</f>
        <v>[5400.001.01] ID ANT1710/690-A Crystal Gate Wave "Base"</v>
      </c>
      <c r="E484" s="56">
        <f t="array" ref="E484">IFERROR(IF(INDEX(Data!$D$2:$D$750,SMALL(Data!$S$2:$S$750,378))=0,"",INDEX(Data!$D$2:$D$750,SMALL(Data!$S$2:$S$750,378))),"")</f>
        <v>2</v>
      </c>
      <c r="F484" s="57">
        <f t="array" ref="F484">IFERROR(IF(INDEX(Data!$E$2:$E$750,SMALL(Data!$S$2:$S$750,378))=0,"",INDEX(Data!$E$2:$E$750,SMALL(Data!$S$2:$S$750,378))),"")</f>
        <v>2</v>
      </c>
      <c r="G484" s="57" t="str">
        <f t="array" ref="G484">IFERROR(INDEX(Data!$F$2:$F$750,SMALL(Data!$S$2:$S$750,378)),"")</f>
        <v/>
      </c>
      <c r="H484" s="58">
        <f t="array" ref="H484">IFERROR(IF(INDEX(Data!$G$2:$G$750,SMALL(Data!$S$2:$S$750,378))=0,"",INDEX(Data!$G$2:$G$750,SMALL(Data!$S$2:$S$750,378))),"")</f>
        <v>46321</v>
      </c>
      <c r="I484" s="56">
        <f t="array" ref="I484">IFERROR(IF(INDEX(Data!$H$2:$H$750,SMALL(Data!$S$2:$S$750,378))=0,"",INDEX(Data!$H$2:$H$750,SMALL(Data!$S$2:$S$750,378))),"")</f>
        <v>22</v>
      </c>
      <c r="J484" s="58" t="str">
        <f t="array" ref="J484">IFERROR(INDEX(Data!$I$2:$I$750,SMALL(Data!$S$2:$S$750,378)),"")</f>
        <v/>
      </c>
      <c r="K484" s="56" t="str">
        <f t="array" ref="K484">IFERROR(INDEX(Data!$J$2:$J$750,SMALL(Data!$S$2:$S$750,378)),"")</f>
        <v>Not Paid</v>
      </c>
      <c r="L484" s="56" t="str">
        <f t="array" ref="L484">IFERROR(INDEX(Data!$K$2:$K$750,SMALL(Data!$S$2:$S$750,378)),"")</f>
        <v>Pending</v>
      </c>
      <c r="M484" s="48" t="s">
        <v>87</v>
      </c>
      <c r="N484" s="48">
        <f>SUMIFS(Data!D2:D750,Data!A2:A750,M484,Data!Q2:Q750,1)</f>
        <v>300</v>
      </c>
      <c r="O484" s="61">
        <f t="shared" si="1"/>
        <v>300.0000048</v>
      </c>
    </row>
    <row r="485" ht="15.75" customHeight="1">
      <c r="B485" s="53" t="str">
        <f t="array" ref="B485">IFERROR(INDEX(Data!$A$2:$A$750,SMALL(Data!$S$2:$S$750,379)),"")</f>
        <v>Misr Public Library</v>
      </c>
      <c r="C485" s="53" t="str">
        <f t="array" ref="C485">IFERROR(IF(INDEX(Data!$B$2:$B$750,SMALL(Data!$S$2:$S$750,379))=0,"",INDEX(Data!$B$2:$B$750,SMALL(Data!$S$2:$S$750,379))),"")</f>
        <v/>
      </c>
      <c r="D485" s="53" t="str">
        <f t="array" ref="D485">IFERROR(INDEX(Data!$C$2:$C$750,SMALL(Data!$S$2:$S$750,379)),"")</f>
        <v>[5401.001.01] ID ANT1710/690-B Crystal Gate Wave</v>
      </c>
      <c r="E485" s="53">
        <f t="array" ref="E485">IFERROR(IF(INDEX(Data!$D$2:$D$750,SMALL(Data!$S$2:$S$750,379))=0,"",INDEX(Data!$D$2:$D$750,SMALL(Data!$S$2:$S$750,379))),"")</f>
        <v>2</v>
      </c>
      <c r="F485" s="54">
        <f t="array" ref="F485">IFERROR(IF(INDEX(Data!$E$2:$E$750,SMALL(Data!$S$2:$S$750,379))=0,"",INDEX(Data!$E$2:$E$750,SMALL(Data!$S$2:$S$750,379))),"")</f>
        <v>15</v>
      </c>
      <c r="G485" s="54">
        <f t="array" ref="G485">IFERROR(INDEX(Data!$F$2:$F$750,SMALL(Data!$S$2:$S$750,379)),"")</f>
        <v>30</v>
      </c>
      <c r="H485" s="55">
        <f t="array" ref="H485">IFERROR(IF(INDEX(Data!$G$2:$G$750,SMALL(Data!$S$2:$S$750,379))=0,"",INDEX(Data!$G$2:$G$750,SMALL(Data!$S$2:$S$750,379))),"")</f>
        <v>46322</v>
      </c>
      <c r="I485" s="53">
        <f t="array" ref="I485">IFERROR(IF(INDEX(Data!$H$2:$H$750,SMALL(Data!$S$2:$S$750,379))=0,"",INDEX(Data!$H$2:$H$750,SMALL(Data!$S$2:$S$750,379))),"")</f>
        <v>22</v>
      </c>
      <c r="J485" s="55">
        <f t="array" ref="J485">IFERROR(INDEX(Data!$I$2:$I$750,SMALL(Data!$S$2:$S$750,379)),"")</f>
        <v>46476</v>
      </c>
      <c r="K485" s="53" t="str">
        <f t="array" ref="K485">IFERROR(INDEX(Data!$J$2:$J$750,SMALL(Data!$S$2:$S$750,379)),"")</f>
        <v>Not Paid</v>
      </c>
      <c r="L485" s="53" t="str">
        <f t="array" ref="L485">IFERROR(INDEX(Data!$K$2:$K$750,SMALL(Data!$S$2:$S$750,379)),"")</f>
        <v>Pending</v>
      </c>
      <c r="M485" s="48" t="s">
        <v>92</v>
      </c>
      <c r="N485" s="48">
        <f>SUMIFS(Data!D2:D750,Data!A2:A750,M485,Data!Q2:Q750,1)</f>
        <v>54</v>
      </c>
      <c r="O485" s="61">
        <f t="shared" si="1"/>
        <v>54.00000485</v>
      </c>
    </row>
    <row r="486" ht="15.75" customHeight="1">
      <c r="B486" s="56" t="str">
        <f t="array" ref="B486">IFERROR(INDEX(Data!$A$2:$A$750,SMALL(Data!$S$2:$S$750,380)),"")</f>
        <v>Misr Public Library</v>
      </c>
      <c r="C486" s="56" t="str">
        <f t="array" ref="C486">IFERROR(IF(INDEX(Data!$B$2:$B$750,SMALL(Data!$S$2:$S$750,380))=0,"",INDEX(Data!$B$2:$B$750,SMALL(Data!$S$2:$S$750,380))),"")</f>
        <v/>
      </c>
      <c r="D486" s="56" t="str">
        <f t="array" ref="D486">IFERROR(INDEX(Data!$C$2:$C$750,SMALL(Data!$S$2:$S$750,380)),"")</f>
        <v>Feig RFID Handheld PRH200</v>
      </c>
      <c r="E486" s="56">
        <f t="array" ref="E486">IFERROR(IF(INDEX(Data!$D$2:$D$750,SMALL(Data!$S$2:$S$750,380))=0,"",INDEX(Data!$D$2:$D$750,SMALL(Data!$S$2:$S$750,380))),"")</f>
        <v>2</v>
      </c>
      <c r="F486" s="57">
        <f t="array" ref="F486">IFERROR(IF(INDEX(Data!$E$2:$E$750,SMALL(Data!$S$2:$S$750,380))=0,"",INDEX(Data!$E$2:$E$750,SMALL(Data!$S$2:$S$750,380))),"")</f>
        <v>45</v>
      </c>
      <c r="G486" s="57">
        <f t="array" ref="G486">IFERROR(INDEX(Data!$F$2:$F$750,SMALL(Data!$S$2:$S$750,380)),"")</f>
        <v>90</v>
      </c>
      <c r="H486" s="58">
        <f t="array" ref="H486">IFERROR(IF(INDEX(Data!$G$2:$G$750,SMALL(Data!$S$2:$S$750,380))=0,"",INDEX(Data!$G$2:$G$750,SMALL(Data!$S$2:$S$750,380))),"")</f>
        <v>46323</v>
      </c>
      <c r="I486" s="56">
        <f t="array" ref="I486">IFERROR(IF(INDEX(Data!$H$2:$H$750,SMALL(Data!$S$2:$S$750,380))=0,"",INDEX(Data!$H$2:$H$750,SMALL(Data!$S$2:$S$750,380))),"")</f>
        <v>22</v>
      </c>
      <c r="J486" s="58">
        <f t="array" ref="J486">IFERROR(INDEX(Data!$I$2:$I$750,SMALL(Data!$S$2:$S$750,380)),"")</f>
        <v>46477</v>
      </c>
      <c r="K486" s="56" t="str">
        <f t="array" ref="K486">IFERROR(INDEX(Data!$J$2:$J$750,SMALL(Data!$S$2:$S$750,380)),"")</f>
        <v>Not Paid</v>
      </c>
      <c r="L486" s="56" t="str">
        <f t="array" ref="L486">IFERROR(INDEX(Data!$K$2:$K$750,SMALL(Data!$S$2:$S$750,380)),"")</f>
        <v>Pending</v>
      </c>
      <c r="M486" s="48" t="s">
        <v>94</v>
      </c>
      <c r="N486" s="48">
        <f>SUMIFS(Data!D2:D750,Data!A2:A750,M486,Data!Q2:Q750,1)</f>
        <v>506</v>
      </c>
      <c r="O486" s="61">
        <f t="shared" si="1"/>
        <v>506.0000049</v>
      </c>
    </row>
    <row r="487" ht="15.75" customHeight="1">
      <c r="B487" s="53" t="str">
        <f t="array" ref="B487">IFERROR(INDEX(Data!$A$2:$A$750,SMALL(Data!$S$2:$S$750,381)),"")</f>
        <v>Misr Public Library</v>
      </c>
      <c r="C487" s="53" t="str">
        <f t="array" ref="C487">IFERROR(IF(INDEX(Data!$B$2:$B$750,SMALL(Data!$S$2:$S$750,381))=0,"",INDEX(Data!$B$2:$B$750,SMALL(Data!$S$2:$S$750,381))),"")</f>
        <v/>
      </c>
      <c r="D487" s="53" t="str">
        <f t="array" ref="D487">IFERROR(INDEX(Data!$C$2:$C$750,SMALL(Data!$S$2:$S$750,381)),"")</f>
        <v>QR Code Scanner</v>
      </c>
      <c r="E487" s="53">
        <f t="array" ref="E487">IFERROR(IF(INDEX(Data!$D$2:$D$750,SMALL(Data!$S$2:$S$750,381))=0,"",INDEX(Data!$D$2:$D$750,SMALL(Data!$S$2:$S$750,381))),"")</f>
        <v>4</v>
      </c>
      <c r="F487" s="54">
        <f t="array" ref="F487">IFERROR(IF(INDEX(Data!$E$2:$E$750,SMALL(Data!$S$2:$S$750,381))=0,"",INDEX(Data!$E$2:$E$750,SMALL(Data!$S$2:$S$750,381))),"")</f>
        <v>24</v>
      </c>
      <c r="G487" s="54">
        <f t="array" ref="G487">IFERROR(INDEX(Data!$F$2:$F$750,SMALL(Data!$S$2:$S$750,381)),"")</f>
        <v>96</v>
      </c>
      <c r="H487" s="55">
        <f t="array" ref="H487">IFERROR(IF(INDEX(Data!$G$2:$G$750,SMALL(Data!$S$2:$S$750,381))=0,"",INDEX(Data!$G$2:$G$750,SMALL(Data!$S$2:$S$750,381))),"")</f>
        <v>46324</v>
      </c>
      <c r="I487" s="53">
        <f t="array" ref="I487">IFERROR(IF(INDEX(Data!$H$2:$H$750,SMALL(Data!$S$2:$S$750,381))=0,"",INDEX(Data!$H$2:$H$750,SMALL(Data!$S$2:$S$750,381))),"")</f>
        <v>24</v>
      </c>
      <c r="J487" s="55">
        <f t="array" ref="J487">IFERROR(INDEX(Data!$I$2:$I$750,SMALL(Data!$S$2:$S$750,381)),"")</f>
        <v>46492</v>
      </c>
      <c r="K487" s="53" t="str">
        <f t="array" ref="K487">IFERROR(INDEX(Data!$J$2:$J$750,SMALL(Data!$S$2:$S$750,381)),"")</f>
        <v>Not Paid</v>
      </c>
      <c r="L487" s="53" t="str">
        <f t="array" ref="L487">IFERROR(INDEX(Data!$K$2:$K$750,SMALL(Data!$S$2:$S$750,381)),"")</f>
        <v>Pending</v>
      </c>
      <c r="M487" s="48" t="s">
        <v>98</v>
      </c>
      <c r="N487" s="48">
        <f>SUMIFS(Data!D2:D750,Data!A2:A750,M487,Data!Q2:Q750,1)</f>
        <v>3</v>
      </c>
      <c r="O487" s="61">
        <f t="shared" si="1"/>
        <v>3.00000487</v>
      </c>
    </row>
    <row r="488" ht="15.75" customHeight="1">
      <c r="B488" s="56" t="str">
        <f t="array" ref="B488">IFERROR(INDEX(Data!$A$2:$A$750,SMALL(Data!$S$2:$S$750,382)),"")</f>
        <v>Misr Public Library</v>
      </c>
      <c r="C488" s="56" t="str">
        <f t="array" ref="C488">IFERROR(IF(INDEX(Data!$B$2:$B$750,SMALL(Data!$S$2:$S$750,382))=0,"",INDEX(Data!$B$2:$B$750,SMALL(Data!$S$2:$S$750,382))),"")</f>
        <v/>
      </c>
      <c r="D488" s="56" t="str">
        <f t="array" ref="D488">IFERROR(INDEX(Data!$C$2:$C$750,SMALL(Data!$S$2:$S$750,382)),"")</f>
        <v>PC with Touch screen</v>
      </c>
      <c r="E488" s="56">
        <f t="array" ref="E488">IFERROR(IF(INDEX(Data!$D$2:$D$750,SMALL(Data!$S$2:$S$750,382))=0,"",INDEX(Data!$D$2:$D$750,SMALL(Data!$S$2:$S$750,382))),"")</f>
        <v>4</v>
      </c>
      <c r="F488" s="57">
        <f t="array" ref="F488">IFERROR(IF(INDEX(Data!$E$2:$E$750,SMALL(Data!$S$2:$S$750,382))=0,"",INDEX(Data!$E$2:$E$750,SMALL(Data!$S$2:$S$750,382))),"")</f>
        <v>25</v>
      </c>
      <c r="G488" s="57">
        <f t="array" ref="G488">IFERROR(INDEX(Data!$F$2:$F$750,SMALL(Data!$S$2:$S$750,382)),"")</f>
        <v>100</v>
      </c>
      <c r="H488" s="58">
        <f t="array" ref="H488">IFERROR(IF(INDEX(Data!$G$2:$G$750,SMALL(Data!$S$2:$S$750,382))=0,"",INDEX(Data!$G$2:$G$750,SMALL(Data!$S$2:$S$750,382))),"")</f>
        <v>46325</v>
      </c>
      <c r="I488" s="56">
        <f t="array" ref="I488">IFERROR(IF(INDEX(Data!$H$2:$H$750,SMALL(Data!$S$2:$S$750,382))=0,"",INDEX(Data!$H$2:$H$750,SMALL(Data!$S$2:$S$750,382))),"")</f>
        <v>15</v>
      </c>
      <c r="J488" s="58">
        <f t="array" ref="J488">IFERROR(INDEX(Data!$I$2:$I$750,SMALL(Data!$S$2:$S$750,382)),"")</f>
        <v>46430</v>
      </c>
      <c r="K488" s="56" t="str">
        <f t="array" ref="K488">IFERROR(INDEX(Data!$J$2:$J$750,SMALL(Data!$S$2:$S$750,382)),"")</f>
        <v>Not Paid</v>
      </c>
      <c r="L488" s="56" t="str">
        <f t="array" ref="L488">IFERROR(INDEX(Data!$K$2:$K$750,SMALL(Data!$S$2:$S$750,382)),"")</f>
        <v>Pending</v>
      </c>
      <c r="M488" s="48" t="s">
        <v>101</v>
      </c>
      <c r="N488" s="48">
        <f>SUMIFS(Data!D2:D750,Data!A2:A750,M488,Data!Q2:Q750,1)</f>
        <v>5</v>
      </c>
      <c r="O488" s="61">
        <f t="shared" si="1"/>
        <v>5.00000488</v>
      </c>
    </row>
    <row r="489" ht="15.75" customHeight="1">
      <c r="B489" s="53" t="str">
        <f t="array" ref="B489">IFERROR(INDEX(Data!$A$2:$A$750,SMALL(Data!$S$2:$S$750,383)),"")</f>
        <v>Misr Public Library</v>
      </c>
      <c r="C489" s="53" t="str">
        <f t="array" ref="C489">IFERROR(IF(INDEX(Data!$B$2:$B$750,SMALL(Data!$S$2:$S$750,383))=0,"",INDEX(Data!$B$2:$B$750,SMALL(Data!$S$2:$S$750,383))),"")</f>
        <v/>
      </c>
      <c r="D489" s="53" t="str">
        <f t="array" ref="D489">IFERROR(INDEX(Data!$C$2:$C$750,SMALL(Data!$S$2:$S$750,383)),"")</f>
        <v>Receipt printer</v>
      </c>
      <c r="E489" s="53">
        <f t="array" ref="E489">IFERROR(IF(INDEX(Data!$D$2:$D$750,SMALL(Data!$S$2:$S$750,383))=0,"",INDEX(Data!$D$2:$D$750,SMALL(Data!$S$2:$S$750,383))),"")</f>
        <v>4</v>
      </c>
      <c r="F489" s="54">
        <f t="array" ref="F489">IFERROR(IF(INDEX(Data!$E$2:$E$750,SMALL(Data!$S$2:$S$750,383))=0,"",INDEX(Data!$E$2:$E$750,SMALL(Data!$S$2:$S$750,383))),"")</f>
        <v>36</v>
      </c>
      <c r="G489" s="54">
        <f t="array" ref="G489">IFERROR(INDEX(Data!$F$2:$F$750,SMALL(Data!$S$2:$S$750,383)),"")</f>
        <v>144</v>
      </c>
      <c r="H489" s="55">
        <f t="array" ref="H489">IFERROR(IF(INDEX(Data!$G$2:$G$750,SMALL(Data!$S$2:$S$750,383))=0,"",INDEX(Data!$G$2:$G$750,SMALL(Data!$S$2:$S$750,383))),"")</f>
        <v>46326</v>
      </c>
      <c r="I489" s="53">
        <f t="array" ref="I489">IFERROR(IF(INDEX(Data!$H$2:$H$750,SMALL(Data!$S$2:$S$750,383))=0,"",INDEX(Data!$H$2:$H$750,SMALL(Data!$S$2:$S$750,383))),"")</f>
        <v>12</v>
      </c>
      <c r="J489" s="55">
        <f t="array" ref="J489">IFERROR(INDEX(Data!$I$2:$I$750,SMALL(Data!$S$2:$S$750,383)),"")</f>
        <v>46410</v>
      </c>
      <c r="K489" s="53" t="str">
        <f t="array" ref="K489">IFERROR(INDEX(Data!$J$2:$J$750,SMALL(Data!$S$2:$S$750,383)),"")</f>
        <v>Not Paid</v>
      </c>
      <c r="L489" s="53" t="str">
        <f t="array" ref="L489">IFERROR(INDEX(Data!$K$2:$K$750,SMALL(Data!$S$2:$S$750,383)),"")</f>
        <v>Pending</v>
      </c>
      <c r="M489" s="48" t="s">
        <v>105</v>
      </c>
      <c r="N489" s="48">
        <f>SUMIFS(Data!D2:D750,Data!A2:A750,M489,Data!Q2:Q750,1)</f>
        <v>3005</v>
      </c>
      <c r="O489" s="61">
        <f t="shared" si="1"/>
        <v>3005.000005</v>
      </c>
    </row>
    <row r="490" ht="15.75" customHeight="1">
      <c r="B490" s="56" t="str">
        <f t="array" ref="B490">IFERROR(INDEX(Data!$A$2:$A$750,SMALL(Data!$S$2:$S$750,384)),"")</f>
        <v>Misr Public Library</v>
      </c>
      <c r="C490" s="56" t="str">
        <f t="array" ref="C490">IFERROR(IF(INDEX(Data!$B$2:$B$750,SMALL(Data!$S$2:$S$750,384))=0,"",INDEX(Data!$B$2:$B$750,SMALL(Data!$S$2:$S$750,384))),"")</f>
        <v/>
      </c>
      <c r="D490" s="56" t="str">
        <f t="array" ref="D490">IFERROR(INDEX(Data!$C$2:$C$750,SMALL(Data!$S$2:$S$750,384)),"")</f>
        <v>Spad 102</v>
      </c>
      <c r="E490" s="56">
        <f t="array" ref="E490">IFERROR(IF(INDEX(Data!$D$2:$D$750,SMALL(Data!$S$2:$S$750,384))=0,"",INDEX(Data!$D$2:$D$750,SMALL(Data!$S$2:$S$750,384))),"")</f>
        <v>1</v>
      </c>
      <c r="F490" s="57">
        <f t="array" ref="F490">IFERROR(IF(INDEX(Data!$E$2:$E$750,SMALL(Data!$S$2:$S$750,384))=0,"",INDEX(Data!$E$2:$E$750,SMALL(Data!$S$2:$S$750,384))),"")</f>
        <v>95</v>
      </c>
      <c r="G490" s="57">
        <f t="array" ref="G490">IFERROR(INDEX(Data!$F$2:$F$750,SMALL(Data!$S$2:$S$750,384)),"")</f>
        <v>95</v>
      </c>
      <c r="H490" s="58">
        <f t="array" ref="H490">IFERROR(IF(INDEX(Data!$G$2:$G$750,SMALL(Data!$S$2:$S$750,384))=0,"",INDEX(Data!$G$2:$G$750,SMALL(Data!$S$2:$S$750,384))),"")</f>
        <v>46327</v>
      </c>
      <c r="I490" s="56">
        <f t="array" ref="I490">IFERROR(IF(INDEX(Data!$H$2:$H$750,SMALL(Data!$S$2:$S$750,384))=0,"",INDEX(Data!$H$2:$H$750,SMALL(Data!$S$2:$S$750,384))),"")</f>
        <v>12</v>
      </c>
      <c r="J490" s="58">
        <f t="array" ref="J490">IFERROR(INDEX(Data!$I$2:$I$750,SMALL(Data!$S$2:$S$750,384)),"")</f>
        <v>46411</v>
      </c>
      <c r="K490" s="56" t="str">
        <f t="array" ref="K490">IFERROR(INDEX(Data!$J$2:$J$750,SMALL(Data!$S$2:$S$750,384)),"")</f>
        <v>Not Paid</v>
      </c>
      <c r="L490" s="56" t="str">
        <f t="array" ref="L490">IFERROR(INDEX(Data!$K$2:$K$750,SMALL(Data!$S$2:$S$750,384)),"")</f>
        <v>Pending</v>
      </c>
      <c r="M490" s="48" t="s">
        <v>109</v>
      </c>
      <c r="N490" s="48">
        <f>SUMIFS(Data!D2:D750,Data!A2:A750,M490,Data!Q2:Q750,1)</f>
        <v>16</v>
      </c>
      <c r="O490" s="61">
        <f t="shared" si="1"/>
        <v>16.0000049</v>
      </c>
    </row>
    <row r="491" ht="15.75" customHeight="1">
      <c r="B491" s="53" t="str">
        <f t="array" ref="B491">IFERROR(INDEX(Data!$A$2:$A$750,SMALL(Data!$S$2:$S$750,385)),"")</f>
        <v>Misr Public Library</v>
      </c>
      <c r="C491" s="53" t="str">
        <f t="array" ref="C491">IFERROR(IF(INDEX(Data!$B$2:$B$750,SMALL(Data!$S$2:$S$750,385))=0,"",INDEX(Data!$B$2:$B$750,SMALL(Data!$S$2:$S$750,385))),"")</f>
        <v/>
      </c>
      <c r="D491" s="53" t="str">
        <f t="array" ref="D491">IFERROR(INDEX(Data!$C$2:$C$750,SMALL(Data!$S$2:$S$750,385)),"")</f>
        <v>Self-Check Kiosk</v>
      </c>
      <c r="E491" s="53">
        <f t="array" ref="E491">IFERROR(IF(INDEX(Data!$D$2:$D$750,SMALL(Data!$S$2:$S$750,385))=0,"",INDEX(Data!$D$2:$D$750,SMALL(Data!$S$2:$S$750,385))),"")</f>
        <v>4</v>
      </c>
      <c r="F491" s="54">
        <f t="array" ref="F491">IFERROR(IF(INDEX(Data!$E$2:$E$750,SMALL(Data!$S$2:$S$750,385))=0,"",INDEX(Data!$E$2:$E$750,SMALL(Data!$S$2:$S$750,385))),"")</f>
        <v>574</v>
      </c>
      <c r="G491" s="54">
        <f t="array" ref="G491">IFERROR(INDEX(Data!$F$2:$F$750,SMALL(Data!$S$2:$S$750,385)),"")</f>
        <v>2296</v>
      </c>
      <c r="H491" s="55">
        <f t="array" ref="H491">IFERROR(IF(INDEX(Data!$G$2:$G$750,SMALL(Data!$S$2:$S$750,385))=0,"",INDEX(Data!$G$2:$G$750,SMALL(Data!$S$2:$S$750,385))),"")</f>
        <v>46328</v>
      </c>
      <c r="I491" s="53">
        <f t="array" ref="I491">IFERROR(IF(INDEX(Data!$H$2:$H$750,SMALL(Data!$S$2:$S$750,385))=0,"",INDEX(Data!$H$2:$H$750,SMALL(Data!$S$2:$S$750,385))),"")</f>
        <v>14</v>
      </c>
      <c r="J491" s="55">
        <f t="array" ref="J491">IFERROR(INDEX(Data!$I$2:$I$750,SMALL(Data!$S$2:$S$750,385)),"")</f>
        <v>46426</v>
      </c>
      <c r="K491" s="53" t="str">
        <f t="array" ref="K491">IFERROR(INDEX(Data!$J$2:$J$750,SMALL(Data!$S$2:$S$750,385)),"")</f>
        <v>Not Paid</v>
      </c>
      <c r="L491" s="53" t="str">
        <f t="array" ref="L491">IFERROR(INDEX(Data!$K$2:$K$750,SMALL(Data!$S$2:$S$750,385)),"")</f>
        <v>Pending</v>
      </c>
      <c r="M491" s="48" t="s">
        <v>113</v>
      </c>
      <c r="N491" s="48">
        <f>SUMIFS(Data!D2:D750,Data!A2:A750,M491,Data!Q2:Q750,1)</f>
        <v>30</v>
      </c>
      <c r="O491" s="61">
        <f t="shared" si="1"/>
        <v>30.00000491</v>
      </c>
    </row>
    <row r="492" ht="15.75" customHeight="1">
      <c r="B492" s="56" t="str">
        <f t="array" ref="B492">IFERROR(INDEX(Data!$A$2:$A$750,SMALL(Data!$S$2:$S$750,386)),"")</f>
        <v>BANQUE DU CAIRE S.A.E</v>
      </c>
      <c r="C492" s="56" t="str">
        <f t="array" ref="C492">IFERROR(IF(INDEX(Data!$B$2:$B$750,SMALL(Data!$S$2:$S$750,386))=0,"",INDEX(Data!$B$2:$B$750,SMALL(Data!$S$2:$S$750,386))),"")</f>
        <v/>
      </c>
      <c r="D492" s="56" t="str">
        <f t="array" ref="D492">IFERROR(INDEX(Data!$C$2:$C$750,SMALL(Data!$S$2:$S$750,386)),"")</f>
        <v>Dogbone - blank</v>
      </c>
      <c r="E492" s="56">
        <f t="array" ref="E492">IFERROR(IF(INDEX(Data!$D$2:$D$750,SMALL(Data!$S$2:$S$750,386))=0,"",INDEX(Data!$D$2:$D$750,SMALL(Data!$S$2:$S$750,386))),"")</f>
        <v>90000</v>
      </c>
      <c r="F492" s="57">
        <f t="array" ref="F492">IFERROR(IF(INDEX(Data!$E$2:$E$750,SMALL(Data!$S$2:$S$750,386))=0,"",INDEX(Data!$E$2:$E$750,SMALL(Data!$S$2:$S$750,386))),"")</f>
        <v>558</v>
      </c>
      <c r="G492" s="57">
        <f t="array" ref="G492">IFERROR(INDEX(Data!$F$2:$F$750,SMALL(Data!$S$2:$S$750,386)),"")</f>
        <v>50220000</v>
      </c>
      <c r="H492" s="58">
        <f t="array" ref="H492">IFERROR(IF(INDEX(Data!$G$2:$G$750,SMALL(Data!$S$2:$S$750,386))=0,"",INDEX(Data!$G$2:$G$750,SMALL(Data!$S$2:$S$750,386))),"")</f>
        <v>46329</v>
      </c>
      <c r="I492" s="56">
        <f t="array" ref="I492">IFERROR(IF(INDEX(Data!$H$2:$H$750,SMALL(Data!$S$2:$S$750,386))=0,"",INDEX(Data!$H$2:$H$750,SMALL(Data!$S$2:$S$750,386))),"")</f>
        <v>12</v>
      </c>
      <c r="J492" s="58">
        <f t="array" ref="J492">IFERROR(INDEX(Data!$I$2:$I$750,SMALL(Data!$S$2:$S$750,386)),"")</f>
        <v>46413</v>
      </c>
      <c r="K492" s="56" t="str">
        <f t="array" ref="K492">IFERROR(INDEX(Data!$J$2:$J$750,SMALL(Data!$S$2:$S$750,386)),"")</f>
        <v>Not Paid</v>
      </c>
      <c r="L492" s="56" t="str">
        <f t="array" ref="L492">IFERROR(INDEX(Data!$K$2:$K$750,SMALL(Data!$S$2:$S$750,386)),"")</f>
        <v>Pending</v>
      </c>
      <c r="M492" s="48" t="s">
        <v>116</v>
      </c>
      <c r="N492" s="48">
        <f>SUMIFS(Data!D2:D750,Data!A2:A750,M492,Data!Q2:Q750,1)</f>
        <v>14</v>
      </c>
      <c r="O492" s="61">
        <f t="shared" si="1"/>
        <v>14.00000492</v>
      </c>
    </row>
    <row r="493" ht="15.75" customHeight="1">
      <c r="B493" s="53" t="str">
        <f t="array" ref="B493">IFERROR(INDEX(Data!$A$2:$A$750,SMALL(Data!$S$2:$S$750,387)),"")</f>
        <v>BANQUE DU CAIRE S.A.E</v>
      </c>
      <c r="C493" s="53" t="str">
        <f t="array" ref="C493">IFERROR(IF(INDEX(Data!$B$2:$B$750,SMALL(Data!$S$2:$S$750,387))=0,"",INDEX(Data!$B$2:$B$750,SMALL(Data!$S$2:$S$750,387))),"")</f>
        <v/>
      </c>
      <c r="D493" s="53" t="str">
        <f t="array" ref="D493">IFERROR(INDEX(Data!$C$2:$C$750,SMALL(Data!$S$2:$S$750,387)),"")</f>
        <v>RCO7012  - blank</v>
      </c>
      <c r="E493" s="53">
        <f t="array" ref="E493">IFERROR(IF(INDEX(Data!$D$2:$D$750,SMALL(Data!$S$2:$S$750,387))=0,"",INDEX(Data!$D$2:$D$750,SMALL(Data!$S$2:$S$750,387))),"")</f>
        <v>45200</v>
      </c>
      <c r="F493" s="54">
        <f t="array" ref="F493">IFERROR(IF(INDEX(Data!$E$2:$E$750,SMALL(Data!$S$2:$S$750,387))=0,"",INDEX(Data!$E$2:$E$750,SMALL(Data!$S$2:$S$750,387))),"")</f>
        <v>2265</v>
      </c>
      <c r="G493" s="54">
        <f t="array" ref="G493">IFERROR(INDEX(Data!$F$2:$F$750,SMALL(Data!$S$2:$S$750,387)),"")</f>
        <v>102378000</v>
      </c>
      <c r="H493" s="55">
        <f t="array" ref="H493">IFERROR(IF(INDEX(Data!$G$2:$G$750,SMALL(Data!$S$2:$S$750,387))=0,"",INDEX(Data!$G$2:$G$750,SMALL(Data!$S$2:$S$750,387))),"")</f>
        <v>46330</v>
      </c>
      <c r="I493" s="53">
        <f t="array" ref="I493">IFERROR(IF(INDEX(Data!$H$2:$H$750,SMALL(Data!$S$2:$S$750,387))=0,"",INDEX(Data!$H$2:$H$750,SMALL(Data!$S$2:$S$750,387))),"")</f>
        <v>12</v>
      </c>
      <c r="J493" s="55">
        <f t="array" ref="J493">IFERROR(INDEX(Data!$I$2:$I$750,SMALL(Data!$S$2:$S$750,387)),"")</f>
        <v>46414</v>
      </c>
      <c r="K493" s="53" t="str">
        <f t="array" ref="K493">IFERROR(INDEX(Data!$J$2:$J$750,SMALL(Data!$S$2:$S$750,387)),"")</f>
        <v>Not Paid</v>
      </c>
      <c r="L493" s="53" t="str">
        <f t="array" ref="L493">IFERROR(INDEX(Data!$K$2:$K$750,SMALL(Data!$S$2:$S$750,387)),"")</f>
        <v>Pending</v>
      </c>
      <c r="M493" s="48" t="s">
        <v>120</v>
      </c>
      <c r="N493" s="48">
        <f>SUMIFS(Data!D2:D750,Data!A2:A750,M493,Data!Q2:Q750,1)</f>
        <v>65</v>
      </c>
      <c r="O493" s="61">
        <f t="shared" si="1"/>
        <v>65.00000493</v>
      </c>
    </row>
    <row r="494" ht="15.75" customHeight="1">
      <c r="B494" s="56" t="str">
        <f t="array" ref="B494">IFERROR(INDEX(Data!$A$2:$A$750,SMALL(Data!$S$2:$S$750,388)),"")</f>
        <v>BANQUE DU CAIRE S.A.E</v>
      </c>
      <c r="C494" s="56" t="str">
        <f t="array" ref="C494">IFERROR(IF(INDEX(Data!$B$2:$B$750,SMALL(Data!$S$2:$S$750,388))=0,"",INDEX(Data!$B$2:$B$750,SMALL(Data!$S$2:$S$750,388))),"")</f>
        <v/>
      </c>
      <c r="D494" s="56" t="str">
        <f t="array" ref="D494">IFERROR(INDEX(Data!$C$2:$C$750,SMALL(Data!$S$2:$S$750,388)),"")</f>
        <v>Destructive Windshield pre</v>
      </c>
      <c r="E494" s="56">
        <f t="array" ref="E494">IFERROR(IF(INDEX(Data!$D$2:$D$750,SMALL(Data!$S$2:$S$750,388))=0,"",INDEX(Data!$D$2:$D$750,SMALL(Data!$S$2:$S$750,388))),"")</f>
        <v>340</v>
      </c>
      <c r="F494" s="57">
        <f t="array" ref="F494">IFERROR(IF(INDEX(Data!$E$2:$E$750,SMALL(Data!$S$2:$S$750,388))=0,"",INDEX(Data!$E$2:$E$750,SMALL(Data!$S$2:$S$750,388))),"")</f>
        <v>45</v>
      </c>
      <c r="G494" s="57">
        <f t="array" ref="G494">IFERROR(INDEX(Data!$F$2:$F$750,SMALL(Data!$S$2:$S$750,388)),"")</f>
        <v>15300</v>
      </c>
      <c r="H494" s="58">
        <f t="array" ref="H494">IFERROR(IF(INDEX(Data!$G$2:$G$750,SMALL(Data!$S$2:$S$750,388))=0,"",INDEX(Data!$G$2:$G$750,SMALL(Data!$S$2:$S$750,388))),"")</f>
        <v>46331</v>
      </c>
      <c r="I494" s="56">
        <f t="array" ref="I494">IFERROR(IF(INDEX(Data!$H$2:$H$750,SMALL(Data!$S$2:$S$750,388))=0,"",INDEX(Data!$H$2:$H$750,SMALL(Data!$S$2:$S$750,388))),"")</f>
        <v>15</v>
      </c>
      <c r="J494" s="58">
        <f t="array" ref="J494">IFERROR(INDEX(Data!$I$2:$I$750,SMALL(Data!$S$2:$S$750,388)),"")</f>
        <v>46436</v>
      </c>
      <c r="K494" s="56" t="str">
        <f t="array" ref="K494">IFERROR(INDEX(Data!$J$2:$J$750,SMALL(Data!$S$2:$S$750,388)),"")</f>
        <v>Not Paid</v>
      </c>
      <c r="L494" s="56" t="str">
        <f t="array" ref="L494">IFERROR(INDEX(Data!$K$2:$K$750,SMALL(Data!$S$2:$S$750,388)),"")</f>
        <v>Pending</v>
      </c>
      <c r="M494" s="48" t="s">
        <v>124</v>
      </c>
      <c r="N494" s="48">
        <f>SUMIFS(Data!D2:D750,Data!A2:A750,M494,Data!Q2:Q750,1)</f>
        <v>16</v>
      </c>
      <c r="O494" s="61">
        <f t="shared" si="1"/>
        <v>16.00000494</v>
      </c>
    </row>
    <row r="495" ht="15.75" customHeight="1">
      <c r="B495" s="53" t="str">
        <f t="array" ref="B495">IFERROR(INDEX(Data!$A$2:$A$750,SMALL(Data!$S$2:$S$750,389)),"")</f>
        <v>BANQUE DU CAIRE S.A.E</v>
      </c>
      <c r="C495" s="53" t="str">
        <f t="array" ref="C495">IFERROR(IF(INDEX(Data!$B$2:$B$750,SMALL(Data!$S$2:$S$750,389))=0,"",INDEX(Data!$B$2:$B$750,SMALL(Data!$S$2:$S$750,389))),"")</f>
        <v/>
      </c>
      <c r="D495" s="53" t="str">
        <f t="array" ref="D495">IFERROR(INDEX(Data!$C$2:$C$750,SMALL(Data!$S$2:$S$750,389)),"")</f>
        <v>RFID Industrial Printer (CL4NX)</v>
      </c>
      <c r="E495" s="53">
        <f t="array" ref="E495">IFERROR(IF(INDEX(Data!$D$2:$D$750,SMALL(Data!$S$2:$S$750,389))=0,"",INDEX(Data!$D$2:$D$750,SMALL(Data!$S$2:$S$750,389))),"")</f>
        <v>2</v>
      </c>
      <c r="F495" s="54">
        <f t="array" ref="F495">IFERROR(IF(INDEX(Data!$E$2:$E$750,SMALL(Data!$S$2:$S$750,389))=0,"",INDEX(Data!$E$2:$E$750,SMALL(Data!$S$2:$S$750,389))),"")</f>
        <v>5554</v>
      </c>
      <c r="G495" s="54">
        <f t="array" ref="G495">IFERROR(INDEX(Data!$F$2:$F$750,SMALL(Data!$S$2:$S$750,389)),"")</f>
        <v>11108</v>
      </c>
      <c r="H495" s="55">
        <f t="array" ref="H495">IFERROR(IF(INDEX(Data!$G$2:$G$750,SMALL(Data!$S$2:$S$750,389))=0,"",INDEX(Data!$G$2:$G$750,SMALL(Data!$S$2:$S$750,389))),"")</f>
        <v>46332</v>
      </c>
      <c r="I495" s="53">
        <f t="array" ref="I495">IFERROR(IF(INDEX(Data!$H$2:$H$750,SMALL(Data!$S$2:$S$750,389))=0,"",INDEX(Data!$H$2:$H$750,SMALL(Data!$S$2:$S$750,389))),"")</f>
        <v>15</v>
      </c>
      <c r="J495" s="55">
        <f t="array" ref="J495">IFERROR(INDEX(Data!$I$2:$I$750,SMALL(Data!$S$2:$S$750,389)),"")</f>
        <v>46437</v>
      </c>
      <c r="K495" s="53" t="str">
        <f t="array" ref="K495">IFERROR(INDEX(Data!$J$2:$J$750,SMALL(Data!$S$2:$S$750,389)),"")</f>
        <v>Not Paid</v>
      </c>
      <c r="L495" s="53" t="str">
        <f t="array" ref="L495">IFERROR(INDEX(Data!$K$2:$K$750,SMALL(Data!$S$2:$S$750,389)),"")</f>
        <v>Pending</v>
      </c>
      <c r="M495" s="48" t="s">
        <v>128</v>
      </c>
      <c r="N495" s="48">
        <f>SUMIFS(Data!D2:D750,Data!A2:A750,M495,Data!Q2:Q750,1)</f>
        <v>146009</v>
      </c>
      <c r="O495" s="61">
        <f t="shared" si="1"/>
        <v>146009</v>
      </c>
    </row>
    <row r="496" ht="15.75" customHeight="1">
      <c r="B496" s="56" t="str">
        <f t="array" ref="B496">IFERROR(INDEX(Data!$A$2:$A$750,SMALL(Data!$S$2:$S$750,390)),"")</f>
        <v>BANQUE DU CAIRE S.A.E</v>
      </c>
      <c r="C496" s="56" t="str">
        <f t="array" ref="C496">IFERROR(IF(INDEX(Data!$B$2:$B$750,SMALL(Data!$S$2:$S$750,390))=0,"",INDEX(Data!$B$2:$B$750,SMALL(Data!$S$2:$S$750,390))),"")</f>
        <v/>
      </c>
      <c r="D496" s="56" t="str">
        <f t="array" ref="D496">IFERROR(INDEX(Data!$C$2:$C$750,SMALL(Data!$S$2:$S$750,390)),"")</f>
        <v>Ribbons for the printer Size: 110 mm x 450 m</v>
      </c>
      <c r="E496" s="56">
        <f t="array" ref="E496">IFERROR(IF(INDEX(Data!$D$2:$D$750,SMALL(Data!$S$2:$S$750,390))=0,"",INDEX(Data!$D$2:$D$750,SMALL(Data!$S$2:$S$750,390))),"")</f>
        <v>10</v>
      </c>
      <c r="F496" s="57">
        <f t="array" ref="F496">IFERROR(IF(INDEX(Data!$E$2:$E$750,SMALL(Data!$S$2:$S$750,390))=0,"",INDEX(Data!$E$2:$E$750,SMALL(Data!$S$2:$S$750,390))),"")</f>
        <v>41</v>
      </c>
      <c r="G496" s="57">
        <f t="array" ref="G496">IFERROR(INDEX(Data!$F$2:$F$750,SMALL(Data!$S$2:$S$750,390)),"")</f>
        <v>410</v>
      </c>
      <c r="H496" s="58">
        <f t="array" ref="H496">IFERROR(IF(INDEX(Data!$G$2:$G$750,SMALL(Data!$S$2:$S$750,390))=0,"",INDEX(Data!$G$2:$G$750,SMALL(Data!$S$2:$S$750,390))),"")</f>
        <v>46333</v>
      </c>
      <c r="I496" s="56">
        <f t="array" ref="I496">IFERROR(IF(INDEX(Data!$H$2:$H$750,SMALL(Data!$S$2:$S$750,390))=0,"",INDEX(Data!$H$2:$H$750,SMALL(Data!$S$2:$S$750,390))),"")</f>
        <v>15</v>
      </c>
      <c r="J496" s="58">
        <f t="array" ref="J496">IFERROR(INDEX(Data!$I$2:$I$750,SMALL(Data!$S$2:$S$750,390)),"")</f>
        <v>46438</v>
      </c>
      <c r="K496" s="56" t="str">
        <f t="array" ref="K496">IFERROR(INDEX(Data!$J$2:$J$750,SMALL(Data!$S$2:$S$750,390)),"")</f>
        <v>Not Paid</v>
      </c>
      <c r="L496" s="56" t="str">
        <f t="array" ref="L496">IFERROR(INDEX(Data!$K$2:$K$750,SMALL(Data!$S$2:$S$750,390)),"")</f>
        <v>Pending</v>
      </c>
      <c r="M496" s="48" t="s">
        <v>130</v>
      </c>
      <c r="N496" s="48">
        <f>SUMIFS(Data!D2:D750,Data!A2:A750,M496,Data!Q2:Q750,1)</f>
        <v>0</v>
      </c>
      <c r="O496" s="61">
        <f t="shared" si="1"/>
        <v>0.00000496</v>
      </c>
    </row>
    <row r="497" ht="15.75" customHeight="1">
      <c r="B497" s="53" t="str">
        <f t="array" ref="B497">IFERROR(INDEX(Data!$A$2:$A$750,SMALL(Data!$S$2:$S$750,391)),"")</f>
        <v>BANQUE DU CAIRE S.A.E</v>
      </c>
      <c r="C497" s="53" t="str">
        <f t="array" ref="C497">IFERROR(IF(INDEX(Data!$B$2:$B$750,SMALL(Data!$S$2:$S$750,391))=0,"",INDEX(Data!$B$2:$B$750,SMALL(Data!$S$2:$S$750,391))),"")</f>
        <v/>
      </c>
      <c r="D497" s="53" t="str">
        <f t="array" ref="D497">IFERROR(INDEX(Data!$C$2:$C$750,SMALL(Data!$S$2:$S$750,391)),"")</f>
        <v>AT 909</v>
      </c>
      <c r="E497" s="53">
        <f t="array" ref="E497">IFERROR(IF(INDEX(Data!$D$2:$D$750,SMALL(Data!$S$2:$S$750,391))=0,"",INDEX(Data!$D$2:$D$750,SMALL(Data!$S$2:$S$750,391))),"")</f>
        <v>10</v>
      </c>
      <c r="F497" s="54">
        <f t="array" ref="F497">IFERROR(IF(INDEX(Data!$E$2:$E$750,SMALL(Data!$S$2:$S$750,391))=0,"",INDEX(Data!$E$2:$E$750,SMALL(Data!$S$2:$S$750,391))),"")</f>
        <v>231</v>
      </c>
      <c r="G497" s="54">
        <f t="array" ref="G497">IFERROR(INDEX(Data!$F$2:$F$750,SMALL(Data!$S$2:$S$750,391)),"")</f>
        <v>2310</v>
      </c>
      <c r="H497" s="55">
        <f t="array" ref="H497">IFERROR(IF(INDEX(Data!$G$2:$G$750,SMALL(Data!$S$2:$S$750,391))=0,"",INDEX(Data!$G$2:$G$750,SMALL(Data!$S$2:$S$750,391))),"")</f>
        <v>46334</v>
      </c>
      <c r="I497" s="53">
        <f t="array" ref="I497">IFERROR(IF(INDEX(Data!$H$2:$H$750,SMALL(Data!$S$2:$S$750,391))=0,"",INDEX(Data!$H$2:$H$750,SMALL(Data!$S$2:$S$750,391))),"")</f>
        <v>13</v>
      </c>
      <c r="J497" s="55">
        <f t="array" ref="J497">IFERROR(INDEX(Data!$I$2:$I$750,SMALL(Data!$S$2:$S$750,391)),"")</f>
        <v>46425</v>
      </c>
      <c r="K497" s="53" t="str">
        <f t="array" ref="K497">IFERROR(INDEX(Data!$J$2:$J$750,SMALL(Data!$S$2:$S$750,391)),"")</f>
        <v>Not Paid</v>
      </c>
      <c r="L497" s="53" t="str">
        <f t="array" ref="L497">IFERROR(INDEX(Data!$K$2:$K$750,SMALL(Data!$S$2:$S$750,391)),"")</f>
        <v>Pending</v>
      </c>
      <c r="M497" s="48" t="s">
        <v>133</v>
      </c>
      <c r="N497" s="48">
        <f>SUMIFS(Data!D2:D750,Data!A2:A750,M497,Data!Q2:Q750,1)</f>
        <v>214</v>
      </c>
      <c r="O497" s="61">
        <f t="shared" si="1"/>
        <v>214.000005</v>
      </c>
    </row>
    <row r="498" ht="15.75" customHeight="1">
      <c r="B498" s="56" t="str">
        <f t="array" ref="B498">IFERROR(INDEX(Data!$A$2:$A$750,SMALL(Data!$S$2:$S$750,392)),"")</f>
        <v>BANQUE DU CAIRE S.A.E</v>
      </c>
      <c r="C498" s="56" t="str">
        <f t="array" ref="C498">IFERROR(IF(INDEX(Data!$B$2:$B$750,SMALL(Data!$S$2:$S$750,392))=0,"",INDEX(Data!$B$2:$B$750,SMALL(Data!$S$2:$S$750,392))),"")</f>
        <v/>
      </c>
      <c r="D498" s="56" t="str">
        <f t="array" ref="D498">IFERROR(INDEX(Data!$C$2:$C$750,SMALL(Data!$S$2:$S$750,392)),"")</f>
        <v>LRU 4000 UHF</v>
      </c>
      <c r="E498" s="56">
        <f t="array" ref="E498">IFERROR(IF(INDEX(Data!$D$2:$D$750,SMALL(Data!$S$2:$S$750,392))=0,"",INDEX(Data!$D$2:$D$750,SMALL(Data!$S$2:$S$750,392))),"")</f>
        <v>52</v>
      </c>
      <c r="F498" s="57">
        <f t="array" ref="F498">IFERROR(IF(INDEX(Data!$E$2:$E$750,SMALL(Data!$S$2:$S$750,392))=0,"",INDEX(Data!$E$2:$E$750,SMALL(Data!$S$2:$S$750,392))),"")</f>
        <v>25</v>
      </c>
      <c r="G498" s="57">
        <f t="array" ref="G498">IFERROR(INDEX(Data!$F$2:$F$750,SMALL(Data!$S$2:$S$750,392)),"")</f>
        <v>1300</v>
      </c>
      <c r="H498" s="58">
        <f t="array" ref="H498">IFERROR(IF(INDEX(Data!$G$2:$G$750,SMALL(Data!$S$2:$S$750,392))=0,"",INDEX(Data!$G$2:$G$750,SMALL(Data!$S$2:$S$750,392))),"")</f>
        <v>46335</v>
      </c>
      <c r="I498" s="56">
        <f t="array" ref="I498">IFERROR(IF(INDEX(Data!$H$2:$H$750,SMALL(Data!$S$2:$S$750,392))=0,"",INDEX(Data!$H$2:$H$750,SMALL(Data!$S$2:$S$750,392))),"")</f>
        <v>4</v>
      </c>
      <c r="J498" s="58">
        <f t="array" ref="J498">IFERROR(INDEX(Data!$I$2:$I$750,SMALL(Data!$S$2:$S$750,392)),"")</f>
        <v>46363</v>
      </c>
      <c r="K498" s="56" t="str">
        <f t="array" ref="K498">IFERROR(INDEX(Data!$J$2:$J$750,SMALL(Data!$S$2:$S$750,392)),"")</f>
        <v>Not Paid</v>
      </c>
      <c r="L498" s="56" t="str">
        <f t="array" ref="L498">IFERROR(INDEX(Data!$K$2:$K$750,SMALL(Data!$S$2:$S$750,392)),"")</f>
        <v>Pending</v>
      </c>
      <c r="M498" s="48" t="s">
        <v>136</v>
      </c>
      <c r="N498" s="48">
        <f>SUMIFS(Data!D2:D750,Data!A2:A750,M498,Data!Q2:Q750,1)</f>
        <v>36337</v>
      </c>
      <c r="O498" s="61">
        <f t="shared" si="1"/>
        <v>36337</v>
      </c>
    </row>
    <row r="499" ht="15.75" customHeight="1">
      <c r="B499" s="53" t="str">
        <f t="array" ref="B499">IFERROR(INDEX(Data!$A$2:$A$750,SMALL(Data!$S$2:$S$750,393)),"")</f>
        <v>BANQUE DU CAIRE S.A.E</v>
      </c>
      <c r="C499" s="53" t="str">
        <f t="array" ref="C499">IFERROR(IF(INDEX(Data!$B$2:$B$750,SMALL(Data!$S$2:$S$750,393))=0,"",INDEX(Data!$B$2:$B$750,SMALL(Data!$S$2:$S$750,393))),"")</f>
        <v/>
      </c>
      <c r="D499" s="53" t="str">
        <f t="array" ref="D499">IFERROR(INDEX(Data!$C$2:$C$750,SMALL(Data!$S$2:$S$750,393)),"")</f>
        <v>Antenna</v>
      </c>
      <c r="E499" s="53">
        <f t="array" ref="E499">IFERROR(IF(INDEX(Data!$D$2:$D$750,SMALL(Data!$S$2:$S$750,393))=0,"",INDEX(Data!$D$2:$D$750,SMALL(Data!$S$2:$S$750,393))),"")</f>
        <v>102</v>
      </c>
      <c r="F499" s="54">
        <f t="array" ref="F499">IFERROR(IF(INDEX(Data!$E$2:$E$750,SMALL(Data!$S$2:$S$750,393))=0,"",INDEX(Data!$E$2:$E$750,SMALL(Data!$S$2:$S$750,393))),"")</f>
        <v>245</v>
      </c>
      <c r="G499" s="54">
        <f t="array" ref="G499">IFERROR(INDEX(Data!$F$2:$F$750,SMALL(Data!$S$2:$S$750,393)),"")</f>
        <v>24990</v>
      </c>
      <c r="H499" s="55">
        <f t="array" ref="H499">IFERROR(IF(INDEX(Data!$G$2:$G$750,SMALL(Data!$S$2:$S$750,393))=0,"",INDEX(Data!$G$2:$G$750,SMALL(Data!$S$2:$S$750,393))),"")</f>
        <v>46336</v>
      </c>
      <c r="I499" s="53">
        <f t="array" ref="I499">IFERROR(IF(INDEX(Data!$H$2:$H$750,SMALL(Data!$S$2:$S$750,393))=0,"",INDEX(Data!$H$2:$H$750,SMALL(Data!$S$2:$S$750,393))),"")</f>
        <v>3</v>
      </c>
      <c r="J499" s="55">
        <f t="array" ref="J499">IFERROR(INDEX(Data!$I$2:$I$750,SMALL(Data!$S$2:$S$750,393)),"")</f>
        <v>46357</v>
      </c>
      <c r="K499" s="53" t="str">
        <f t="array" ref="K499">IFERROR(INDEX(Data!$J$2:$J$750,SMALL(Data!$S$2:$S$750,393)),"")</f>
        <v>Not Paid</v>
      </c>
      <c r="L499" s="53" t="str">
        <f t="array" ref="L499">IFERROR(INDEX(Data!$K$2:$K$750,SMALL(Data!$S$2:$S$750,393)),"")</f>
        <v>Pending</v>
      </c>
      <c r="M499" s="48" t="s">
        <v>139</v>
      </c>
      <c r="N499" s="48">
        <f>SUMIFS(Data!D2:D750,Data!A2:A750,M499,Data!Q2:Q750,1)</f>
        <v>3</v>
      </c>
      <c r="O499" s="61">
        <f t="shared" si="1"/>
        <v>3.00000499</v>
      </c>
    </row>
    <row r="500" ht="15.75" customHeight="1">
      <c r="B500" s="56" t="str">
        <f t="array" ref="B500">IFERROR(INDEX(Data!$A$2:$A$750,SMALL(Data!$S$2:$S$750,394)),"")</f>
        <v>BANQUE DU CAIRE S.A.E</v>
      </c>
      <c r="C500" s="56" t="str">
        <f t="array" ref="C500">IFERROR(IF(INDEX(Data!$B$2:$B$750,SMALL(Data!$S$2:$S$750,394))=0,"",INDEX(Data!$B$2:$B$750,SMALL(Data!$S$2:$S$750,394))),"")</f>
        <v/>
      </c>
      <c r="D500" s="56" t="str">
        <f t="array" ref="D500">IFERROR(INDEX(Data!$C$2:$C$750,SMALL(Data!$S$2:$S$750,394)),"")</f>
        <v>Samsung 50-inch 4K UHD Crystal Smart TV - 50DU7000</v>
      </c>
      <c r="E500" s="56">
        <f t="array" ref="E500">IFERROR(IF(INDEX(Data!$D$2:$D$750,SMALL(Data!$S$2:$S$750,394))=0,"",INDEX(Data!$D$2:$D$750,SMALL(Data!$S$2:$S$750,394))),"")</f>
        <v>1</v>
      </c>
      <c r="F500" s="57">
        <f t="array" ref="F500">IFERROR(IF(INDEX(Data!$E$2:$E$750,SMALL(Data!$S$2:$S$750,394))=0,"",INDEX(Data!$E$2:$E$750,SMALL(Data!$S$2:$S$750,394))),"")</f>
        <v>2555</v>
      </c>
      <c r="G500" s="57">
        <f t="array" ref="G500">IFERROR(INDEX(Data!$F$2:$F$750,SMALL(Data!$S$2:$S$750,394)),"")</f>
        <v>2555</v>
      </c>
      <c r="H500" s="58">
        <f t="array" ref="H500">IFERROR(IF(INDEX(Data!$G$2:$G$750,SMALL(Data!$S$2:$S$750,394))=0,"",INDEX(Data!$G$2:$G$750,SMALL(Data!$S$2:$S$750,394))),"")</f>
        <v>46337</v>
      </c>
      <c r="I500" s="56">
        <f t="array" ref="I500">IFERROR(IF(INDEX(Data!$H$2:$H$750,SMALL(Data!$S$2:$S$750,394))=0,"",INDEX(Data!$H$2:$H$750,SMALL(Data!$S$2:$S$750,394))),"")</f>
        <v>2</v>
      </c>
      <c r="J500" s="58">
        <f t="array" ref="J500">IFERROR(INDEX(Data!$I$2:$I$750,SMALL(Data!$S$2:$S$750,394)),"")</f>
        <v>46351</v>
      </c>
      <c r="K500" s="56" t="str">
        <f t="array" ref="K500">IFERROR(INDEX(Data!$J$2:$J$750,SMALL(Data!$S$2:$S$750,394)),"")</f>
        <v>Not Paid</v>
      </c>
      <c r="L500" s="56" t="str">
        <f t="array" ref="L500">IFERROR(INDEX(Data!$K$2:$K$750,SMALL(Data!$S$2:$S$750,394)),"")</f>
        <v>Pending</v>
      </c>
      <c r="M500" s="48" t="s">
        <v>143</v>
      </c>
      <c r="N500" s="48">
        <f>SUMIFS(Data!D2:D750,Data!A2:A750,M500,Data!Q2:Q750,1)</f>
        <v>7504</v>
      </c>
      <c r="O500" s="61">
        <f t="shared" si="1"/>
        <v>7504.000005</v>
      </c>
    </row>
    <row r="501" ht="15.75" customHeight="1">
      <c r="B501" s="53" t="str">
        <f t="array" ref="B501">IFERROR(INDEX(Data!$A$2:$A$750,SMALL(Data!$S$2:$S$750,395)),"")</f>
        <v>ElAraby Group</v>
      </c>
      <c r="C501" s="53" t="str">
        <f t="array" ref="C501">IFERROR(IF(INDEX(Data!$B$2:$B$750,SMALL(Data!$S$2:$S$750,395))=0,"",INDEX(Data!$B$2:$B$750,SMALL(Data!$S$2:$S$750,395))),"")</f>
        <v/>
      </c>
      <c r="D501" s="53" t="str">
        <f t="array" ref="D501">IFERROR(INDEX(Data!$C$2:$C$750,SMALL(Data!$S$2:$S$750,395)),"")</f>
        <v>windshield</v>
      </c>
      <c r="E501" s="53">
        <f t="array" ref="E501">IFERROR(IF(INDEX(Data!$D$2:$D$750,SMALL(Data!$S$2:$S$750,395))=0,"",INDEX(Data!$D$2:$D$750,SMALL(Data!$S$2:$S$750,395))),"")</f>
        <v>1000</v>
      </c>
      <c r="F501" s="54">
        <f t="array" ref="F501">IFERROR(IF(INDEX(Data!$E$2:$E$750,SMALL(Data!$S$2:$S$750,395))=0,"",INDEX(Data!$E$2:$E$750,SMALL(Data!$S$2:$S$750,395))),"")</f>
        <v>255</v>
      </c>
      <c r="G501" s="54">
        <f t="array" ref="G501">IFERROR(INDEX(Data!$F$2:$F$750,SMALL(Data!$S$2:$S$750,395)),"")</f>
        <v>255000</v>
      </c>
      <c r="H501" s="55">
        <f t="array" ref="H501">IFERROR(IF(INDEX(Data!$G$2:$G$750,SMALL(Data!$S$2:$S$750,395))=0,"",INDEX(Data!$G$2:$G$750,SMALL(Data!$S$2:$S$750,395))),"")</f>
        <v>46338</v>
      </c>
      <c r="I501" s="53">
        <f t="array" ref="I501">IFERROR(IF(INDEX(Data!$H$2:$H$750,SMALL(Data!$S$2:$S$750,395))=0,"",INDEX(Data!$H$2:$H$750,SMALL(Data!$S$2:$S$750,395))),"")</f>
        <v>6</v>
      </c>
      <c r="J501" s="55">
        <f t="array" ref="J501">IFERROR(INDEX(Data!$I$2:$I$750,SMALL(Data!$S$2:$S$750,395)),"")</f>
        <v>46380</v>
      </c>
      <c r="K501" s="53" t="str">
        <f t="array" ref="K501">IFERROR(INDEX(Data!$J$2:$J$750,SMALL(Data!$S$2:$S$750,395)),"")</f>
        <v>Not Paid</v>
      </c>
      <c r="L501" s="53" t="str">
        <f t="array" ref="L501">IFERROR(INDEX(Data!$K$2:$K$750,SMALL(Data!$S$2:$S$750,395)),"")</f>
        <v>Pending</v>
      </c>
      <c r="M501" s="48" t="s">
        <v>146</v>
      </c>
      <c r="N501" s="48">
        <f>SUMIFS(Data!D2:D750,Data!A2:A750,M501,Data!Q2:Q750,1)</f>
        <v>4</v>
      </c>
      <c r="O501" s="61">
        <f t="shared" si="1"/>
        <v>4.00000501</v>
      </c>
    </row>
    <row r="502" ht="15.75" customHeight="1">
      <c r="B502" s="56" t="str">
        <f t="array" ref="B502">IFERROR(INDEX(Data!$A$2:$A$750,SMALL(Data!$S$2:$S$750,396)),"")</f>
        <v>TMG</v>
      </c>
      <c r="C502" s="56" t="str">
        <f t="array" ref="C502">IFERROR(IF(INDEX(Data!$B$2:$B$750,SMALL(Data!$S$2:$S$750,396))=0,"",INDEX(Data!$B$2:$B$750,SMALL(Data!$S$2:$S$750,396))),"")</f>
        <v/>
      </c>
      <c r="D502" s="56" t="str">
        <f t="array" ref="D502">IFERROR(INDEX(Data!$C$2:$C$750,SMALL(Data!$S$2:$S$750,396)),"")</f>
        <v>[OG-00202] EU-Universal Tags (On Metal Tags)</v>
      </c>
      <c r="E502" s="56">
        <f t="array" ref="E502">IFERROR(IF(INDEX(Data!$D$2:$D$750,SMALL(Data!$S$2:$S$750,396))=0,"",INDEX(Data!$D$2:$D$750,SMALL(Data!$S$2:$S$750,396))),"")</f>
        <v>2000</v>
      </c>
      <c r="F502" s="57">
        <f t="array" ref="F502">IFERROR(IF(INDEX(Data!$E$2:$E$750,SMALL(Data!$S$2:$S$750,396))=0,"",INDEX(Data!$E$2:$E$750,SMALL(Data!$S$2:$S$750,396))),"")</f>
        <v>45</v>
      </c>
      <c r="G502" s="57">
        <f t="array" ref="G502">IFERROR(INDEX(Data!$F$2:$F$750,SMALL(Data!$S$2:$S$750,396)),"")</f>
        <v>90000</v>
      </c>
      <c r="H502" s="58">
        <f t="array" ref="H502">IFERROR(IF(INDEX(Data!$G$2:$G$750,SMALL(Data!$S$2:$S$750,396))=0,"",INDEX(Data!$G$2:$G$750,SMALL(Data!$S$2:$S$750,396))),"")</f>
        <v>46339</v>
      </c>
      <c r="I502" s="56">
        <f t="array" ref="I502">IFERROR(IF(INDEX(Data!$H$2:$H$750,SMALL(Data!$S$2:$S$750,396))=0,"",INDEX(Data!$H$2:$H$750,SMALL(Data!$S$2:$S$750,396))),"")</f>
        <v>2</v>
      </c>
      <c r="J502" s="58">
        <f t="array" ref="J502">IFERROR(INDEX(Data!$I$2:$I$750,SMALL(Data!$S$2:$S$750,396)),"")</f>
        <v>46353</v>
      </c>
      <c r="K502" s="56" t="str">
        <f t="array" ref="K502">IFERROR(INDEX(Data!$J$2:$J$750,SMALL(Data!$S$2:$S$750,396)),"")</f>
        <v>Not Paid</v>
      </c>
      <c r="L502" s="56" t="str">
        <f t="array" ref="L502">IFERROR(INDEX(Data!$K$2:$K$750,SMALL(Data!$S$2:$S$750,396)),"")</f>
        <v>Pending</v>
      </c>
      <c r="M502" s="48" t="s">
        <v>150</v>
      </c>
      <c r="N502" s="48">
        <f>SUMIFS(Data!D2:D750,Data!A2:A750,M502,Data!Q2:Q750,1)</f>
        <v>3000</v>
      </c>
      <c r="O502" s="61">
        <f t="shared" si="1"/>
        <v>3000.000005</v>
      </c>
    </row>
    <row r="503" ht="15.75" customHeight="1">
      <c r="B503" s="53" t="str">
        <f t="array" ref="B503">IFERROR(INDEX(Data!$A$2:$A$750,SMALL(Data!$S$2:$S$750,397)),"")</f>
        <v>Al Burouj</v>
      </c>
      <c r="C503" s="53" t="str">
        <f t="array" ref="C503">IFERROR(IF(INDEX(Data!$B$2:$B$750,SMALL(Data!$S$2:$S$750,397))=0,"",INDEX(Data!$B$2:$B$750,SMALL(Data!$S$2:$S$750,397))),"")</f>
        <v/>
      </c>
      <c r="D503" s="53" t="str">
        <f t="array" ref="D503">IFERROR(INDEX(Data!$C$2:$C$750,SMALL(Data!$S$2:$S$750,397)),"")</f>
        <v>LRU 1002</v>
      </c>
      <c r="E503" s="53">
        <f t="array" ref="E503">IFERROR(IF(INDEX(Data!$D$2:$D$750,SMALL(Data!$S$2:$S$750,397))=0,"",INDEX(Data!$D$2:$D$750,SMALL(Data!$S$2:$S$750,397))),"")</f>
        <v>3</v>
      </c>
      <c r="F503" s="54">
        <f t="array" ref="F503">IFERROR(IF(INDEX(Data!$E$2:$E$750,SMALL(Data!$S$2:$S$750,397))=0,"",INDEX(Data!$E$2:$E$750,SMALL(Data!$S$2:$S$750,397))),"")</f>
        <v>36</v>
      </c>
      <c r="G503" s="54">
        <f t="array" ref="G503">IFERROR(INDEX(Data!$F$2:$F$750,SMALL(Data!$S$2:$S$750,397)),"")</f>
        <v>108</v>
      </c>
      <c r="H503" s="55">
        <f t="array" ref="H503">IFERROR(IF(INDEX(Data!$G$2:$G$750,SMALL(Data!$S$2:$S$750,397))=0,"",INDEX(Data!$G$2:$G$750,SMALL(Data!$S$2:$S$750,397))),"")</f>
        <v>46340</v>
      </c>
      <c r="I503" s="53">
        <f t="array" ref="I503">IFERROR(IF(INDEX(Data!$H$2:$H$750,SMALL(Data!$S$2:$S$750,397))=0,"",INDEX(Data!$H$2:$H$750,SMALL(Data!$S$2:$S$750,397))),"")</f>
        <v>5</v>
      </c>
      <c r="J503" s="55">
        <f t="array" ref="J503">IFERROR(INDEX(Data!$I$2:$I$750,SMALL(Data!$S$2:$S$750,397)),"")</f>
        <v>46375</v>
      </c>
      <c r="K503" s="53" t="str">
        <f t="array" ref="K503">IFERROR(INDEX(Data!$J$2:$J$750,SMALL(Data!$S$2:$S$750,397)),"")</f>
        <v>Not Paid</v>
      </c>
      <c r="L503" s="53" t="str">
        <f t="array" ref="L503">IFERROR(INDEX(Data!$K$2:$K$750,SMALL(Data!$S$2:$S$750,397)),"")</f>
        <v>Pending</v>
      </c>
      <c r="M503" s="48" t="s">
        <v>154</v>
      </c>
      <c r="N503" s="48">
        <f>SUMIFS(Data!D2:D750,Data!A2:A750,M503,Data!Q2:Q750,1)</f>
        <v>49600</v>
      </c>
      <c r="O503" s="61">
        <f t="shared" si="1"/>
        <v>49600.00001</v>
      </c>
    </row>
    <row r="504" ht="15.75" customHeight="1">
      <c r="B504" s="56" t="str">
        <f t="array" ref="B504">IFERROR(INDEX(Data!$A$2:$A$750,SMALL(Data!$S$2:$S$750,398)),"")</f>
        <v>Al Burouj</v>
      </c>
      <c r="C504" s="56" t="str">
        <f t="array" ref="C504">IFERROR(IF(INDEX(Data!$B$2:$B$750,SMALL(Data!$S$2:$S$750,398))=0,"",INDEX(Data!$B$2:$B$750,SMALL(Data!$S$2:$S$750,398))),"")</f>
        <v/>
      </c>
      <c r="D504" s="56" t="str">
        <f t="array" ref="D504">IFERROR(INDEX(Data!$C$2:$C$750,SMALL(Data!$S$2:$S$750,398)),"")</f>
        <v>ANT 270</v>
      </c>
      <c r="E504" s="56">
        <f t="array" ref="E504">IFERROR(IF(INDEX(Data!$D$2:$D$750,SMALL(Data!$S$2:$S$750,398))=0,"",INDEX(Data!$D$2:$D$750,SMALL(Data!$S$2:$S$750,398))),"")</f>
        <v>12</v>
      </c>
      <c r="F504" s="57">
        <f t="array" ref="F504">IFERROR(IF(INDEX(Data!$E$2:$E$750,SMALL(Data!$S$2:$S$750,398))=0,"",INDEX(Data!$E$2:$E$750,SMALL(Data!$S$2:$S$750,398))),"")</f>
        <v>96</v>
      </c>
      <c r="G504" s="57">
        <f t="array" ref="G504">IFERROR(INDEX(Data!$F$2:$F$750,SMALL(Data!$S$2:$S$750,398)),"")</f>
        <v>1152</v>
      </c>
      <c r="H504" s="58">
        <f t="array" ref="H504">IFERROR(IF(INDEX(Data!$G$2:$G$750,SMALL(Data!$S$2:$S$750,398))=0,"",INDEX(Data!$G$2:$G$750,SMALL(Data!$S$2:$S$750,398))),"")</f>
        <v>46341</v>
      </c>
      <c r="I504" s="56">
        <f t="array" ref="I504">IFERROR(IF(INDEX(Data!$H$2:$H$750,SMALL(Data!$S$2:$S$750,398))=0,"",INDEX(Data!$H$2:$H$750,SMALL(Data!$S$2:$S$750,398))),"")</f>
        <v>6</v>
      </c>
      <c r="J504" s="58">
        <f t="array" ref="J504">IFERROR(INDEX(Data!$I$2:$I$750,SMALL(Data!$S$2:$S$750,398)),"")</f>
        <v>46383</v>
      </c>
      <c r="K504" s="56" t="str">
        <f t="array" ref="K504">IFERROR(INDEX(Data!$J$2:$J$750,SMALL(Data!$S$2:$S$750,398)),"")</f>
        <v>Not Paid</v>
      </c>
      <c r="L504" s="56" t="str">
        <f t="array" ref="L504">IFERROR(INDEX(Data!$K$2:$K$750,SMALL(Data!$S$2:$S$750,398)),"")</f>
        <v>Pending</v>
      </c>
      <c r="M504" s="48" t="s">
        <v>158</v>
      </c>
      <c r="N504" s="48">
        <f>SUMIFS(Data!D2:D750,Data!A2:A750,M504,Data!Q2:Q750,1)</f>
        <v>8</v>
      </c>
      <c r="O504" s="61">
        <f t="shared" si="1"/>
        <v>8.00000504</v>
      </c>
    </row>
    <row r="505" ht="15.75" customHeight="1">
      <c r="B505" s="53" t="str">
        <f t="array" ref="B505">IFERROR(INDEX(Data!$A$2:$A$750,SMALL(Data!$S$2:$S$750,399)),"")</f>
        <v>La Vista</v>
      </c>
      <c r="C505" s="53" t="str">
        <f t="array" ref="C505">IFERROR(IF(INDEX(Data!$B$2:$B$750,SMALL(Data!$S$2:$S$750,399))=0,"",INDEX(Data!$B$2:$B$750,SMALL(Data!$S$2:$S$750,399))),"")</f>
        <v/>
      </c>
      <c r="D505" s="53" t="str">
        <f t="array" ref="D505">IFERROR(INDEX(Data!$C$2:$C$750,SMALL(Data!$S$2:$S$750,399)),"")</f>
        <v>(SBH01) Barrier Beam Connection piece Flange</v>
      </c>
      <c r="E505" s="53">
        <f t="array" ref="E505">IFERROR(IF(INDEX(Data!$D$2:$D$750,SMALL(Data!$S$2:$S$750,399))=0,"",INDEX(Data!$D$2:$D$750,SMALL(Data!$S$2:$S$750,399))),"")</f>
        <v>1</v>
      </c>
      <c r="F505" s="54">
        <f t="array" ref="F505">IFERROR(IF(INDEX(Data!$E$2:$E$750,SMALL(Data!$S$2:$S$750,399))=0,"",INDEX(Data!$E$2:$E$750,SMALL(Data!$S$2:$S$750,399))),"")</f>
        <v>8</v>
      </c>
      <c r="G505" s="54">
        <f t="array" ref="G505">IFERROR(INDEX(Data!$F$2:$F$750,SMALL(Data!$S$2:$S$750,399)),"")</f>
        <v>8</v>
      </c>
      <c r="H505" s="55">
        <f t="array" ref="H505">IFERROR(IF(INDEX(Data!$G$2:$G$750,SMALL(Data!$S$2:$S$750,399))=0,"",INDEX(Data!$G$2:$G$750,SMALL(Data!$S$2:$S$750,399))),"")</f>
        <v>46342</v>
      </c>
      <c r="I505" s="53">
        <f t="array" ref="I505">IFERROR(IF(INDEX(Data!$H$2:$H$750,SMALL(Data!$S$2:$S$750,399))=0,"",INDEX(Data!$H$2:$H$750,SMALL(Data!$S$2:$S$750,399))),"")</f>
        <v>2</v>
      </c>
      <c r="J505" s="55">
        <f t="array" ref="J505">IFERROR(INDEX(Data!$I$2:$I$750,SMALL(Data!$S$2:$S$750,399)),"")</f>
        <v>46356</v>
      </c>
      <c r="K505" s="53" t="str">
        <f t="array" ref="K505">IFERROR(INDEX(Data!$J$2:$J$750,SMALL(Data!$S$2:$S$750,399)),"")</f>
        <v>Not Paid</v>
      </c>
      <c r="L505" s="53" t="str">
        <f t="array" ref="L505">IFERROR(INDEX(Data!$K$2:$K$750,SMALL(Data!$S$2:$S$750,399)),"")</f>
        <v>Pending</v>
      </c>
      <c r="M505" s="48" t="s">
        <v>162</v>
      </c>
      <c r="N505" s="48">
        <f>SUMIFS(Data!D2:D750,Data!A2:A750,M505,Data!Q2:Q750,1)</f>
        <v>36</v>
      </c>
      <c r="O505" s="61">
        <f t="shared" si="1"/>
        <v>36.00000505</v>
      </c>
    </row>
    <row r="506" ht="15.75" customHeight="1">
      <c r="B506" s="56" t="str">
        <f t="array" ref="B506">IFERROR(INDEX(Data!$A$2:$A$750,SMALL(Data!$S$2:$S$750,400)),"")</f>
        <v>Bright Information System</v>
      </c>
      <c r="C506" s="56" t="str">
        <f t="array" ref="C506">IFERROR(IF(INDEX(Data!$B$2:$B$750,SMALL(Data!$S$2:$S$750,400))=0,"",INDEX(Data!$B$2:$B$750,SMALL(Data!$S$2:$S$750,400))),"")</f>
        <v/>
      </c>
      <c r="D506" s="56" t="str">
        <f t="array" ref="D506">IFERROR(INDEX(Data!$C$2:$C$750,SMALL(Data!$S$2:$S$750,400)),"")</f>
        <v>[WWCT03243] CT4−LX TT203 RFID UHF Printer</v>
      </c>
      <c r="E506" s="56">
        <f t="array" ref="E506">IFERROR(IF(INDEX(Data!$D$2:$D$750,SMALL(Data!$S$2:$S$750,400))=0,"",INDEX(Data!$D$2:$D$750,SMALL(Data!$S$2:$S$750,400))),"")</f>
        <v>1</v>
      </c>
      <c r="F506" s="57">
        <f t="array" ref="F506">IFERROR(IF(INDEX(Data!$E$2:$E$750,SMALL(Data!$S$2:$S$750,400))=0,"",INDEX(Data!$E$2:$E$750,SMALL(Data!$S$2:$S$750,400))),"")</f>
        <v>5</v>
      </c>
      <c r="G506" s="57">
        <f t="array" ref="G506">IFERROR(INDEX(Data!$F$2:$F$750,SMALL(Data!$S$2:$S$750,400)),"")</f>
        <v>5</v>
      </c>
      <c r="H506" s="58">
        <f t="array" ref="H506">IFERROR(IF(INDEX(Data!$G$2:$G$750,SMALL(Data!$S$2:$S$750,400))=0,"",INDEX(Data!$G$2:$G$750,SMALL(Data!$S$2:$S$750,400))),"")</f>
        <v>46343</v>
      </c>
      <c r="I506" s="56">
        <f t="array" ref="I506">IFERROR(IF(INDEX(Data!$H$2:$H$750,SMALL(Data!$S$2:$S$750,400))=0,"",INDEX(Data!$H$2:$H$750,SMALL(Data!$S$2:$S$750,400))),"")</f>
        <v>2</v>
      </c>
      <c r="J506" s="58">
        <f t="array" ref="J506">IFERROR(INDEX(Data!$I$2:$I$750,SMALL(Data!$S$2:$S$750,400)),"")</f>
        <v>46357</v>
      </c>
      <c r="K506" s="56" t="str">
        <f t="array" ref="K506">IFERROR(INDEX(Data!$J$2:$J$750,SMALL(Data!$S$2:$S$750,400)),"")</f>
        <v>Not Paid</v>
      </c>
      <c r="L506" s="56" t="str">
        <f t="array" ref="L506">IFERROR(INDEX(Data!$K$2:$K$750,SMALL(Data!$S$2:$S$750,400)),"")</f>
        <v>Pending</v>
      </c>
      <c r="M506" s="48" t="s">
        <v>165</v>
      </c>
      <c r="N506" s="48">
        <f>SUMIFS(Data!D2:D750,Data!A2:A750,M506,Data!Q2:Q750,1)</f>
        <v>1</v>
      </c>
      <c r="O506" s="61">
        <f t="shared" si="1"/>
        <v>1.00000506</v>
      </c>
    </row>
    <row r="507" ht="15.75" customHeight="1">
      <c r="B507" s="53" t="str">
        <f t="array" ref="B507">IFERROR(INDEX(Data!$A$2:$A$750,SMALL(Data!$S$2:$S$750,401)),"")</f>
        <v>Bright Information System</v>
      </c>
      <c r="C507" s="53" t="str">
        <f t="array" ref="C507">IFERROR(IF(INDEX(Data!$B$2:$B$750,SMALL(Data!$S$2:$S$750,401))=0,"",INDEX(Data!$B$2:$B$750,SMALL(Data!$S$2:$S$750,401))),"")</f>
        <v/>
      </c>
      <c r="D507" s="53" t="str">
        <f t="array" ref="D507">IFERROR(INDEX(Data!$C$2:$C$750,SMALL(Data!$S$2:$S$750,401)),"")</f>
        <v>Zebra DS8108 Barcode Scanner</v>
      </c>
      <c r="E507" s="53">
        <f t="array" ref="E507">IFERROR(IF(INDEX(Data!$D$2:$D$750,SMALL(Data!$S$2:$S$750,401))=0,"",INDEX(Data!$D$2:$D$750,SMALL(Data!$S$2:$S$750,401))),"")</f>
        <v>1</v>
      </c>
      <c r="F507" s="54">
        <f t="array" ref="F507">IFERROR(IF(INDEX(Data!$E$2:$E$750,SMALL(Data!$S$2:$S$750,401))=0,"",INDEX(Data!$E$2:$E$750,SMALL(Data!$S$2:$S$750,401))),"")</f>
        <v>4</v>
      </c>
      <c r="G507" s="54">
        <f t="array" ref="G507">IFERROR(INDEX(Data!$F$2:$F$750,SMALL(Data!$S$2:$S$750,401)),"")</f>
        <v>4</v>
      </c>
      <c r="H507" s="55">
        <f t="array" ref="H507">IFERROR(IF(INDEX(Data!$G$2:$G$750,SMALL(Data!$S$2:$S$750,401))=0,"",INDEX(Data!$G$2:$G$750,SMALL(Data!$S$2:$S$750,401))),"")</f>
        <v>46144</v>
      </c>
      <c r="I507" s="53">
        <f t="array" ref="I507">IFERROR(IF(INDEX(Data!$H$2:$H$750,SMALL(Data!$S$2:$S$750,401))=0,"",INDEX(Data!$H$2:$H$750,SMALL(Data!$S$2:$S$750,401))),"")</f>
        <v>6</v>
      </c>
      <c r="J507" s="55">
        <f t="array" ref="J507">IFERROR(INDEX(Data!$I$2:$I$750,SMALL(Data!$S$2:$S$750,401)),"")</f>
        <v>46186</v>
      </c>
      <c r="K507" s="53" t="str">
        <f t="array" ref="K507">IFERROR(INDEX(Data!$J$2:$J$750,SMALL(Data!$S$2:$S$750,401)),"")</f>
        <v>Not Paid</v>
      </c>
      <c r="L507" s="53" t="str">
        <f t="array" ref="L507">IFERROR(INDEX(Data!$K$2:$K$750,SMALL(Data!$S$2:$S$750,401)),"")</f>
        <v>Pending</v>
      </c>
      <c r="M507" s="48" t="s">
        <v>168</v>
      </c>
      <c r="N507" s="48">
        <f>SUMIFS(Data!D2:D750,Data!A2:A750,M507,Data!Q2:Q750,1)</f>
        <v>214</v>
      </c>
      <c r="O507" s="61">
        <f t="shared" si="1"/>
        <v>214.0000051</v>
      </c>
    </row>
    <row r="508" ht="15.75" customHeight="1">
      <c r="B508" s="56" t="str">
        <f t="array" ref="B508">IFERROR(INDEX(Data!$A$2:$A$750,SMALL(Data!$S$2:$S$750,402)),"")</f>
        <v>Bright Information System</v>
      </c>
      <c r="C508" s="56" t="str">
        <f t="array" ref="C508">IFERROR(IF(INDEX(Data!$B$2:$B$750,SMALL(Data!$S$2:$S$750,402))=0,"",INDEX(Data!$B$2:$B$750,SMALL(Data!$S$2:$S$750,402))),"")</f>
        <v/>
      </c>
      <c r="D508" s="56" t="str">
        <f t="array" ref="D508">IFERROR(INDEX(Data!$C$2:$C$750,SMALL(Data!$S$2:$S$750,402)),"")</f>
        <v>Ribbons for SATO Desktop Printer</v>
      </c>
      <c r="E508" s="56">
        <f t="array" ref="E508">IFERROR(IF(INDEX(Data!$D$2:$D$750,SMALL(Data!$S$2:$S$750,402))=0,"",INDEX(Data!$D$2:$D$750,SMALL(Data!$S$2:$S$750,402))),"")</f>
        <v>3</v>
      </c>
      <c r="F508" s="57">
        <f t="array" ref="F508">IFERROR(IF(INDEX(Data!$E$2:$E$750,SMALL(Data!$S$2:$S$750,402))=0,"",INDEX(Data!$E$2:$E$750,SMALL(Data!$S$2:$S$750,402))),"")</f>
        <v>2</v>
      </c>
      <c r="G508" s="57">
        <f t="array" ref="G508">IFERROR(INDEX(Data!$F$2:$F$750,SMALL(Data!$S$2:$S$750,402)),"")</f>
        <v>6</v>
      </c>
      <c r="H508" s="58">
        <f t="array" ref="H508">IFERROR(IF(INDEX(Data!$G$2:$G$750,SMALL(Data!$S$2:$S$750,402))=0,"",INDEX(Data!$G$2:$G$750,SMALL(Data!$S$2:$S$750,402))),"")</f>
        <v>46145</v>
      </c>
      <c r="I508" s="56">
        <f t="array" ref="I508">IFERROR(IF(INDEX(Data!$H$2:$H$750,SMALL(Data!$S$2:$S$750,402))=0,"",INDEX(Data!$H$2:$H$750,SMALL(Data!$S$2:$S$750,402))),"")</f>
        <v>4</v>
      </c>
      <c r="J508" s="58">
        <f t="array" ref="J508">IFERROR(INDEX(Data!$I$2:$I$750,SMALL(Data!$S$2:$S$750,402)),"")</f>
        <v>46173</v>
      </c>
      <c r="K508" s="56" t="str">
        <f t="array" ref="K508">IFERROR(INDEX(Data!$J$2:$J$750,SMALL(Data!$S$2:$S$750,402)),"")</f>
        <v>Not Paid</v>
      </c>
      <c r="L508" s="56" t="str">
        <f t="array" ref="L508">IFERROR(INDEX(Data!$K$2:$K$750,SMALL(Data!$S$2:$S$750,402)),"")</f>
        <v>Pending</v>
      </c>
      <c r="M508" s="48" t="s">
        <v>171</v>
      </c>
      <c r="N508" s="48">
        <f>SUMIFS(Data!D2:D750,Data!A2:A750,M508,Data!Q2:Q750,1)</f>
        <v>6</v>
      </c>
      <c r="O508" s="61">
        <f t="shared" si="1"/>
        <v>6.00000508</v>
      </c>
    </row>
    <row r="509" ht="15.75" customHeight="1">
      <c r="B509" s="53" t="str">
        <f t="array" ref="B509">IFERROR(INDEX(Data!$A$2:$A$750,SMALL(Data!$S$2:$S$750,403)),"")</f>
        <v>Bright Information System</v>
      </c>
      <c r="C509" s="53" t="str">
        <f t="array" ref="C509">IFERROR(IF(INDEX(Data!$B$2:$B$750,SMALL(Data!$S$2:$S$750,403))=0,"",INDEX(Data!$B$2:$B$750,SMALL(Data!$S$2:$S$750,403))),"")</f>
        <v/>
      </c>
      <c r="D509" s="53" t="str">
        <f t="array" ref="D509">IFERROR(INDEX(Data!$C$2:$C$750,SMALL(Data!$S$2:$S$750,403)),"")</f>
        <v>[OG-00209] Silver Barcode Labels (50mm * 25mm)</v>
      </c>
      <c r="E509" s="53">
        <f t="array" ref="E509">IFERROR(IF(INDEX(Data!$D$2:$D$750,SMALL(Data!$S$2:$S$750,403))=0,"",INDEX(Data!$D$2:$D$750,SMALL(Data!$S$2:$S$750,403))),"")</f>
        <v>2</v>
      </c>
      <c r="F509" s="54">
        <f t="array" ref="F509">IFERROR(IF(INDEX(Data!$E$2:$E$750,SMALL(Data!$S$2:$S$750,403))=0,"",INDEX(Data!$E$2:$E$750,SMALL(Data!$S$2:$S$750,403))),"")</f>
        <v>36</v>
      </c>
      <c r="G509" s="54">
        <f t="array" ref="G509">IFERROR(INDEX(Data!$F$2:$F$750,SMALL(Data!$S$2:$S$750,403)),"")</f>
        <v>72</v>
      </c>
      <c r="H509" s="55">
        <f t="array" ref="H509">IFERROR(IF(INDEX(Data!$G$2:$G$750,SMALL(Data!$S$2:$S$750,403))=0,"",INDEX(Data!$G$2:$G$750,SMALL(Data!$S$2:$S$750,403))),"")</f>
        <v>46146</v>
      </c>
      <c r="I509" s="53">
        <f t="array" ref="I509">IFERROR(IF(INDEX(Data!$H$2:$H$750,SMALL(Data!$S$2:$S$750,403))=0,"",INDEX(Data!$H$2:$H$750,SMALL(Data!$S$2:$S$750,403))),"")</f>
        <v>4</v>
      </c>
      <c r="J509" s="55">
        <f t="array" ref="J509">IFERROR(INDEX(Data!$I$2:$I$750,SMALL(Data!$S$2:$S$750,403)),"")</f>
        <v>46174</v>
      </c>
      <c r="K509" s="53" t="str">
        <f t="array" ref="K509">IFERROR(INDEX(Data!$J$2:$J$750,SMALL(Data!$S$2:$S$750,403)),"")</f>
        <v>Not Paid</v>
      </c>
      <c r="L509" s="53" t="str">
        <f t="array" ref="L509">IFERROR(INDEX(Data!$K$2:$K$750,SMALL(Data!$S$2:$S$750,403)),"")</f>
        <v>Pending</v>
      </c>
      <c r="M509" s="48" t="s">
        <v>174</v>
      </c>
      <c r="N509" s="48">
        <f>SUMIFS(Data!D2:D750,Data!A2:A750,M509,Data!Q2:Q750,1)</f>
        <v>4500</v>
      </c>
      <c r="O509" s="61">
        <f t="shared" si="1"/>
        <v>4500.000005</v>
      </c>
    </row>
    <row r="510" ht="15.75" customHeight="1">
      <c r="B510" s="56" t="str">
        <f t="array" ref="B510">IFERROR(INDEX(Data!$A$2:$A$750,SMALL(Data!$S$2:$S$750,404)),"")</f>
        <v>Orascom</v>
      </c>
      <c r="C510" s="56" t="str">
        <f t="array" ref="C510">IFERROR(IF(INDEX(Data!$B$2:$B$750,SMALL(Data!$S$2:$S$750,404))=0,"",INDEX(Data!$B$2:$B$750,SMALL(Data!$S$2:$S$750,404))),"")</f>
        <v/>
      </c>
      <c r="D510" s="56" t="str">
        <f t="array" ref="D510">IFERROR(INDEX(Data!$C$2:$C$750,SMALL(Data!$S$2:$S$750,404)),"")</f>
        <v>Rib boom 5m</v>
      </c>
      <c r="E510" s="56">
        <f t="array" ref="E510">IFERROR(IF(INDEX(Data!$D$2:$D$750,SMALL(Data!$S$2:$S$750,404))=0,"",INDEX(Data!$D$2:$D$750,SMALL(Data!$S$2:$S$750,404))),"")</f>
        <v>1</v>
      </c>
      <c r="F510" s="57">
        <f t="array" ref="F510">IFERROR(IF(INDEX(Data!$E$2:$E$750,SMALL(Data!$S$2:$S$750,404))=0,"",INDEX(Data!$E$2:$E$750,SMALL(Data!$S$2:$S$750,404))),"")</f>
        <v>2</v>
      </c>
      <c r="G510" s="57">
        <f t="array" ref="G510">IFERROR(INDEX(Data!$F$2:$F$750,SMALL(Data!$S$2:$S$750,404)),"")</f>
        <v>2</v>
      </c>
      <c r="H510" s="58">
        <f t="array" ref="H510">IFERROR(IF(INDEX(Data!$G$2:$G$750,SMALL(Data!$S$2:$S$750,404))=0,"",INDEX(Data!$G$2:$G$750,SMALL(Data!$S$2:$S$750,404))),"")</f>
        <v>46147</v>
      </c>
      <c r="I510" s="56">
        <f t="array" ref="I510">IFERROR(IF(INDEX(Data!$H$2:$H$750,SMALL(Data!$S$2:$S$750,404))=0,"",INDEX(Data!$H$2:$H$750,SMALL(Data!$S$2:$S$750,404))),"")</f>
        <v>4</v>
      </c>
      <c r="J510" s="58">
        <f t="array" ref="J510">IFERROR(INDEX(Data!$I$2:$I$750,SMALL(Data!$S$2:$S$750,404)),"")</f>
        <v>46175</v>
      </c>
      <c r="K510" s="56" t="str">
        <f t="array" ref="K510">IFERROR(INDEX(Data!$J$2:$J$750,SMALL(Data!$S$2:$S$750,404)),"")</f>
        <v>Not Paid</v>
      </c>
      <c r="L510" s="56" t="str">
        <f t="array" ref="L510">IFERROR(INDEX(Data!$K$2:$K$750,SMALL(Data!$S$2:$S$750,404)),"")</f>
        <v>Pending</v>
      </c>
      <c r="M510" s="48" t="s">
        <v>177</v>
      </c>
      <c r="N510" s="48">
        <f>SUMIFS(Data!D2:D750,Data!A2:A750,M510,Data!Q2:Q750,1)</f>
        <v>2002</v>
      </c>
      <c r="O510" s="61">
        <f t="shared" si="1"/>
        <v>2002.000005</v>
      </c>
    </row>
    <row r="511" ht="15.75" customHeight="1">
      <c r="B511" s="53">
        <f t="array" ref="B511">IFERROR(INDEX(Data!$A$2:$A$750,SMALL(Data!$S$2:$S$750,405)),"")</f>
        <v>57357</v>
      </c>
      <c r="C511" s="53" t="str">
        <f t="array" ref="C511">IFERROR(IF(INDEX(Data!$B$2:$B$750,SMALL(Data!$S$2:$S$750,405))=0,"",INDEX(Data!$B$2:$B$750,SMALL(Data!$S$2:$S$750,405))),"")</f>
        <v/>
      </c>
      <c r="D511" s="53" t="str">
        <f t="array" ref="D511">IFERROR(INDEX(Data!$C$2:$C$750,SMALL(Data!$S$2:$S$750,405)),"")</f>
        <v>[14229] Paper tags (Dogbone) Blank</v>
      </c>
      <c r="E511" s="53">
        <f t="array" ref="E511">IFERROR(IF(INDEX(Data!$D$2:$D$750,SMALL(Data!$S$2:$S$750,405))=0,"",INDEX(Data!$D$2:$D$750,SMALL(Data!$S$2:$S$750,405))),"")</f>
        <v>10000</v>
      </c>
      <c r="F511" s="54">
        <f t="array" ref="F511">IFERROR(IF(INDEX(Data!$E$2:$E$750,SMALL(Data!$S$2:$S$750,405))=0,"",INDEX(Data!$E$2:$E$750,SMALL(Data!$S$2:$S$750,405))),"")</f>
        <v>5</v>
      </c>
      <c r="G511" s="54">
        <f t="array" ref="G511">IFERROR(INDEX(Data!$F$2:$F$750,SMALL(Data!$S$2:$S$750,405)),"")</f>
        <v>50000</v>
      </c>
      <c r="H511" s="55">
        <f t="array" ref="H511">IFERROR(IF(INDEX(Data!$G$2:$G$750,SMALL(Data!$S$2:$S$750,405))=0,"",INDEX(Data!$G$2:$G$750,SMALL(Data!$S$2:$S$750,405))),"")</f>
        <v>46148</v>
      </c>
      <c r="I511" s="53">
        <f t="array" ref="I511">IFERROR(IF(INDEX(Data!$H$2:$H$750,SMALL(Data!$S$2:$S$750,405))=0,"",INDEX(Data!$H$2:$H$750,SMALL(Data!$S$2:$S$750,405))),"")</f>
        <v>4</v>
      </c>
      <c r="J511" s="55">
        <f t="array" ref="J511">IFERROR(INDEX(Data!$I$2:$I$750,SMALL(Data!$S$2:$S$750,405)),"")</f>
        <v>46176</v>
      </c>
      <c r="K511" s="53" t="str">
        <f t="array" ref="K511">IFERROR(INDEX(Data!$J$2:$J$750,SMALL(Data!$S$2:$S$750,405)),"")</f>
        <v>Not Paid</v>
      </c>
      <c r="L511" s="53" t="str">
        <f t="array" ref="L511">IFERROR(INDEX(Data!$K$2:$K$750,SMALL(Data!$S$2:$S$750,405)),"")</f>
        <v>Pending</v>
      </c>
      <c r="M511" s="48" t="s">
        <v>180</v>
      </c>
      <c r="N511" s="48">
        <f>SUMIFS(Data!D2:D750,Data!A2:A750,M511,Data!Q2:Q750,1)</f>
        <v>1411</v>
      </c>
      <c r="O511" s="61">
        <f t="shared" si="1"/>
        <v>1411.000005</v>
      </c>
    </row>
    <row r="512" ht="15.75" customHeight="1">
      <c r="B512" s="56">
        <f t="array" ref="B512">IFERROR(INDEX(Data!$A$2:$A$750,SMALL(Data!$S$2:$S$750,406)),"")</f>
        <v>57357</v>
      </c>
      <c r="C512" s="56" t="str">
        <f t="array" ref="C512">IFERROR(IF(INDEX(Data!$B$2:$B$750,SMALL(Data!$S$2:$S$750,406))=0,"",INDEX(Data!$B$2:$B$750,SMALL(Data!$S$2:$S$750,406))),"")</f>
        <v/>
      </c>
      <c r="D512" s="56" t="str">
        <f t="array" ref="D512">IFERROR(INDEX(Data!$C$2:$C$750,SMALL(Data!$S$2:$S$750,406)),"")</f>
        <v>RCO7012-blank</v>
      </c>
      <c r="E512" s="56">
        <f t="array" ref="E512">IFERROR(IF(INDEX(Data!$D$2:$D$750,SMALL(Data!$S$2:$S$750,406))=0,"",INDEX(Data!$D$2:$D$750,SMALL(Data!$S$2:$S$750,406))),"")</f>
        <v>2000</v>
      </c>
      <c r="F512" s="57">
        <f t="array" ref="F512">IFERROR(IF(INDEX(Data!$E$2:$E$750,SMALL(Data!$S$2:$S$750,406))=0,"",INDEX(Data!$E$2:$E$750,SMALL(Data!$S$2:$S$750,406))),"")</f>
        <v>6</v>
      </c>
      <c r="G512" s="57">
        <f t="array" ref="G512">IFERROR(INDEX(Data!$F$2:$F$750,SMALL(Data!$S$2:$S$750,406)),"")</f>
        <v>12000</v>
      </c>
      <c r="H512" s="58">
        <f t="array" ref="H512">IFERROR(IF(INDEX(Data!$G$2:$G$750,SMALL(Data!$S$2:$S$750,406))=0,"",INDEX(Data!$G$2:$G$750,SMALL(Data!$S$2:$S$750,406))),"")</f>
        <v>46149</v>
      </c>
      <c r="I512" s="56">
        <f t="array" ref="I512">IFERROR(IF(INDEX(Data!$H$2:$H$750,SMALL(Data!$S$2:$S$750,406))=0,"",INDEX(Data!$H$2:$H$750,SMALL(Data!$S$2:$S$750,406))),"")</f>
        <v>4</v>
      </c>
      <c r="J512" s="58">
        <f t="array" ref="J512">IFERROR(INDEX(Data!$I$2:$I$750,SMALL(Data!$S$2:$S$750,406)),"")</f>
        <v>46177</v>
      </c>
      <c r="K512" s="56" t="str">
        <f t="array" ref="K512">IFERROR(INDEX(Data!$J$2:$J$750,SMALL(Data!$S$2:$S$750,406)),"")</f>
        <v>Not Paid</v>
      </c>
      <c r="L512" s="56" t="str">
        <f t="array" ref="L512">IFERROR(INDEX(Data!$K$2:$K$750,SMALL(Data!$S$2:$S$750,406)),"")</f>
        <v>Pending</v>
      </c>
      <c r="M512" s="48" t="s">
        <v>183</v>
      </c>
      <c r="N512" s="48">
        <f>SUMIFS(Data!D2:D750,Data!A2:A750,M512,Data!Q2:Q750,1)</f>
        <v>106</v>
      </c>
      <c r="O512" s="61">
        <f t="shared" si="1"/>
        <v>106.0000051</v>
      </c>
    </row>
    <row r="513" ht="15.75" customHeight="1">
      <c r="B513" s="53">
        <f t="array" ref="B513">IFERROR(INDEX(Data!$A$2:$A$750,SMALL(Data!$S$2:$S$750,407)),"")</f>
        <v>57357</v>
      </c>
      <c r="C513" s="53" t="str">
        <f t="array" ref="C513">IFERROR(IF(INDEX(Data!$B$2:$B$750,SMALL(Data!$S$2:$S$750,407))=0,"",INDEX(Data!$B$2:$B$750,SMALL(Data!$S$2:$S$750,407))),"")</f>
        <v/>
      </c>
      <c r="D513" s="53" t="str">
        <f t="array" ref="D513">IFERROR(INDEX(Data!$C$2:$C$750,SMALL(Data!$S$2:$S$750,407)),"")</f>
        <v>[OG-00215] M-Crown RFID Hard Tags</v>
      </c>
      <c r="E513" s="53">
        <f t="array" ref="E513">IFERROR(IF(INDEX(Data!$D$2:$D$750,SMALL(Data!$S$2:$S$750,407))=0,"",INDEX(Data!$D$2:$D$750,SMALL(Data!$S$2:$S$750,407))),"")</f>
        <v>500</v>
      </c>
      <c r="F513" s="54">
        <f t="array" ref="F513">IFERROR(IF(INDEX(Data!$E$2:$E$750,SMALL(Data!$S$2:$S$750,407))=0,"",INDEX(Data!$E$2:$E$750,SMALL(Data!$S$2:$S$750,407))),"")</f>
        <v>7</v>
      </c>
      <c r="G513" s="54">
        <f t="array" ref="G513">IFERROR(INDEX(Data!$F$2:$F$750,SMALL(Data!$S$2:$S$750,407)),"")</f>
        <v>3500</v>
      </c>
      <c r="H513" s="55">
        <f t="array" ref="H513">IFERROR(IF(INDEX(Data!$G$2:$G$750,SMALL(Data!$S$2:$S$750,407))=0,"",INDEX(Data!$G$2:$G$750,SMALL(Data!$S$2:$S$750,407))),"")</f>
        <v>46150</v>
      </c>
      <c r="I513" s="53">
        <f t="array" ref="I513">IFERROR(IF(INDEX(Data!$H$2:$H$750,SMALL(Data!$S$2:$S$750,407))=0,"",INDEX(Data!$H$2:$H$750,SMALL(Data!$S$2:$S$750,407))),"")</f>
        <v>4</v>
      </c>
      <c r="J513" s="55">
        <f t="array" ref="J513">IFERROR(INDEX(Data!$I$2:$I$750,SMALL(Data!$S$2:$S$750,407)),"")</f>
        <v>46178</v>
      </c>
      <c r="K513" s="53" t="str">
        <f t="array" ref="K513">IFERROR(INDEX(Data!$J$2:$J$750,SMALL(Data!$S$2:$S$750,407)),"")</f>
        <v>Not Paid</v>
      </c>
      <c r="L513" s="53" t="str">
        <f t="array" ref="L513">IFERROR(INDEX(Data!$K$2:$K$750,SMALL(Data!$S$2:$S$750,407)),"")</f>
        <v>Pending</v>
      </c>
      <c r="M513" s="48" t="s">
        <v>185</v>
      </c>
      <c r="N513" s="48">
        <f>SUMIFS(Data!D2:D750,Data!A2:A750,M513,Data!Q2:Q750,1)</f>
        <v>1</v>
      </c>
      <c r="O513" s="61">
        <f t="shared" si="1"/>
        <v>1.00000513</v>
      </c>
    </row>
    <row r="514" ht="15.75" customHeight="1">
      <c r="B514" s="56">
        <f t="array" ref="B514">IFERROR(INDEX(Data!$A$2:$A$750,SMALL(Data!$S$2:$S$750,408)),"")</f>
        <v>57357</v>
      </c>
      <c r="C514" s="56" t="str">
        <f t="array" ref="C514">IFERROR(IF(INDEX(Data!$B$2:$B$750,SMALL(Data!$S$2:$S$750,408))=0,"",INDEX(Data!$B$2:$B$750,SMALL(Data!$S$2:$S$750,408))),"")</f>
        <v/>
      </c>
      <c r="D514" s="56" t="str">
        <f t="array" ref="D514">IFERROR(INDEX(Data!$C$2:$C$750,SMALL(Data!$S$2:$S$750,408)),"")</f>
        <v>RFID Industrial Printer CL4NX Plus Kit</v>
      </c>
      <c r="E514" s="56">
        <f t="array" ref="E514">IFERROR(IF(INDEX(Data!$D$2:$D$750,SMALL(Data!$S$2:$S$750,408))=0,"",INDEX(Data!$D$2:$D$750,SMALL(Data!$S$2:$S$750,408))),"")</f>
        <v>1</v>
      </c>
      <c r="F514" s="57">
        <f t="array" ref="F514">IFERROR(IF(INDEX(Data!$E$2:$E$750,SMALL(Data!$S$2:$S$750,408))=0,"",INDEX(Data!$E$2:$E$750,SMALL(Data!$S$2:$S$750,408))),"")</f>
        <v>8</v>
      </c>
      <c r="G514" s="57">
        <f t="array" ref="G514">IFERROR(INDEX(Data!$F$2:$F$750,SMALL(Data!$S$2:$S$750,408)),"")</f>
        <v>8</v>
      </c>
      <c r="H514" s="58">
        <f t="array" ref="H514">IFERROR(IF(INDEX(Data!$G$2:$G$750,SMALL(Data!$S$2:$S$750,408))=0,"",INDEX(Data!$G$2:$G$750,SMALL(Data!$S$2:$S$750,408))),"")</f>
        <v>46151</v>
      </c>
      <c r="I514" s="56">
        <f t="array" ref="I514">IFERROR(IF(INDEX(Data!$H$2:$H$750,SMALL(Data!$S$2:$S$750,408))=0,"",INDEX(Data!$H$2:$H$750,SMALL(Data!$S$2:$S$750,408))),"")</f>
        <v>4</v>
      </c>
      <c r="J514" s="58">
        <f t="array" ref="J514">IFERROR(INDEX(Data!$I$2:$I$750,SMALL(Data!$S$2:$S$750,408)),"")</f>
        <v>46179</v>
      </c>
      <c r="K514" s="56" t="str">
        <f t="array" ref="K514">IFERROR(INDEX(Data!$J$2:$J$750,SMALL(Data!$S$2:$S$750,408)),"")</f>
        <v>Not Paid</v>
      </c>
      <c r="L514" s="56" t="str">
        <f t="array" ref="L514">IFERROR(INDEX(Data!$K$2:$K$750,SMALL(Data!$S$2:$S$750,408)),"")</f>
        <v>Pending</v>
      </c>
      <c r="M514" s="48" t="s">
        <v>188</v>
      </c>
      <c r="N514" s="48">
        <f>SUMIFS(Data!D2:D750,Data!A2:A750,M514,Data!Q2:Q750,1)</f>
        <v>10024</v>
      </c>
      <c r="O514" s="61">
        <f t="shared" si="1"/>
        <v>10024.00001</v>
      </c>
    </row>
    <row r="515" ht="15.75" customHeight="1">
      <c r="B515" s="53">
        <f t="array" ref="B515">IFERROR(INDEX(Data!$A$2:$A$750,SMALL(Data!$S$2:$S$750,409)),"")</f>
        <v>57357</v>
      </c>
      <c r="C515" s="53" t="str">
        <f t="array" ref="C515">IFERROR(IF(INDEX(Data!$B$2:$B$750,SMALL(Data!$S$2:$S$750,409))=0,"",INDEX(Data!$B$2:$B$750,SMALL(Data!$S$2:$S$750,409))),"")</f>
        <v/>
      </c>
      <c r="D515" s="53" t="str">
        <f t="array" ref="D515">IFERROR(INDEX(Data!$C$2:$C$750,SMALL(Data!$S$2:$S$750,409)),"")</f>
        <v>Ribbons for SATO Industrial Printer 110mm × 450m</v>
      </c>
      <c r="E515" s="53">
        <f t="array" ref="E515">IFERROR(IF(INDEX(Data!$D$2:$D$750,SMALL(Data!$S$2:$S$750,409))=0,"",INDEX(Data!$D$2:$D$750,SMALL(Data!$S$2:$S$750,409))),"")</f>
        <v>1</v>
      </c>
      <c r="F515" s="54">
        <f t="array" ref="F515">IFERROR(IF(INDEX(Data!$E$2:$E$750,SMALL(Data!$S$2:$S$750,409))=0,"",INDEX(Data!$E$2:$E$750,SMALL(Data!$S$2:$S$750,409))),"")</f>
        <v>2</v>
      </c>
      <c r="G515" s="54">
        <f t="array" ref="G515">IFERROR(INDEX(Data!$F$2:$F$750,SMALL(Data!$S$2:$S$750,409)),"")</f>
        <v>2</v>
      </c>
      <c r="H515" s="55">
        <f t="array" ref="H515">IFERROR(IF(INDEX(Data!$G$2:$G$750,SMALL(Data!$S$2:$S$750,409))=0,"",INDEX(Data!$G$2:$G$750,SMALL(Data!$S$2:$S$750,409))),"")</f>
        <v>46152</v>
      </c>
      <c r="I515" s="53">
        <f t="array" ref="I515">IFERROR(IF(INDEX(Data!$H$2:$H$750,SMALL(Data!$S$2:$S$750,409))=0,"",INDEX(Data!$H$2:$H$750,SMALL(Data!$S$2:$S$750,409))),"")</f>
        <v>4</v>
      </c>
      <c r="J515" s="55">
        <f t="array" ref="J515">IFERROR(INDEX(Data!$I$2:$I$750,SMALL(Data!$S$2:$S$750,409)),"")</f>
        <v>46180</v>
      </c>
      <c r="K515" s="53" t="str">
        <f t="array" ref="K515">IFERROR(INDEX(Data!$J$2:$J$750,SMALL(Data!$S$2:$S$750,409)),"")</f>
        <v>Not Paid</v>
      </c>
      <c r="L515" s="53" t="str">
        <f t="array" ref="L515">IFERROR(INDEX(Data!$K$2:$K$750,SMALL(Data!$S$2:$S$750,409)),"")</f>
        <v>Pending</v>
      </c>
      <c r="M515" s="48" t="s">
        <v>191</v>
      </c>
      <c r="N515" s="48">
        <f>SUMIFS(Data!D2:D750,Data!A2:A750,M515,Data!Q2:Q750,1)</f>
        <v>1</v>
      </c>
      <c r="O515" s="61">
        <f t="shared" si="1"/>
        <v>1.00000515</v>
      </c>
    </row>
    <row r="516" ht="15.75" customHeight="1">
      <c r="B516" s="56">
        <f t="array" ref="B516">IFERROR(INDEX(Data!$A$2:$A$750,SMALL(Data!$S$2:$S$750,410)),"")</f>
        <v>57357</v>
      </c>
      <c r="C516" s="56" t="str">
        <f t="array" ref="C516">IFERROR(IF(INDEX(Data!$B$2:$B$750,SMALL(Data!$S$2:$S$750,410))=0,"",INDEX(Data!$B$2:$B$750,SMALL(Data!$S$2:$S$750,410))),"")</f>
        <v/>
      </c>
      <c r="D516" s="56" t="str">
        <f t="array" ref="D516">IFERROR(INDEX(Data!$C$2:$C$750,SMALL(Data!$S$2:$S$750,410)),"")</f>
        <v>AT 909</v>
      </c>
      <c r="E516" s="56">
        <f t="array" ref="E516">IFERROR(IF(INDEX(Data!$D$2:$D$750,SMALL(Data!$S$2:$S$750,410))=0,"",INDEX(Data!$D$2:$D$750,SMALL(Data!$S$2:$S$750,410))),"")</f>
        <v>2</v>
      </c>
      <c r="F516" s="57">
        <f t="array" ref="F516">IFERROR(IF(INDEX(Data!$E$2:$E$750,SMALL(Data!$S$2:$S$750,410))=0,"",INDEX(Data!$E$2:$E$750,SMALL(Data!$S$2:$S$750,410))),"")</f>
        <v>15</v>
      </c>
      <c r="G516" s="57">
        <f t="array" ref="G516">IFERROR(INDEX(Data!$F$2:$F$750,SMALL(Data!$S$2:$S$750,410)),"")</f>
        <v>30</v>
      </c>
      <c r="H516" s="58">
        <f t="array" ref="H516">IFERROR(IF(INDEX(Data!$G$2:$G$750,SMALL(Data!$S$2:$S$750,410))=0,"",INDEX(Data!$G$2:$G$750,SMALL(Data!$S$2:$S$750,410))),"")</f>
        <v>46153</v>
      </c>
      <c r="I516" s="56">
        <f t="array" ref="I516">IFERROR(IF(INDEX(Data!$H$2:$H$750,SMALL(Data!$S$2:$S$750,410))=0,"",INDEX(Data!$H$2:$H$750,SMALL(Data!$S$2:$S$750,410))),"")</f>
        <v>4</v>
      </c>
      <c r="J516" s="58">
        <f t="array" ref="J516">IFERROR(INDEX(Data!$I$2:$I$750,SMALL(Data!$S$2:$S$750,410)),"")</f>
        <v>46181</v>
      </c>
      <c r="K516" s="56" t="str">
        <f t="array" ref="K516">IFERROR(INDEX(Data!$J$2:$J$750,SMALL(Data!$S$2:$S$750,410)),"")</f>
        <v>Not Paid</v>
      </c>
      <c r="L516" s="56" t="str">
        <f t="array" ref="L516">IFERROR(INDEX(Data!$K$2:$K$750,SMALL(Data!$S$2:$S$750,410)),"")</f>
        <v>Pending</v>
      </c>
      <c r="M516" s="48" t="s">
        <v>194</v>
      </c>
      <c r="N516" s="48">
        <f>SUMIFS(Data!D2:D750,Data!A2:A750,M516,Data!Q2:Q750,1)</f>
        <v>2000</v>
      </c>
      <c r="O516" s="61">
        <f t="shared" si="1"/>
        <v>2000.000005</v>
      </c>
    </row>
    <row r="517" ht="15.75" customHeight="1">
      <c r="B517" s="53">
        <f t="array" ref="B517">IFERROR(INDEX(Data!$A$2:$A$750,SMALL(Data!$S$2:$S$750,411)),"")</f>
        <v>57357</v>
      </c>
      <c r="C517" s="53" t="str">
        <f t="array" ref="C517">IFERROR(IF(INDEX(Data!$B$2:$B$750,SMALL(Data!$S$2:$S$750,411))=0,"",INDEX(Data!$B$2:$B$750,SMALL(Data!$S$2:$S$750,411))),"")</f>
        <v/>
      </c>
      <c r="D517" s="53" t="str">
        <f t="array" ref="D517">IFERROR(INDEX(Data!$C$2:$C$750,SMALL(Data!$S$2:$S$750,411)),"")</f>
        <v>LRU4000 UHF Fixed Reader</v>
      </c>
      <c r="E517" s="53">
        <f t="array" ref="E517">IFERROR(IF(INDEX(Data!$D$2:$D$750,SMALL(Data!$S$2:$S$750,411))=0,"",INDEX(Data!$D$2:$D$750,SMALL(Data!$S$2:$S$750,411))),"")</f>
        <v>10</v>
      </c>
      <c r="F517" s="54">
        <f t="array" ref="F517">IFERROR(IF(INDEX(Data!$E$2:$E$750,SMALL(Data!$S$2:$S$750,411))=0,"",INDEX(Data!$E$2:$E$750,SMALL(Data!$S$2:$S$750,411))),"")</f>
        <v>45</v>
      </c>
      <c r="G517" s="54">
        <f t="array" ref="G517">IFERROR(INDEX(Data!$F$2:$F$750,SMALL(Data!$S$2:$S$750,411)),"")</f>
        <v>450</v>
      </c>
      <c r="H517" s="55">
        <f t="array" ref="H517">IFERROR(IF(INDEX(Data!$G$2:$G$750,SMALL(Data!$S$2:$S$750,411))=0,"",INDEX(Data!$G$2:$G$750,SMALL(Data!$S$2:$S$750,411))),"")</f>
        <v>46154</v>
      </c>
      <c r="I517" s="53">
        <f t="array" ref="I517">IFERROR(IF(INDEX(Data!$H$2:$H$750,SMALL(Data!$S$2:$S$750,411))=0,"",INDEX(Data!$H$2:$H$750,SMALL(Data!$S$2:$S$750,411))),"")</f>
        <v>4</v>
      </c>
      <c r="J517" s="55">
        <f t="array" ref="J517">IFERROR(INDEX(Data!$I$2:$I$750,SMALL(Data!$S$2:$S$750,411)),"")</f>
        <v>46182</v>
      </c>
      <c r="K517" s="53" t="str">
        <f t="array" ref="K517">IFERROR(INDEX(Data!$J$2:$J$750,SMALL(Data!$S$2:$S$750,411)),"")</f>
        <v>Not Paid</v>
      </c>
      <c r="L517" s="53" t="str">
        <f t="array" ref="L517">IFERROR(INDEX(Data!$K$2:$K$750,SMALL(Data!$S$2:$S$750,411)),"")</f>
        <v>Pending</v>
      </c>
      <c r="M517" s="48" t="s">
        <v>197</v>
      </c>
      <c r="N517" s="48">
        <f>SUMIFS(Data!D2:D750,Data!A2:A750,M517,Data!Q2:Q750,1)</f>
        <v>0</v>
      </c>
      <c r="O517" s="61">
        <f t="shared" si="1"/>
        <v>0.00000517</v>
      </c>
    </row>
    <row r="518" ht="15.75" customHeight="1">
      <c r="B518" s="56">
        <f t="array" ref="B518">IFERROR(INDEX(Data!$A$2:$A$750,SMALL(Data!$S$2:$S$750,412)),"")</f>
        <v>57357</v>
      </c>
      <c r="C518" s="56" t="str">
        <f t="array" ref="C518">IFERROR(IF(INDEX(Data!$B$2:$B$750,SMALL(Data!$S$2:$S$750,412))=0,"",INDEX(Data!$B$2:$B$750,SMALL(Data!$S$2:$S$750,412))),"")</f>
        <v/>
      </c>
      <c r="D518" s="56" t="str">
        <f t="array" ref="D518">IFERROR(INDEX(Data!$C$2:$C$750,SMALL(Data!$S$2:$S$750,412)),"")</f>
        <v>[3199.000.00] ID ISC.ANT.U270/270-EU Antenna UHF</v>
      </c>
      <c r="E518" s="56">
        <f t="array" ref="E518">IFERROR(IF(INDEX(Data!$D$2:$D$750,SMALL(Data!$S$2:$S$750,412))=0,"",INDEX(Data!$D$2:$D$750,SMALL(Data!$S$2:$S$750,412))),"")</f>
        <v>20</v>
      </c>
      <c r="F518" s="57">
        <f t="array" ref="F518">IFERROR(IF(INDEX(Data!$E$2:$E$750,SMALL(Data!$S$2:$S$750,412))=0,"",INDEX(Data!$E$2:$E$750,SMALL(Data!$S$2:$S$750,412))),"")</f>
        <v>24</v>
      </c>
      <c r="G518" s="57">
        <f t="array" ref="G518">IFERROR(INDEX(Data!$F$2:$F$750,SMALL(Data!$S$2:$S$750,412)),"")</f>
        <v>480</v>
      </c>
      <c r="H518" s="58">
        <f t="array" ref="H518">IFERROR(IF(INDEX(Data!$G$2:$G$750,SMALL(Data!$S$2:$S$750,412))=0,"",INDEX(Data!$G$2:$G$750,SMALL(Data!$S$2:$S$750,412))),"")</f>
        <v>46155</v>
      </c>
      <c r="I518" s="56">
        <f t="array" ref="I518">IFERROR(IF(INDEX(Data!$H$2:$H$750,SMALL(Data!$S$2:$S$750,412))=0,"",INDEX(Data!$H$2:$H$750,SMALL(Data!$S$2:$S$750,412))),"")</f>
        <v>4</v>
      </c>
      <c r="J518" s="58">
        <f t="array" ref="J518">IFERROR(INDEX(Data!$I$2:$I$750,SMALL(Data!$S$2:$S$750,412)),"")</f>
        <v>46183</v>
      </c>
      <c r="K518" s="56" t="str">
        <f t="array" ref="K518">IFERROR(INDEX(Data!$J$2:$J$750,SMALL(Data!$S$2:$S$750,412)),"")</f>
        <v>Not Paid</v>
      </c>
      <c r="L518" s="56" t="str">
        <f t="array" ref="L518">IFERROR(INDEX(Data!$K$2:$K$750,SMALL(Data!$S$2:$S$750,412)),"")</f>
        <v>Pending</v>
      </c>
      <c r="M518" s="48" t="s">
        <v>199</v>
      </c>
      <c r="N518" s="48">
        <f>SUMIFS(Data!D2:D750,Data!A2:A750,M518,Data!Q2:Q750,1)</f>
        <v>300</v>
      </c>
      <c r="O518" s="61">
        <f t="shared" si="1"/>
        <v>300.0000052</v>
      </c>
    </row>
    <row r="519" ht="15.75" customHeight="1">
      <c r="B519" s="53" t="str">
        <f t="array" ref="B519">IFERROR(INDEX(Data!$A$2:$A$750,SMALL(Data!$S$2:$S$750,413)),"")</f>
        <v>rooya group telal</v>
      </c>
      <c r="C519" s="53" t="str">
        <f t="array" ref="C519">IFERROR(IF(INDEX(Data!$B$2:$B$750,SMALL(Data!$S$2:$S$750,413))=0,"",INDEX(Data!$B$2:$B$750,SMALL(Data!$S$2:$S$750,413))),"")</f>
        <v/>
      </c>
      <c r="D519" s="53" t="str">
        <f t="array" ref="D519">IFERROR(INDEX(Data!$C$2:$C$750,SMALL(Data!$S$2:$S$750,413)),"")</f>
        <v>Destructive Windshield pre printed &amp; encoded</v>
      </c>
      <c r="E519" s="53">
        <f t="array" ref="E519">IFERROR(IF(INDEX(Data!$D$2:$D$750,SMALL(Data!$S$2:$S$750,413))=0,"",INDEX(Data!$D$2:$D$750,SMALL(Data!$S$2:$S$750,413))),"")</f>
        <v>2000</v>
      </c>
      <c r="F519" s="54">
        <f t="array" ref="F519">IFERROR(IF(INDEX(Data!$E$2:$E$750,SMALL(Data!$S$2:$S$750,413))=0,"",INDEX(Data!$E$2:$E$750,SMALL(Data!$S$2:$S$750,413))),"")</f>
        <v>25</v>
      </c>
      <c r="G519" s="54">
        <f t="array" ref="G519">IFERROR(INDEX(Data!$F$2:$F$750,SMALL(Data!$S$2:$S$750,413)),"")</f>
        <v>50000</v>
      </c>
      <c r="H519" s="55">
        <f t="array" ref="H519">IFERROR(IF(INDEX(Data!$G$2:$G$750,SMALL(Data!$S$2:$S$750,413))=0,"",INDEX(Data!$G$2:$G$750,SMALL(Data!$S$2:$S$750,413))),"")</f>
        <v>46156</v>
      </c>
      <c r="I519" s="53">
        <f t="array" ref="I519">IFERROR(IF(INDEX(Data!$H$2:$H$750,SMALL(Data!$S$2:$S$750,413))=0,"",INDEX(Data!$H$2:$H$750,SMALL(Data!$S$2:$S$750,413))),"")</f>
        <v>4</v>
      </c>
      <c r="J519" s="55">
        <f t="array" ref="J519">IFERROR(INDEX(Data!$I$2:$I$750,SMALL(Data!$S$2:$S$750,413)),"")</f>
        <v>46184</v>
      </c>
      <c r="K519" s="53" t="str">
        <f t="array" ref="K519">IFERROR(INDEX(Data!$J$2:$J$750,SMALL(Data!$S$2:$S$750,413)),"")</f>
        <v>Not Paid</v>
      </c>
      <c r="L519" s="53" t="str">
        <f t="array" ref="L519">IFERROR(INDEX(Data!$K$2:$K$750,SMALL(Data!$S$2:$S$750,413)),"")</f>
        <v>Pending</v>
      </c>
      <c r="M519" s="48" t="s">
        <v>202</v>
      </c>
      <c r="N519" s="48">
        <f>SUMIFS(Data!D2:D750,Data!A2:A750,M519,Data!Q2:Q750,1)</f>
        <v>56</v>
      </c>
      <c r="O519" s="61">
        <f t="shared" si="1"/>
        <v>56.00000519</v>
      </c>
    </row>
    <row r="520" ht="15.75" customHeight="1">
      <c r="B520" s="56" t="str">
        <f t="array" ref="B520">IFERROR(INDEX(Data!$A$2:$A$750,SMALL(Data!$S$2:$S$750,414)),"")</f>
        <v>Obour Institute</v>
      </c>
      <c r="C520" s="56" t="str">
        <f t="array" ref="C520">IFERROR(IF(INDEX(Data!$B$2:$B$750,SMALL(Data!$S$2:$S$750,414))=0,"",INDEX(Data!$B$2:$B$750,SMALL(Data!$S$2:$S$750,414))),"")</f>
        <v/>
      </c>
      <c r="D520" s="56" t="str">
        <f t="array" ref="D520">IFERROR(INDEX(Data!$C$2:$C$750,SMALL(Data!$S$2:$S$750,414)),"")</f>
        <v>Tripod Tansa Turnstile LTT303 A control Board</v>
      </c>
      <c r="E520" s="56">
        <f t="array" ref="E520">IFERROR(IF(INDEX(Data!$D$2:$D$750,SMALL(Data!$S$2:$S$750,414))=0,"",INDEX(Data!$D$2:$D$750,SMALL(Data!$S$2:$S$750,414))),"")</f>
        <v>1</v>
      </c>
      <c r="F520" s="57">
        <f t="array" ref="F520">IFERROR(IF(INDEX(Data!$E$2:$E$750,SMALL(Data!$S$2:$S$750,414))=0,"",INDEX(Data!$E$2:$E$750,SMALL(Data!$S$2:$S$750,414))),"")</f>
        <v>36</v>
      </c>
      <c r="G520" s="57">
        <f t="array" ref="G520">IFERROR(INDEX(Data!$F$2:$F$750,SMALL(Data!$S$2:$S$750,414)),"")</f>
        <v>36</v>
      </c>
      <c r="H520" s="58">
        <f t="array" ref="H520">IFERROR(IF(INDEX(Data!$G$2:$G$750,SMALL(Data!$S$2:$S$750,414))=0,"",INDEX(Data!$G$2:$G$750,SMALL(Data!$S$2:$S$750,414))),"")</f>
        <v>46157</v>
      </c>
      <c r="I520" s="56">
        <f t="array" ref="I520">IFERROR(IF(INDEX(Data!$H$2:$H$750,SMALL(Data!$S$2:$S$750,414))=0,"",INDEX(Data!$H$2:$H$750,SMALL(Data!$S$2:$S$750,414))),"")</f>
        <v>20</v>
      </c>
      <c r="J520" s="58">
        <f t="array" ref="J520">IFERROR(INDEX(Data!$I$2:$I$750,SMALL(Data!$S$2:$S$750,414)),"")</f>
        <v>46297</v>
      </c>
      <c r="K520" s="56" t="str">
        <f t="array" ref="K520">IFERROR(INDEX(Data!$J$2:$J$750,SMALL(Data!$S$2:$S$750,414)),"")</f>
        <v>Not Paid</v>
      </c>
      <c r="L520" s="56" t="str">
        <f t="array" ref="L520">IFERROR(INDEX(Data!$K$2:$K$750,SMALL(Data!$S$2:$S$750,414)),"")</f>
        <v>Pending</v>
      </c>
      <c r="M520" s="48" t="s">
        <v>205</v>
      </c>
      <c r="N520" s="48">
        <f>SUMIFS(Data!D2:D750,Data!A2:A750,M520,Data!Q2:Q750,1)</f>
        <v>702</v>
      </c>
      <c r="O520" s="61">
        <f t="shared" si="1"/>
        <v>702.0000052</v>
      </c>
    </row>
    <row r="521" ht="15.75" customHeight="1">
      <c r="B521" s="53" t="str">
        <f t="array" ref="B521">IFERROR(INDEX(Data!$A$2:$A$750,SMALL(Data!$S$2:$S$750,415)),"")</f>
        <v>Obour Institute</v>
      </c>
      <c r="C521" s="53" t="str">
        <f t="array" ref="C521">IFERROR(IF(INDEX(Data!$B$2:$B$750,SMALL(Data!$S$2:$S$750,415))=0,"",INDEX(Data!$B$2:$B$750,SMALL(Data!$S$2:$S$750,415))),"")</f>
        <v/>
      </c>
      <c r="D521" s="53" t="str">
        <f t="array" ref="D521">IFERROR(INDEX(Data!$C$2:$C$750,SMALL(Data!$S$2:$S$750,415)),"")</f>
        <v>POWER SUPPLY 12 V 5A</v>
      </c>
      <c r="E521" s="53">
        <f t="array" ref="E521">IFERROR(IF(INDEX(Data!$D$2:$D$750,SMALL(Data!$S$2:$S$750,415))=0,"",INDEX(Data!$D$2:$D$750,SMALL(Data!$S$2:$S$750,415))),"")</f>
        <v>1</v>
      </c>
      <c r="F521" s="54">
        <f t="array" ref="F521">IFERROR(IF(INDEX(Data!$E$2:$E$750,SMALL(Data!$S$2:$S$750,415))=0,"",INDEX(Data!$E$2:$E$750,SMALL(Data!$S$2:$S$750,415))),"")</f>
        <v>95</v>
      </c>
      <c r="G521" s="54">
        <f t="array" ref="G521">IFERROR(INDEX(Data!$F$2:$F$750,SMALL(Data!$S$2:$S$750,415)),"")</f>
        <v>95</v>
      </c>
      <c r="H521" s="55">
        <f t="array" ref="H521">IFERROR(IF(INDEX(Data!$G$2:$G$750,SMALL(Data!$S$2:$S$750,415))=0,"",INDEX(Data!$G$2:$G$750,SMALL(Data!$S$2:$S$750,415))),"")</f>
        <v>46158</v>
      </c>
      <c r="I521" s="53">
        <f t="array" ref="I521">IFERROR(IF(INDEX(Data!$H$2:$H$750,SMALL(Data!$S$2:$S$750,415))=0,"",INDEX(Data!$H$2:$H$750,SMALL(Data!$S$2:$S$750,415))),"")</f>
        <v>21</v>
      </c>
      <c r="J521" s="55">
        <f t="array" ref="J521">IFERROR(INDEX(Data!$I$2:$I$750,SMALL(Data!$S$2:$S$750,415)),"")</f>
        <v>46305</v>
      </c>
      <c r="K521" s="53" t="str">
        <f t="array" ref="K521">IFERROR(INDEX(Data!$J$2:$J$750,SMALL(Data!$S$2:$S$750,415)),"")</f>
        <v>Not Paid</v>
      </c>
      <c r="L521" s="53" t="str">
        <f t="array" ref="L521">IFERROR(INDEX(Data!$K$2:$K$750,SMALL(Data!$S$2:$S$750,415)),"")</f>
        <v>Pending</v>
      </c>
      <c r="M521" s="48" t="s">
        <v>207</v>
      </c>
      <c r="N521" s="48">
        <f>SUMIFS(Data!D2:D750,Data!A2:A750,M521,Data!Q2:Q750,1)</f>
        <v>305</v>
      </c>
      <c r="O521" s="61">
        <f t="shared" si="1"/>
        <v>305.0000052</v>
      </c>
    </row>
    <row r="522" ht="15.75" customHeight="1">
      <c r="B522" s="56" t="str">
        <f t="array" ref="B522">IFERROR(INDEX(Data!$A$2:$A$750,SMALL(Data!$S$2:$S$750,416)),"")</f>
        <v>Obour Institute</v>
      </c>
      <c r="C522" s="56" t="str">
        <f t="array" ref="C522">IFERROR(IF(INDEX(Data!$B$2:$B$750,SMALL(Data!$S$2:$S$750,416))=0,"",INDEX(Data!$B$2:$B$750,SMALL(Data!$S$2:$S$750,416))),"")</f>
        <v/>
      </c>
      <c r="D522" s="56" t="str">
        <f t="array" ref="D522">IFERROR(INDEX(Data!$C$2:$C$750,SMALL(Data!$S$2:$S$750,416)),"")</f>
        <v>TCST2103 Optical Sensor</v>
      </c>
      <c r="E522" s="56">
        <f t="array" ref="E522">IFERROR(IF(INDEX(Data!$D$2:$D$750,SMALL(Data!$S$2:$S$750,416))=0,"",INDEX(Data!$D$2:$D$750,SMALL(Data!$S$2:$S$750,416))),"")</f>
        <v>1</v>
      </c>
      <c r="F522" s="57">
        <f t="array" ref="F522">IFERROR(IF(INDEX(Data!$E$2:$E$750,SMALL(Data!$S$2:$S$750,416))=0,"",INDEX(Data!$E$2:$E$750,SMALL(Data!$S$2:$S$750,416))),"")</f>
        <v>574</v>
      </c>
      <c r="G522" s="57">
        <f t="array" ref="G522">IFERROR(INDEX(Data!$F$2:$F$750,SMALL(Data!$S$2:$S$750,416)),"")</f>
        <v>574</v>
      </c>
      <c r="H522" s="58">
        <f t="array" ref="H522">IFERROR(IF(INDEX(Data!$G$2:$G$750,SMALL(Data!$S$2:$S$750,416))=0,"",INDEX(Data!$G$2:$G$750,SMALL(Data!$S$2:$S$750,416))),"")</f>
        <v>46159</v>
      </c>
      <c r="I522" s="56">
        <f t="array" ref="I522">IFERROR(IF(INDEX(Data!$H$2:$H$750,SMALL(Data!$S$2:$S$750,416))=0,"",INDEX(Data!$H$2:$H$750,SMALL(Data!$S$2:$S$750,416))),"")</f>
        <v>18</v>
      </c>
      <c r="J522" s="58">
        <f t="array" ref="J522">IFERROR(INDEX(Data!$I$2:$I$750,SMALL(Data!$S$2:$S$750,416)),"")</f>
        <v>46285</v>
      </c>
      <c r="K522" s="56" t="str">
        <f t="array" ref="K522">IFERROR(INDEX(Data!$J$2:$J$750,SMALL(Data!$S$2:$S$750,416)),"")</f>
        <v>Not Paid</v>
      </c>
      <c r="L522" s="56" t="str">
        <f t="array" ref="L522">IFERROR(INDEX(Data!$K$2:$K$750,SMALL(Data!$S$2:$S$750,416)),"")</f>
        <v>Pending</v>
      </c>
      <c r="M522" s="48" t="s">
        <v>209</v>
      </c>
      <c r="N522" s="48">
        <f>SUMIFS(Data!D2:D750,Data!A2:A750,M522,Data!Q2:Q750,1)</f>
        <v>50000</v>
      </c>
      <c r="O522" s="61">
        <f t="shared" si="1"/>
        <v>50000.00001</v>
      </c>
    </row>
    <row r="523" ht="15.75" customHeight="1">
      <c r="B523" s="53" t="str">
        <f t="array" ref="B523">IFERROR(INDEX(Data!$A$2:$A$750,SMALL(Data!$S$2:$S$750,417)),"")</f>
        <v>Suez Canal Bank</v>
      </c>
      <c r="C523" s="53" t="str">
        <f t="array" ref="C523">IFERROR(IF(INDEX(Data!$B$2:$B$750,SMALL(Data!$S$2:$S$750,417))=0,"",INDEX(Data!$B$2:$B$750,SMALL(Data!$S$2:$S$750,417))),"")</f>
        <v/>
      </c>
      <c r="D523" s="53" t="str">
        <f t="array" ref="D523">IFERROR(INDEX(Data!$C$2:$C$750,SMALL(Data!$S$2:$S$750,417)),"")</f>
        <v>dogbone</v>
      </c>
      <c r="E523" s="53">
        <f t="array" ref="E523">IFERROR(IF(INDEX(Data!$D$2:$D$750,SMALL(Data!$S$2:$S$750,417))=0,"",INDEX(Data!$D$2:$D$750,SMALL(Data!$S$2:$S$750,417))),"")</f>
        <v>9000</v>
      </c>
      <c r="F523" s="54">
        <f t="array" ref="F523">IFERROR(IF(INDEX(Data!$E$2:$E$750,SMALL(Data!$S$2:$S$750,417))=0,"",INDEX(Data!$E$2:$E$750,SMALL(Data!$S$2:$S$750,417))),"")</f>
        <v>558</v>
      </c>
      <c r="G523" s="54">
        <f t="array" ref="G523">IFERROR(INDEX(Data!$F$2:$F$750,SMALL(Data!$S$2:$S$750,417)),"")</f>
        <v>5022000</v>
      </c>
      <c r="H523" s="55">
        <f t="array" ref="H523">IFERROR(IF(INDEX(Data!$G$2:$G$750,SMALL(Data!$S$2:$S$750,417))=0,"",INDEX(Data!$G$2:$G$750,SMALL(Data!$S$2:$S$750,417))),"")</f>
        <v>46160</v>
      </c>
      <c r="I523" s="53">
        <f t="array" ref="I523">IFERROR(IF(INDEX(Data!$H$2:$H$750,SMALL(Data!$S$2:$S$750,417))=0,"",INDEX(Data!$H$2:$H$750,SMALL(Data!$S$2:$S$750,417))),"")</f>
        <v>19</v>
      </c>
      <c r="J523" s="55">
        <f t="array" ref="J523">IFERROR(INDEX(Data!$I$2:$I$750,SMALL(Data!$S$2:$S$750,417)),"")</f>
        <v>46293</v>
      </c>
      <c r="K523" s="53" t="str">
        <f t="array" ref="K523">IFERROR(INDEX(Data!$J$2:$J$750,SMALL(Data!$S$2:$S$750,417)),"")</f>
        <v>Not Paid</v>
      </c>
      <c r="L523" s="53" t="str">
        <f t="array" ref="L523">IFERROR(INDEX(Data!$K$2:$K$750,SMALL(Data!$S$2:$S$750,417)),"")</f>
        <v>Pending</v>
      </c>
      <c r="M523" s="48" t="s">
        <v>114</v>
      </c>
      <c r="N523" s="48">
        <f>SUMIFS(Data!D2:D750,Data!A2:A750,M523,Data!Q2:Q750,1)</f>
        <v>100</v>
      </c>
      <c r="O523" s="61">
        <f t="shared" si="1"/>
        <v>100.0000052</v>
      </c>
    </row>
    <row r="524" ht="15.75" customHeight="1">
      <c r="B524" s="56" t="str">
        <f t="array" ref="B524">IFERROR(INDEX(Data!$A$2:$A$750,SMALL(Data!$S$2:$S$750,418)),"")</f>
        <v>Suez Canal Bank</v>
      </c>
      <c r="C524" s="56" t="str">
        <f t="array" ref="C524">IFERROR(IF(INDEX(Data!$B$2:$B$750,SMALL(Data!$S$2:$S$750,418))=0,"",INDEX(Data!$B$2:$B$750,SMALL(Data!$S$2:$S$750,418))),"")</f>
        <v/>
      </c>
      <c r="D524" s="56" t="str">
        <f t="array" ref="D524">IFERROR(INDEX(Data!$C$2:$C$750,SMALL(Data!$S$2:$S$750,418)),"")</f>
        <v>rco7012</v>
      </c>
      <c r="E524" s="56">
        <f t="array" ref="E524">IFERROR(IF(INDEX(Data!$D$2:$D$750,SMALL(Data!$S$2:$S$750,418))=0,"",INDEX(Data!$D$2:$D$750,SMALL(Data!$S$2:$S$750,418))),"")</f>
        <v>1500</v>
      </c>
      <c r="F524" s="57">
        <f t="array" ref="F524">IFERROR(IF(INDEX(Data!$E$2:$E$750,SMALL(Data!$S$2:$S$750,418))=0,"",INDEX(Data!$E$2:$E$750,SMALL(Data!$S$2:$S$750,418))),"")</f>
        <v>2265</v>
      </c>
      <c r="G524" s="57">
        <f t="array" ref="G524">IFERROR(INDEX(Data!$F$2:$F$750,SMALL(Data!$S$2:$S$750,418)),"")</f>
        <v>3397500</v>
      </c>
      <c r="H524" s="58">
        <f t="array" ref="H524">IFERROR(IF(INDEX(Data!$G$2:$G$750,SMALL(Data!$S$2:$S$750,418))=0,"",INDEX(Data!$G$2:$G$750,SMALL(Data!$S$2:$S$750,418))),"")</f>
        <v>46161</v>
      </c>
      <c r="I524" s="56">
        <f t="array" ref="I524">IFERROR(IF(INDEX(Data!$H$2:$H$750,SMALL(Data!$S$2:$S$750,418))=0,"",INDEX(Data!$H$2:$H$750,SMALL(Data!$S$2:$S$750,418))),"")</f>
        <v>20</v>
      </c>
      <c r="J524" s="58">
        <f t="array" ref="J524">IFERROR(INDEX(Data!$I$2:$I$750,SMALL(Data!$S$2:$S$750,418)),"")</f>
        <v>46301</v>
      </c>
      <c r="K524" s="56" t="str">
        <f t="array" ref="K524">IFERROR(INDEX(Data!$J$2:$J$750,SMALL(Data!$S$2:$S$750,418)),"")</f>
        <v>Not Paid</v>
      </c>
      <c r="L524" s="56" t="str">
        <f t="array" ref="L524">IFERROR(INDEX(Data!$K$2:$K$750,SMALL(Data!$S$2:$S$750,418)),"")</f>
        <v>Pending</v>
      </c>
      <c r="M524" s="48" t="s">
        <v>213</v>
      </c>
      <c r="N524" s="48">
        <f>SUMIFS(Data!D2:D750,Data!A2:A750,M524,Data!Q2:Q750,1)</f>
        <v>50</v>
      </c>
      <c r="O524" s="61">
        <f t="shared" si="1"/>
        <v>50.00000524</v>
      </c>
    </row>
    <row r="525" ht="15.75" customHeight="1">
      <c r="B525" s="53" t="str">
        <f t="array" ref="B525">IFERROR(INDEX(Data!$A$2:$A$750,SMALL(Data!$S$2:$S$750,419)),"")</f>
        <v>SUNRISE Resorts &amp; Cruises</v>
      </c>
      <c r="C525" s="53" t="str">
        <f t="array" ref="C525">IFERROR(IF(INDEX(Data!$B$2:$B$750,SMALL(Data!$S$2:$S$750,419))=0,"",INDEX(Data!$B$2:$B$750,SMALL(Data!$S$2:$S$750,419))),"")</f>
        <v/>
      </c>
      <c r="D525" s="53" t="str">
        <f t="array" ref="D525">IFERROR(INDEX(Data!$C$2:$C$750,SMALL(Data!$S$2:$S$750,419)),"")</f>
        <v>UHF Laundry Tag Hydro LA421</v>
      </c>
      <c r="E525" s="53">
        <f t="array" ref="E525">IFERROR(IF(INDEX(Data!$D$2:$D$750,SMALL(Data!$S$2:$S$750,419))=0,"",INDEX(Data!$D$2:$D$750,SMALL(Data!$S$2:$S$750,419))),"")</f>
        <v>15000</v>
      </c>
      <c r="F525" s="54">
        <f t="array" ref="F525">IFERROR(IF(INDEX(Data!$E$2:$E$750,SMALL(Data!$S$2:$S$750,419))=0,"",INDEX(Data!$E$2:$E$750,SMALL(Data!$S$2:$S$750,419))),"")</f>
        <v>45</v>
      </c>
      <c r="G525" s="54">
        <f t="array" ref="G525">IFERROR(INDEX(Data!$F$2:$F$750,SMALL(Data!$S$2:$S$750,419)),"")</f>
        <v>675000</v>
      </c>
      <c r="H525" s="55">
        <f t="array" ref="H525">IFERROR(IF(INDEX(Data!$G$2:$G$750,SMALL(Data!$S$2:$S$750,419))=0,"",INDEX(Data!$G$2:$G$750,SMALL(Data!$S$2:$S$750,419))),"")</f>
        <v>46162</v>
      </c>
      <c r="I525" s="53">
        <f t="array" ref="I525">IFERROR(IF(INDEX(Data!$H$2:$H$750,SMALL(Data!$S$2:$S$750,419))=0,"",INDEX(Data!$H$2:$H$750,SMALL(Data!$S$2:$S$750,419))),"")</f>
        <v>18</v>
      </c>
      <c r="J525" s="55">
        <f t="array" ref="J525">IFERROR(INDEX(Data!$I$2:$I$750,SMALL(Data!$S$2:$S$750,419)),"")</f>
        <v>46288</v>
      </c>
      <c r="K525" s="53" t="str">
        <f t="array" ref="K525">IFERROR(INDEX(Data!$J$2:$J$750,SMALL(Data!$S$2:$S$750,419)),"")</f>
        <v>Not Paid</v>
      </c>
      <c r="L525" s="53" t="str">
        <f t="array" ref="L525">IFERROR(INDEX(Data!$K$2:$K$750,SMALL(Data!$S$2:$S$750,419)),"")</f>
        <v>Pending</v>
      </c>
      <c r="M525" s="48" t="s">
        <v>216</v>
      </c>
      <c r="N525" s="48">
        <f>SUMIFS(Data!D2:D750,Data!A2:A750,M525,Data!Q2:Q750,1)</f>
        <v>1</v>
      </c>
      <c r="O525" s="61">
        <f t="shared" si="1"/>
        <v>1.00000525</v>
      </c>
    </row>
    <row r="526" ht="15.75" customHeight="1">
      <c r="B526" s="56" t="str">
        <f t="array" ref="B526">IFERROR(INDEX(Data!$A$2:$A$750,SMALL(Data!$S$2:$S$750,420)),"")</f>
        <v>SUNRISE Resorts &amp; Cruises</v>
      </c>
      <c r="C526" s="56" t="str">
        <f t="array" ref="C526">IFERROR(IF(INDEX(Data!$B$2:$B$750,SMALL(Data!$S$2:$S$750,420))=0,"",INDEX(Data!$B$2:$B$750,SMALL(Data!$S$2:$S$750,420))),"")</f>
        <v/>
      </c>
      <c r="D526" s="56" t="str">
        <f t="array" ref="D526">IFERROR(INDEX(Data!$C$2:$C$750,SMALL(Data!$S$2:$S$750,420)),"")</f>
        <v>at 909</v>
      </c>
      <c r="E526" s="56">
        <f t="array" ref="E526">IFERROR(IF(INDEX(Data!$D$2:$D$750,SMALL(Data!$S$2:$S$750,420))=0,"",INDEX(Data!$D$2:$D$750,SMALL(Data!$S$2:$S$750,420))),"")</f>
        <v>5</v>
      </c>
      <c r="F526" s="57">
        <f t="array" ref="F526">IFERROR(IF(INDEX(Data!$E$2:$E$750,SMALL(Data!$S$2:$S$750,420))=0,"",INDEX(Data!$E$2:$E$750,SMALL(Data!$S$2:$S$750,420))),"")</f>
        <v>5554</v>
      </c>
      <c r="G526" s="57">
        <f t="array" ref="G526">IFERROR(INDEX(Data!$F$2:$F$750,SMALL(Data!$S$2:$S$750,420)),"")</f>
        <v>27770</v>
      </c>
      <c r="H526" s="58">
        <f t="array" ref="H526">IFERROR(IF(INDEX(Data!$G$2:$G$750,SMALL(Data!$S$2:$S$750,420))=0,"",INDEX(Data!$G$2:$G$750,SMALL(Data!$S$2:$S$750,420))),"")</f>
        <v>46163</v>
      </c>
      <c r="I526" s="56">
        <f t="array" ref="I526">IFERROR(IF(INDEX(Data!$H$2:$H$750,SMALL(Data!$S$2:$S$750,420))=0,"",INDEX(Data!$H$2:$H$750,SMALL(Data!$S$2:$S$750,420))),"")</f>
        <v>20</v>
      </c>
      <c r="J526" s="58">
        <f t="array" ref="J526">IFERROR(INDEX(Data!$I$2:$I$750,SMALL(Data!$S$2:$S$750,420)),"")</f>
        <v>46303</v>
      </c>
      <c r="K526" s="56" t="str">
        <f t="array" ref="K526">IFERROR(INDEX(Data!$J$2:$J$750,SMALL(Data!$S$2:$S$750,420)),"")</f>
        <v>Not Paid</v>
      </c>
      <c r="L526" s="56" t="str">
        <f t="array" ref="L526">IFERROR(INDEX(Data!$K$2:$K$750,SMALL(Data!$S$2:$S$750,420)),"")</f>
        <v>Pending</v>
      </c>
      <c r="M526" s="48" t="s">
        <v>219</v>
      </c>
      <c r="N526" s="48">
        <f>SUMIFS(Data!D2:D750,Data!A2:A750,M526,Data!Q2:Q750,1)</f>
        <v>1</v>
      </c>
      <c r="O526" s="61">
        <f t="shared" si="1"/>
        <v>1.00000526</v>
      </c>
    </row>
    <row r="527" ht="15.75" customHeight="1">
      <c r="B527" s="53" t="str">
        <f t="array" ref="B527">IFERROR(INDEX(Data!$A$2:$A$750,SMALL(Data!$S$2:$S$750,421)),"")</f>
        <v>ElAraby Group</v>
      </c>
      <c r="C527" s="53" t="str">
        <f t="array" ref="C527">IFERROR(IF(INDEX(Data!$B$2:$B$750,SMALL(Data!$S$2:$S$750,421))=0,"",INDEX(Data!$B$2:$B$750,SMALL(Data!$S$2:$S$750,421))),"")</f>
        <v/>
      </c>
      <c r="D527" s="53" t="str">
        <f t="array" ref="D527">IFERROR(INDEX(Data!$C$2:$C$750,SMALL(Data!$S$2:$S$750,421)),"")</f>
        <v>[RFID-1677-1] Destructive Windshield Tags</v>
      </c>
      <c r="E527" s="53">
        <f t="array" ref="E527">IFERROR(IF(INDEX(Data!$D$2:$D$750,SMALL(Data!$S$2:$S$750,421))=0,"",INDEX(Data!$D$2:$D$750,SMALL(Data!$S$2:$S$750,421))),"")</f>
        <v>1500</v>
      </c>
      <c r="F527" s="54">
        <f t="array" ref="F527">IFERROR(IF(INDEX(Data!$E$2:$E$750,SMALL(Data!$S$2:$S$750,421))=0,"",INDEX(Data!$E$2:$E$750,SMALL(Data!$S$2:$S$750,421))),"")</f>
        <v>41</v>
      </c>
      <c r="G527" s="54">
        <f t="array" ref="G527">IFERROR(INDEX(Data!$F$2:$F$750,SMALL(Data!$S$2:$S$750,421)),"")</f>
        <v>61500</v>
      </c>
      <c r="H527" s="55">
        <f t="array" ref="H527">IFERROR(IF(INDEX(Data!$G$2:$G$750,SMALL(Data!$S$2:$S$750,421))=0,"",INDEX(Data!$G$2:$G$750,SMALL(Data!$S$2:$S$750,421))),"")</f>
        <v>46164</v>
      </c>
      <c r="I527" s="53">
        <f t="array" ref="I527">IFERROR(IF(INDEX(Data!$H$2:$H$750,SMALL(Data!$S$2:$S$750,421))=0,"",INDEX(Data!$H$2:$H$750,SMALL(Data!$S$2:$S$750,421))),"")</f>
        <v>20</v>
      </c>
      <c r="J527" s="55">
        <f t="array" ref="J527">IFERROR(INDEX(Data!$I$2:$I$750,SMALL(Data!$S$2:$S$750,421)),"")</f>
        <v>46304</v>
      </c>
      <c r="K527" s="53" t="str">
        <f t="array" ref="K527">IFERROR(INDEX(Data!$J$2:$J$750,SMALL(Data!$S$2:$S$750,421)),"")</f>
        <v>Not Paid</v>
      </c>
      <c r="L527" s="53" t="str">
        <f t="array" ref="L527">IFERROR(INDEX(Data!$K$2:$K$750,SMALL(Data!$S$2:$S$750,421)),"")</f>
        <v>Pending</v>
      </c>
      <c r="M527" s="48" t="s">
        <v>222</v>
      </c>
      <c r="N527" s="48">
        <f>SUMIFS(Data!D2:D750,Data!A2:A750,M527,Data!Q2:Q750,1)</f>
        <v>100</v>
      </c>
      <c r="O527" s="61">
        <f t="shared" si="1"/>
        <v>100.0000053</v>
      </c>
    </row>
    <row r="528" ht="15.75" customHeight="1">
      <c r="B528" s="56" t="str">
        <f t="array" ref="B528">IFERROR(INDEX(Data!$A$2:$A$750,SMALL(Data!$S$2:$S$750,422)),"")</f>
        <v>NASPS</v>
      </c>
      <c r="C528" s="56" t="str">
        <f t="array" ref="C528">IFERROR(IF(INDEX(Data!$B$2:$B$750,SMALL(Data!$S$2:$S$750,422))=0,"",INDEX(Data!$B$2:$B$750,SMALL(Data!$S$2:$S$750,422))),"")</f>
        <v/>
      </c>
      <c r="D528" s="56" t="str">
        <f t="array" ref="D528">IFERROR(INDEX(Data!$C$2:$C$750,SMALL(Data!$S$2:$S$750,422)),"")</f>
        <v>Resin Ribbon SATO - R333A(273mmx210m)</v>
      </c>
      <c r="E528" s="56">
        <f t="array" ref="E528">IFERROR(IF(INDEX(Data!$D$2:$D$750,SMALL(Data!$S$2:$S$750,422))=0,"",INDEX(Data!$D$2:$D$750,SMALL(Data!$S$2:$S$750,422))),"")</f>
        <v>100</v>
      </c>
      <c r="F528" s="57">
        <f t="array" ref="F528">IFERROR(IF(INDEX(Data!$E$2:$E$750,SMALL(Data!$S$2:$S$750,422))=0,"",INDEX(Data!$E$2:$E$750,SMALL(Data!$S$2:$S$750,422))),"")</f>
        <v>231</v>
      </c>
      <c r="G528" s="57">
        <f t="array" ref="G528">IFERROR(INDEX(Data!$F$2:$F$750,SMALL(Data!$S$2:$S$750,422)),"")</f>
        <v>23100</v>
      </c>
      <c r="H528" s="58">
        <f t="array" ref="H528">IFERROR(IF(INDEX(Data!$G$2:$G$750,SMALL(Data!$S$2:$S$750,422))=0,"",INDEX(Data!$G$2:$G$750,SMALL(Data!$S$2:$S$750,422))),"")</f>
        <v>46165</v>
      </c>
      <c r="I528" s="56">
        <f t="array" ref="I528">IFERROR(IF(INDEX(Data!$H$2:$H$750,SMALL(Data!$S$2:$S$750,422))=0,"",INDEX(Data!$H$2:$H$750,SMALL(Data!$S$2:$S$750,422))),"")</f>
        <v>15</v>
      </c>
      <c r="J528" s="58">
        <f t="array" ref="J528">IFERROR(INDEX(Data!$I$2:$I$750,SMALL(Data!$S$2:$S$750,422)),"")</f>
        <v>46270</v>
      </c>
      <c r="K528" s="56" t="str">
        <f t="array" ref="K528">IFERROR(INDEX(Data!$J$2:$J$750,SMALL(Data!$S$2:$S$750,422)),"")</f>
        <v>Not Paid</v>
      </c>
      <c r="L528" s="56" t="str">
        <f t="array" ref="L528">IFERROR(INDEX(Data!$K$2:$K$750,SMALL(Data!$S$2:$S$750,422)),"")</f>
        <v>Pending</v>
      </c>
      <c r="M528" s="48" t="s">
        <v>224</v>
      </c>
      <c r="N528" s="48">
        <f>SUMIFS(Data!D2:D750,Data!A2:A750,M528,Data!Q2:Q750,1)</f>
        <v>5</v>
      </c>
      <c r="O528" s="61">
        <f t="shared" si="1"/>
        <v>5.00000528</v>
      </c>
    </row>
    <row r="529" ht="15.75" customHeight="1">
      <c r="B529" s="53" t="str">
        <f t="array" ref="B529">IFERROR(INDEX(Data!$A$2:$A$750,SMALL(Data!$S$2:$S$750,423)),"")</f>
        <v>Diamond Palace</v>
      </c>
      <c r="C529" s="53" t="str">
        <f t="array" ref="C529">IFERROR(IF(INDEX(Data!$B$2:$B$750,SMALL(Data!$S$2:$S$750,423))=0,"",INDEX(Data!$B$2:$B$750,SMALL(Data!$S$2:$S$750,423))),"")</f>
        <v/>
      </c>
      <c r="D529" s="53" t="str">
        <f t="array" ref="D529">IFERROR(INDEX(Data!$C$2:$C$750,SMALL(Data!$S$2:$S$750,423)),"")</f>
        <v>[RC9017-4] UHF jewelry tag with NXP Ucode 8</v>
      </c>
      <c r="E529" s="53">
        <f t="array" ref="E529">IFERROR(IF(INDEX(Data!$D$2:$D$750,SMALL(Data!$S$2:$S$750,423))=0,"",INDEX(Data!$D$2:$D$750,SMALL(Data!$S$2:$S$750,423))),"")</f>
        <v>5000</v>
      </c>
      <c r="F529" s="54">
        <f t="array" ref="F529">IFERROR(IF(INDEX(Data!$E$2:$E$750,SMALL(Data!$S$2:$S$750,423))=0,"",INDEX(Data!$E$2:$E$750,SMALL(Data!$S$2:$S$750,423))),"")</f>
        <v>25</v>
      </c>
      <c r="G529" s="54">
        <f t="array" ref="G529">IFERROR(INDEX(Data!$F$2:$F$750,SMALL(Data!$S$2:$S$750,423)),"")</f>
        <v>125000</v>
      </c>
      <c r="H529" s="55">
        <f t="array" ref="H529">IFERROR(IF(INDEX(Data!$G$2:$G$750,SMALL(Data!$S$2:$S$750,423))=0,"",INDEX(Data!$G$2:$G$750,SMALL(Data!$S$2:$S$750,423))),"")</f>
        <v>46166</v>
      </c>
      <c r="I529" s="53">
        <f t="array" ref="I529">IFERROR(IF(INDEX(Data!$H$2:$H$750,SMALL(Data!$S$2:$S$750,423))=0,"",INDEX(Data!$H$2:$H$750,SMALL(Data!$S$2:$S$750,423))),"")</f>
        <v>17</v>
      </c>
      <c r="J529" s="55">
        <f t="array" ref="J529">IFERROR(INDEX(Data!$I$2:$I$750,SMALL(Data!$S$2:$S$750,423)),"")</f>
        <v>46285</v>
      </c>
      <c r="K529" s="53" t="str">
        <f t="array" ref="K529">IFERROR(INDEX(Data!$J$2:$J$750,SMALL(Data!$S$2:$S$750,423)),"")</f>
        <v>Not Paid</v>
      </c>
      <c r="L529" s="53" t="str">
        <f t="array" ref="L529">IFERROR(INDEX(Data!$K$2:$K$750,SMALL(Data!$S$2:$S$750,423)),"")</f>
        <v>Pending</v>
      </c>
      <c r="M529" s="48" t="s">
        <v>226</v>
      </c>
      <c r="N529" s="48">
        <f>SUMIFS(Data!D2:D750,Data!A2:A750,M529,Data!Q2:Q750,1)</f>
        <v>1</v>
      </c>
      <c r="O529" s="61">
        <f t="shared" si="1"/>
        <v>1.00000529</v>
      </c>
    </row>
    <row r="530" ht="15.75" customHeight="1">
      <c r="B530" s="56" t="str">
        <f t="array" ref="B530">IFERROR(INDEX(Data!$A$2:$A$750,SMALL(Data!$S$2:$S$750,424)),"")</f>
        <v>EL Kasr</v>
      </c>
      <c r="C530" s="56" t="str">
        <f t="array" ref="C530">IFERROR(IF(INDEX(Data!$B$2:$B$750,SMALL(Data!$S$2:$S$750,424))=0,"",INDEX(Data!$B$2:$B$750,SMALL(Data!$S$2:$S$750,424))),"")</f>
        <v/>
      </c>
      <c r="D530" s="56" t="str">
        <f t="array" ref="D530">IFERROR(INDEX(Data!$C$2:$C$750,SMALL(Data!$S$2:$S$750,424)),"")</f>
        <v>[Y10110600011] Special Ribbons for SATO Desktop Printer</v>
      </c>
      <c r="E530" s="56">
        <f t="array" ref="E530">IFERROR(IF(INDEX(Data!$D$2:$D$750,SMALL(Data!$S$2:$S$750,424))=0,"",INDEX(Data!$D$2:$D$750,SMALL(Data!$S$2:$S$750,424))),"")</f>
        <v>10</v>
      </c>
      <c r="F530" s="57">
        <f t="array" ref="F530">IFERROR(IF(INDEX(Data!$E$2:$E$750,SMALL(Data!$S$2:$S$750,424))=0,"",INDEX(Data!$E$2:$E$750,SMALL(Data!$S$2:$S$750,424))),"")</f>
        <v>245</v>
      </c>
      <c r="G530" s="57">
        <f t="array" ref="G530">IFERROR(INDEX(Data!$F$2:$F$750,SMALL(Data!$S$2:$S$750,424)),"")</f>
        <v>2450</v>
      </c>
      <c r="H530" s="58">
        <f t="array" ref="H530">IFERROR(IF(INDEX(Data!$G$2:$G$750,SMALL(Data!$S$2:$S$750,424))=0,"",INDEX(Data!$G$2:$G$750,SMALL(Data!$S$2:$S$750,424))),"")</f>
        <v>46167</v>
      </c>
      <c r="I530" s="56">
        <f t="array" ref="I530">IFERROR(IF(INDEX(Data!$H$2:$H$750,SMALL(Data!$S$2:$S$750,424))=0,"",INDEX(Data!$H$2:$H$750,SMALL(Data!$S$2:$S$750,424))),"")</f>
        <v>15</v>
      </c>
      <c r="J530" s="58">
        <f t="array" ref="J530">IFERROR(INDEX(Data!$I$2:$I$750,SMALL(Data!$S$2:$S$750,424)),"")</f>
        <v>46272</v>
      </c>
      <c r="K530" s="56" t="str">
        <f t="array" ref="K530">IFERROR(INDEX(Data!$J$2:$J$750,SMALL(Data!$S$2:$S$750,424)),"")</f>
        <v>Not Paid</v>
      </c>
      <c r="L530" s="56" t="str">
        <f t="array" ref="L530">IFERROR(INDEX(Data!$K$2:$K$750,SMALL(Data!$S$2:$S$750,424)),"")</f>
        <v>Pending</v>
      </c>
      <c r="M530" s="48" t="s">
        <v>229</v>
      </c>
      <c r="N530" s="48">
        <f>SUMIFS(Data!D2:D750,Data!A2:A750,M530,Data!Q2:Q750,1)</f>
        <v>2</v>
      </c>
      <c r="O530" s="61">
        <f t="shared" si="1"/>
        <v>2.0000053</v>
      </c>
    </row>
    <row r="531" ht="15.75" customHeight="1">
      <c r="B531" s="53" t="str">
        <f t="array" ref="B531">IFERROR(INDEX(Data!$A$2:$A$750,SMALL(Data!$S$2:$S$750,425)),"")</f>
        <v>Iwan Group Jeera</v>
      </c>
      <c r="C531" s="53" t="str">
        <f t="array" ref="C531">IFERROR(IF(INDEX(Data!$B$2:$B$750,SMALL(Data!$S$2:$S$750,425))=0,"",INDEX(Data!$B$2:$B$750,SMALL(Data!$S$2:$S$750,425))),"")</f>
        <v/>
      </c>
      <c r="D531" s="53" t="str">
        <f t="array" ref="D531">IFERROR(INDEX(Data!$C$2:$C$750,SMALL(Data!$S$2:$S$750,425)),"")</f>
        <v>[CEL1425] Capacitor 230v        </v>
      </c>
      <c r="E531" s="53">
        <f t="array" ref="E531">IFERROR(IF(INDEX(Data!$D$2:$D$750,SMALL(Data!$S$2:$S$750,425))=0,"",INDEX(Data!$D$2:$D$750,SMALL(Data!$S$2:$S$750,425))),"")</f>
        <v>2</v>
      </c>
      <c r="F531" s="54">
        <f t="array" ref="F531">IFERROR(IF(INDEX(Data!$E$2:$E$750,SMALL(Data!$S$2:$S$750,425))=0,"",INDEX(Data!$E$2:$E$750,SMALL(Data!$S$2:$S$750,425))),"")</f>
        <v>2555</v>
      </c>
      <c r="G531" s="54">
        <f t="array" ref="G531">IFERROR(INDEX(Data!$F$2:$F$750,SMALL(Data!$S$2:$S$750,425)),"")</f>
        <v>5110</v>
      </c>
      <c r="H531" s="55">
        <f t="array" ref="H531">IFERROR(IF(INDEX(Data!$G$2:$G$750,SMALL(Data!$S$2:$S$750,425))=0,"",INDEX(Data!$G$2:$G$750,SMALL(Data!$S$2:$S$750,425))),"")</f>
        <v>46168</v>
      </c>
      <c r="I531" s="53">
        <f t="array" ref="I531">IFERROR(IF(INDEX(Data!$H$2:$H$750,SMALL(Data!$S$2:$S$750,425))=0,"",INDEX(Data!$H$2:$H$750,SMALL(Data!$S$2:$S$750,425))),"")</f>
        <v>15</v>
      </c>
      <c r="J531" s="55">
        <f t="array" ref="J531">IFERROR(INDEX(Data!$I$2:$I$750,SMALL(Data!$S$2:$S$750,425)),"")</f>
        <v>46273</v>
      </c>
      <c r="K531" s="53" t="str">
        <f t="array" ref="K531">IFERROR(INDEX(Data!$J$2:$J$750,SMALL(Data!$S$2:$S$750,425)),"")</f>
        <v>Not Paid</v>
      </c>
      <c r="L531" s="53" t="str">
        <f t="array" ref="L531">IFERROR(INDEX(Data!$K$2:$K$750,SMALL(Data!$S$2:$S$750,425)),"")</f>
        <v>Pending</v>
      </c>
      <c r="M531" s="48" t="s">
        <v>231</v>
      </c>
      <c r="N531" s="48">
        <f>SUMIFS(Data!D2:D750,Data!A2:A750,M531,Data!Q2:Q750,1)</f>
        <v>1</v>
      </c>
      <c r="O531" s="61">
        <f t="shared" si="1"/>
        <v>1.00000531</v>
      </c>
    </row>
    <row r="532" ht="15.75" customHeight="1">
      <c r="B532" s="56" t="str">
        <f t="array" ref="B532">IFERROR(INDEX(Data!$A$2:$A$750,SMALL(Data!$S$2:$S$750,426)),"")</f>
        <v>Iwan Group Jeera</v>
      </c>
      <c r="C532" s="56" t="str">
        <f t="array" ref="C532">IFERROR(IF(INDEX(Data!$B$2:$B$750,SMALL(Data!$S$2:$S$750,426))=0,"",INDEX(Data!$B$2:$B$750,SMALL(Data!$S$2:$S$750,426))),"")</f>
        <v/>
      </c>
      <c r="D532" s="56" t="str">
        <f t="array" ref="D532">IFERROR(INDEX(Data!$C$2:$C$750,SMALL(Data!$S$2:$S$750,426)),"")</f>
        <v>RIB Cover Board [BA01510] without metal plate</v>
      </c>
      <c r="E532" s="56">
        <f t="array" ref="E532">IFERROR(IF(INDEX(Data!$D$2:$D$750,SMALL(Data!$S$2:$S$750,426))=0,"",INDEX(Data!$D$2:$D$750,SMALL(Data!$S$2:$S$750,426))),"")</f>
        <v>1</v>
      </c>
      <c r="F532" s="57">
        <f t="array" ref="F532">IFERROR(IF(INDEX(Data!$E$2:$E$750,SMALL(Data!$S$2:$S$750,426))=0,"",INDEX(Data!$E$2:$E$750,SMALL(Data!$S$2:$S$750,426))),"")</f>
        <v>255</v>
      </c>
      <c r="G532" s="57">
        <f t="array" ref="G532">IFERROR(INDEX(Data!$F$2:$F$750,SMALL(Data!$S$2:$S$750,426)),"")</f>
        <v>255</v>
      </c>
      <c r="H532" s="58">
        <f t="array" ref="H532">IFERROR(IF(INDEX(Data!$G$2:$G$750,SMALL(Data!$S$2:$S$750,426))=0,"",INDEX(Data!$G$2:$G$750,SMALL(Data!$S$2:$S$750,426))),"")</f>
        <v>46169</v>
      </c>
      <c r="I532" s="56">
        <f t="array" ref="I532">IFERROR(IF(INDEX(Data!$H$2:$H$750,SMALL(Data!$S$2:$S$750,426))=0,"",INDEX(Data!$H$2:$H$750,SMALL(Data!$S$2:$S$750,426))),"")</f>
        <v>14</v>
      </c>
      <c r="J532" s="58">
        <f t="array" ref="J532">IFERROR(INDEX(Data!$I$2:$I$750,SMALL(Data!$S$2:$S$750,426)),"")</f>
        <v>46267</v>
      </c>
      <c r="K532" s="56" t="str">
        <f t="array" ref="K532">IFERROR(INDEX(Data!$J$2:$J$750,SMALL(Data!$S$2:$S$750,426)),"")</f>
        <v>Not Paid</v>
      </c>
      <c r="L532" s="56" t="str">
        <f t="array" ref="L532">IFERROR(INDEX(Data!$K$2:$K$750,SMALL(Data!$S$2:$S$750,426)),"")</f>
        <v>Pending</v>
      </c>
      <c r="M532" s="48" t="s">
        <v>233</v>
      </c>
      <c r="N532" s="48">
        <f>SUMIFS(Data!D2:D750,Data!A2:A750,M532,Data!Q2:Q750,1)</f>
        <v>2001</v>
      </c>
      <c r="O532" s="61">
        <f t="shared" si="1"/>
        <v>2001.000005</v>
      </c>
    </row>
    <row r="533" ht="15.75" customHeight="1">
      <c r="B533" s="53" t="str">
        <f t="array" ref="B533">IFERROR(INDEX(Data!$A$2:$A$750,SMALL(Data!$S$2:$S$750,427)),"")</f>
        <v>Bishoy Showroom Sanitary wear</v>
      </c>
      <c r="C533" s="53" t="str">
        <f t="array" ref="C533">IFERROR(IF(INDEX(Data!$B$2:$B$750,SMALL(Data!$S$2:$S$750,427))=0,"",INDEX(Data!$B$2:$B$750,SMALL(Data!$S$2:$S$750,427))),"")</f>
        <v/>
      </c>
      <c r="D533" s="53" t="str">
        <f t="array" ref="D533">IFERROR(INDEX(Data!$C$2:$C$750,SMALL(Data!$S$2:$S$750,427)),"")</f>
        <v>UHF RFID Paper Tags (SHORTDIPOLE)</v>
      </c>
      <c r="E533" s="53">
        <f t="array" ref="E533">IFERROR(IF(INDEX(Data!$D$2:$D$750,SMALL(Data!$S$2:$S$750,427))=0,"",INDEX(Data!$D$2:$D$750,SMALL(Data!$S$2:$S$750,427))),"")</f>
        <v>2000</v>
      </c>
      <c r="F533" s="54">
        <f t="array" ref="F533">IFERROR(IF(INDEX(Data!$E$2:$E$750,SMALL(Data!$S$2:$S$750,427))=0,"",INDEX(Data!$E$2:$E$750,SMALL(Data!$S$2:$S$750,427))),"")</f>
        <v>45</v>
      </c>
      <c r="G533" s="54">
        <f t="array" ref="G533">IFERROR(INDEX(Data!$F$2:$F$750,SMALL(Data!$S$2:$S$750,427)),"")</f>
        <v>90000</v>
      </c>
      <c r="H533" s="55">
        <f t="array" ref="H533">IFERROR(IF(INDEX(Data!$G$2:$G$750,SMALL(Data!$S$2:$S$750,427))=0,"",INDEX(Data!$G$2:$G$750,SMALL(Data!$S$2:$S$750,427))),"")</f>
        <v>46170</v>
      </c>
      <c r="I533" s="53">
        <f t="array" ref="I533">IFERROR(IF(INDEX(Data!$H$2:$H$750,SMALL(Data!$S$2:$S$750,427))=0,"",INDEX(Data!$H$2:$H$750,SMALL(Data!$S$2:$S$750,427))),"")</f>
        <v>17</v>
      </c>
      <c r="J533" s="55">
        <f t="array" ref="J533">IFERROR(INDEX(Data!$I$2:$I$750,SMALL(Data!$S$2:$S$750,427)),"")</f>
        <v>46289</v>
      </c>
      <c r="K533" s="53" t="str">
        <f t="array" ref="K533">IFERROR(INDEX(Data!$J$2:$J$750,SMALL(Data!$S$2:$S$750,427)),"")</f>
        <v>Not Paid</v>
      </c>
      <c r="L533" s="53" t="str">
        <f t="array" ref="L533">IFERROR(INDEX(Data!$K$2:$K$750,SMALL(Data!$S$2:$S$750,427)),"")</f>
        <v>Pending</v>
      </c>
      <c r="M533" s="48" t="s">
        <v>236</v>
      </c>
      <c r="N533" s="48">
        <f>SUMIFS(Data!D2:D750,Data!A2:A750,M533,Data!Q2:Q750,1)</f>
        <v>124</v>
      </c>
      <c r="O533" s="61">
        <f t="shared" si="1"/>
        <v>124.0000053</v>
      </c>
    </row>
    <row r="534" ht="15.75" customHeight="1">
      <c r="B534" s="56" t="str">
        <f t="array" ref="B534">IFERROR(INDEX(Data!$A$2:$A$750,SMALL(Data!$S$2:$S$750,428)),"")</f>
        <v>Bishoy Showroom Sanitary wear</v>
      </c>
      <c r="C534" s="56" t="str">
        <f t="array" ref="C534">IFERROR(IF(INDEX(Data!$B$2:$B$750,SMALL(Data!$S$2:$S$750,428))=0,"",INDEX(Data!$B$2:$B$750,SMALL(Data!$S$2:$S$750,428))),"")</f>
        <v/>
      </c>
      <c r="D534" s="56" t="str">
        <f t="array" ref="D534">IFERROR(INDEX(Data!$C$2:$C$750,SMALL(Data!$S$2:$S$750,428)),"")</f>
        <v>at909</v>
      </c>
      <c r="E534" s="56">
        <f t="array" ref="E534">IFERROR(IF(INDEX(Data!$D$2:$D$750,SMALL(Data!$S$2:$S$750,428))=0,"",INDEX(Data!$D$2:$D$750,SMALL(Data!$S$2:$S$750,428))),"")</f>
        <v>1</v>
      </c>
      <c r="F534" s="57">
        <f t="array" ref="F534">IFERROR(IF(INDEX(Data!$E$2:$E$750,SMALL(Data!$S$2:$S$750,428))=0,"",INDEX(Data!$E$2:$E$750,SMALL(Data!$S$2:$S$750,428))),"")</f>
        <v>36</v>
      </c>
      <c r="G534" s="57">
        <f t="array" ref="G534">IFERROR(INDEX(Data!$F$2:$F$750,SMALL(Data!$S$2:$S$750,428)),"")</f>
        <v>36</v>
      </c>
      <c r="H534" s="58">
        <f t="array" ref="H534">IFERROR(IF(INDEX(Data!$G$2:$G$750,SMALL(Data!$S$2:$S$750,428))=0,"",INDEX(Data!$G$2:$G$750,SMALL(Data!$S$2:$S$750,428))),"")</f>
        <v>46171</v>
      </c>
      <c r="I534" s="56">
        <f t="array" ref="I534">IFERROR(IF(INDEX(Data!$H$2:$H$750,SMALL(Data!$S$2:$S$750,428))=0,"",INDEX(Data!$H$2:$H$750,SMALL(Data!$S$2:$S$750,428))),"")</f>
        <v>15</v>
      </c>
      <c r="J534" s="58">
        <f t="array" ref="J534">IFERROR(INDEX(Data!$I$2:$I$750,SMALL(Data!$S$2:$S$750,428)),"")</f>
        <v>46276</v>
      </c>
      <c r="K534" s="56" t="str">
        <f t="array" ref="K534">IFERROR(INDEX(Data!$J$2:$J$750,SMALL(Data!$S$2:$S$750,428)),"")</f>
        <v>Not Paid</v>
      </c>
      <c r="L534" s="56" t="str">
        <f t="array" ref="L534">IFERROR(INDEX(Data!$K$2:$K$750,SMALL(Data!$S$2:$S$750,428)),"")</f>
        <v>Pending</v>
      </c>
      <c r="M534" s="48" t="s">
        <v>238</v>
      </c>
      <c r="N534" s="48">
        <f>SUMIFS(Data!D2:D750,Data!A2:A750,M534,Data!Q2:Q750,1)</f>
        <v>27003</v>
      </c>
      <c r="O534" s="61">
        <f t="shared" si="1"/>
        <v>27003.00001</v>
      </c>
    </row>
    <row r="535" ht="15.75" customHeight="1">
      <c r="B535" s="53" t="str">
        <f t="array" ref="B535">IFERROR(INDEX(Data!$A$2:$A$750,SMALL(Data!$S$2:$S$750,429)),"")</f>
        <v>Iwan Group Jewar</v>
      </c>
      <c r="C535" s="53" t="str">
        <f t="array" ref="C535">IFERROR(IF(INDEX(Data!$B$2:$B$750,SMALL(Data!$S$2:$S$750,429))=0,"",INDEX(Data!$B$2:$B$750,SMALL(Data!$S$2:$S$750,429))),"")</f>
        <v/>
      </c>
      <c r="D535" s="53" t="str">
        <f t="array" ref="D535">IFERROR(INDEX(Data!$C$2:$C$750,SMALL(Data!$S$2:$S$750,429)),"")</f>
        <v>[CEL1425] Capacitor 230v </v>
      </c>
      <c r="E535" s="53">
        <f t="array" ref="E535">IFERROR(IF(INDEX(Data!$D$2:$D$750,SMALL(Data!$S$2:$S$750,429))=0,"",INDEX(Data!$D$2:$D$750,SMALL(Data!$S$2:$S$750,429))),"")</f>
        <v>2</v>
      </c>
      <c r="F535" s="54">
        <f t="array" ref="F535">IFERROR(IF(INDEX(Data!$E$2:$E$750,SMALL(Data!$S$2:$S$750,429))=0,"",INDEX(Data!$E$2:$E$750,SMALL(Data!$S$2:$S$750,429))),"")</f>
        <v>96</v>
      </c>
      <c r="G535" s="54">
        <f t="array" ref="G535">IFERROR(INDEX(Data!$F$2:$F$750,SMALL(Data!$S$2:$S$750,429)),"")</f>
        <v>192</v>
      </c>
      <c r="H535" s="55">
        <f t="array" ref="H535">IFERROR(IF(INDEX(Data!$G$2:$G$750,SMALL(Data!$S$2:$S$750,429))=0,"",INDEX(Data!$G$2:$G$750,SMALL(Data!$S$2:$S$750,429))),"")</f>
        <v>46172</v>
      </c>
      <c r="I535" s="53">
        <f t="array" ref="I535">IFERROR(IF(INDEX(Data!$H$2:$H$750,SMALL(Data!$S$2:$S$750,429))=0,"",INDEX(Data!$H$2:$H$750,SMALL(Data!$S$2:$S$750,429))),"")</f>
        <v>17</v>
      </c>
      <c r="J535" s="55">
        <f t="array" ref="J535">IFERROR(INDEX(Data!$I$2:$I$750,SMALL(Data!$S$2:$S$750,429)),"")</f>
        <v>46291</v>
      </c>
      <c r="K535" s="53" t="str">
        <f t="array" ref="K535">IFERROR(INDEX(Data!$J$2:$J$750,SMALL(Data!$S$2:$S$750,429)),"")</f>
        <v>Not Paid</v>
      </c>
      <c r="L535" s="53" t="str">
        <f t="array" ref="L535">IFERROR(INDEX(Data!$K$2:$K$750,SMALL(Data!$S$2:$S$750,429)),"")</f>
        <v>Pending</v>
      </c>
      <c r="M535" s="48" t="s">
        <v>240</v>
      </c>
      <c r="N535" s="48">
        <f>SUMIFS(Data!D2:D750,Data!A2:A750,M535,Data!Q2:Q750,1)</f>
        <v>3</v>
      </c>
      <c r="O535" s="61">
        <f t="shared" si="1"/>
        <v>3.00000535</v>
      </c>
    </row>
    <row r="536" ht="15.75" customHeight="1">
      <c r="B536" s="56" t="str">
        <f t="array" ref="B536">IFERROR(INDEX(Data!$A$2:$A$750,SMALL(Data!$S$2:$S$750,430)),"")</f>
        <v>Transmura</v>
      </c>
      <c r="C536" s="56" t="str">
        <f t="array" ref="C536">IFERROR(IF(INDEX(Data!$B$2:$B$750,SMALL(Data!$S$2:$S$750,430))=0,"",INDEX(Data!$B$2:$B$750,SMALL(Data!$S$2:$S$750,430))),"")</f>
        <v/>
      </c>
      <c r="D536" s="56" t="str">
        <f t="array" ref="D536">IFERROR(INDEX(Data!$C$2:$C$750,SMALL(Data!$S$2:$S$750,430)),"")</f>
        <v>Coaxial Cables</v>
      </c>
      <c r="E536" s="56" t="str">
        <f t="array" ref="E536">IFERROR(IF(INDEX(Data!$D$2:$D$750,SMALL(Data!$S$2:$S$750,430))=0,"",INDEX(Data!$D$2:$D$750,SMALL(Data!$S$2:$S$750,430))),"")</f>
        <v>200m</v>
      </c>
      <c r="F536" s="57">
        <f t="array" ref="F536">IFERROR(IF(INDEX(Data!$E$2:$E$750,SMALL(Data!$S$2:$S$750,430))=0,"",INDEX(Data!$E$2:$E$750,SMALL(Data!$S$2:$S$750,430))),"")</f>
        <v>8</v>
      </c>
      <c r="G536" s="57" t="str">
        <f t="array" ref="G536">IFERROR(INDEX(Data!$F$2:$F$750,SMALL(Data!$S$2:$S$750,430)),"")</f>
        <v/>
      </c>
      <c r="H536" s="58">
        <f t="array" ref="H536">IFERROR(IF(INDEX(Data!$G$2:$G$750,SMALL(Data!$S$2:$S$750,430))=0,"",INDEX(Data!$G$2:$G$750,SMALL(Data!$S$2:$S$750,430))),"")</f>
        <v>46173</v>
      </c>
      <c r="I536" s="56">
        <f t="array" ref="I536">IFERROR(IF(INDEX(Data!$H$2:$H$750,SMALL(Data!$S$2:$S$750,430))=0,"",INDEX(Data!$H$2:$H$750,SMALL(Data!$S$2:$S$750,430))),"")</f>
        <v>14</v>
      </c>
      <c r="J536" s="58">
        <f t="array" ref="J536">IFERROR(INDEX(Data!$I$2:$I$750,SMALL(Data!$S$2:$S$750,430)),"")</f>
        <v>46271</v>
      </c>
      <c r="K536" s="56" t="str">
        <f t="array" ref="K536">IFERROR(INDEX(Data!$J$2:$J$750,SMALL(Data!$S$2:$S$750,430)),"")</f>
        <v>Not Paid</v>
      </c>
      <c r="L536" s="56" t="str">
        <f t="array" ref="L536">IFERROR(INDEX(Data!$K$2:$K$750,SMALL(Data!$S$2:$S$750,430)),"")</f>
        <v>Pending</v>
      </c>
      <c r="M536" s="48" t="s">
        <v>243</v>
      </c>
      <c r="N536" s="48">
        <f>SUMIFS(Data!D2:D750,Data!A2:A750,M536,Data!Q2:Q750,1)</f>
        <v>1000</v>
      </c>
      <c r="O536" s="61">
        <f t="shared" si="1"/>
        <v>1000.000005</v>
      </c>
    </row>
    <row r="537" ht="15.75" customHeight="1">
      <c r="B537" s="53" t="str">
        <f t="array" ref="B537">IFERROR(INDEX(Data!$A$2:$A$750,SMALL(Data!$S$2:$S$750,431)),"")</f>
        <v>Marakia</v>
      </c>
      <c r="C537" s="53" t="str">
        <f t="array" ref="C537">IFERROR(IF(INDEX(Data!$B$2:$B$750,SMALL(Data!$S$2:$S$750,431))=0,"",INDEX(Data!$B$2:$B$750,SMALL(Data!$S$2:$S$750,431))),"")</f>
        <v/>
      </c>
      <c r="D537" s="53" t="str">
        <f t="array" ref="D537">IFERROR(INDEX(Data!$C$2:$C$750,SMALL(Data!$S$2:$S$750,431)),"")</f>
        <v>QR Scanners</v>
      </c>
      <c r="E537" s="53">
        <f t="array" ref="E537">IFERROR(IF(INDEX(Data!$D$2:$D$750,SMALL(Data!$S$2:$S$750,431))=0,"",INDEX(Data!$D$2:$D$750,SMALL(Data!$S$2:$S$750,431))),"")</f>
        <v>2</v>
      </c>
      <c r="F537" s="54">
        <f t="array" ref="F537">IFERROR(IF(INDEX(Data!$E$2:$E$750,SMALL(Data!$S$2:$S$750,431))=0,"",INDEX(Data!$E$2:$E$750,SMALL(Data!$S$2:$S$750,431))),"")</f>
        <v>5</v>
      </c>
      <c r="G537" s="54">
        <f t="array" ref="G537">IFERROR(INDEX(Data!$F$2:$F$750,SMALL(Data!$S$2:$S$750,431)),"")</f>
        <v>10</v>
      </c>
      <c r="H537" s="55">
        <f t="array" ref="H537">IFERROR(IF(INDEX(Data!$G$2:$G$750,SMALL(Data!$S$2:$S$750,431))=0,"",INDEX(Data!$G$2:$G$750,SMALL(Data!$S$2:$S$750,431))),"")</f>
        <v>46174</v>
      </c>
      <c r="I537" s="53">
        <f t="array" ref="I537">IFERROR(IF(INDEX(Data!$H$2:$H$750,SMALL(Data!$S$2:$S$750,431))=0,"",INDEX(Data!$H$2:$H$750,SMALL(Data!$S$2:$S$750,431))),"")</f>
        <v>15</v>
      </c>
      <c r="J537" s="55">
        <f t="array" ref="J537">IFERROR(INDEX(Data!$I$2:$I$750,SMALL(Data!$S$2:$S$750,431)),"")</f>
        <v>46279</v>
      </c>
      <c r="K537" s="53" t="str">
        <f t="array" ref="K537">IFERROR(INDEX(Data!$J$2:$J$750,SMALL(Data!$S$2:$S$750,431)),"")</f>
        <v>Not Paid</v>
      </c>
      <c r="L537" s="53" t="str">
        <f t="array" ref="L537">IFERROR(INDEX(Data!$K$2:$K$750,SMALL(Data!$S$2:$S$750,431)),"")</f>
        <v>Pending</v>
      </c>
      <c r="M537" s="48" t="s">
        <v>244</v>
      </c>
      <c r="N537" s="48">
        <f>SUMIFS(Data!D2:D750,Data!A2:A750,M537,Data!Q2:Q750,1)</f>
        <v>22</v>
      </c>
      <c r="O537" s="61">
        <f t="shared" si="1"/>
        <v>22.00000537</v>
      </c>
    </row>
    <row r="538" ht="15.75" customHeight="1">
      <c r="B538" s="56" t="str">
        <f t="array" ref="B538">IFERROR(INDEX(Data!$A$2:$A$750,SMALL(Data!$S$2:$S$750,432)),"")</f>
        <v>Marakia</v>
      </c>
      <c r="C538" s="56" t="str">
        <f t="array" ref="C538">IFERROR(IF(INDEX(Data!$B$2:$B$750,SMALL(Data!$S$2:$S$750,432))=0,"",INDEX(Data!$B$2:$B$750,SMALL(Data!$S$2:$S$750,432))),"")</f>
        <v/>
      </c>
      <c r="D538" s="56" t="str">
        <f t="array" ref="D538">IFERROR(INDEX(Data!$C$2:$C$750,SMALL(Data!$S$2:$S$750,432)),"")</f>
        <v>Rapid N 5m Kit</v>
      </c>
      <c r="E538" s="56">
        <f t="array" ref="E538">IFERROR(IF(INDEX(Data!$D$2:$D$750,SMALL(Data!$S$2:$S$750,432))=0,"",INDEX(Data!$D$2:$D$750,SMALL(Data!$S$2:$S$750,432))),"")</f>
        <v>1</v>
      </c>
      <c r="F538" s="57">
        <f t="array" ref="F538">IFERROR(IF(INDEX(Data!$E$2:$E$750,SMALL(Data!$S$2:$S$750,432))=0,"",INDEX(Data!$E$2:$E$750,SMALL(Data!$S$2:$S$750,432))),"")</f>
        <v>4</v>
      </c>
      <c r="G538" s="57">
        <f t="array" ref="G538">IFERROR(INDEX(Data!$F$2:$F$750,SMALL(Data!$S$2:$S$750,432)),"")</f>
        <v>4</v>
      </c>
      <c r="H538" s="58">
        <f t="array" ref="H538">IFERROR(IF(INDEX(Data!$G$2:$G$750,SMALL(Data!$S$2:$S$750,432))=0,"",INDEX(Data!$G$2:$G$750,SMALL(Data!$S$2:$S$750,432))),"")</f>
        <v>46175</v>
      </c>
      <c r="I538" s="56">
        <f t="array" ref="I538">IFERROR(IF(INDEX(Data!$H$2:$H$750,SMALL(Data!$S$2:$S$750,432))=0,"",INDEX(Data!$H$2:$H$750,SMALL(Data!$S$2:$S$750,432))),"")</f>
        <v>8</v>
      </c>
      <c r="J538" s="58">
        <f t="array" ref="J538">IFERROR(INDEX(Data!$I$2:$I$750,SMALL(Data!$S$2:$S$750,432)),"")</f>
        <v>46231</v>
      </c>
      <c r="K538" s="56" t="str">
        <f t="array" ref="K538">IFERROR(INDEX(Data!$J$2:$J$750,SMALL(Data!$S$2:$S$750,432)),"")</f>
        <v>Not Paid</v>
      </c>
      <c r="L538" s="56" t="str">
        <f t="array" ref="L538">IFERROR(INDEX(Data!$K$2:$K$750,SMALL(Data!$S$2:$S$750,432)),"")</f>
        <v>Pending</v>
      </c>
      <c r="M538" s="48" t="s">
        <v>247</v>
      </c>
      <c r="N538" s="48">
        <f>SUMIFS(Data!D2:D750,Data!A2:A750,M538,Data!Q2:Q750,1)</f>
        <v>2008</v>
      </c>
      <c r="O538" s="61">
        <f t="shared" si="1"/>
        <v>2008.000005</v>
      </c>
    </row>
    <row r="539" ht="15.75" customHeight="1">
      <c r="B539" s="53" t="str">
        <f t="array" ref="B539">IFERROR(INDEX(Data!$A$2:$A$750,SMALL(Data!$S$2:$S$750,433)),"")</f>
        <v>Marakia</v>
      </c>
      <c r="C539" s="53" t="str">
        <f t="array" ref="C539">IFERROR(IF(INDEX(Data!$B$2:$B$750,SMALL(Data!$S$2:$S$750,433))=0,"",INDEX(Data!$B$2:$B$750,SMALL(Data!$S$2:$S$750,433))),"")</f>
        <v/>
      </c>
      <c r="D539" s="53" t="str">
        <f t="array" ref="D539">IFERROR(INDEX(Data!$C$2:$C$750,SMALL(Data!$S$2:$S$750,433)),"")</f>
        <v>LRU1002 UHF Reader with 1 Antenna Kit</v>
      </c>
      <c r="E539" s="53">
        <f t="array" ref="E539">IFERROR(IF(INDEX(Data!$D$2:$D$750,SMALL(Data!$S$2:$S$750,433))=0,"",INDEX(Data!$D$2:$D$750,SMALL(Data!$S$2:$S$750,433))),"")</f>
        <v>1</v>
      </c>
      <c r="F539" s="54">
        <f t="array" ref="F539">IFERROR(IF(INDEX(Data!$E$2:$E$750,SMALL(Data!$S$2:$S$750,433))=0,"",INDEX(Data!$E$2:$E$750,SMALL(Data!$S$2:$S$750,433))),"")</f>
        <v>2</v>
      </c>
      <c r="G539" s="54">
        <f t="array" ref="G539">IFERROR(INDEX(Data!$F$2:$F$750,SMALL(Data!$S$2:$S$750,433)),"")</f>
        <v>2</v>
      </c>
      <c r="H539" s="55">
        <f t="array" ref="H539">IFERROR(IF(INDEX(Data!$G$2:$G$750,SMALL(Data!$S$2:$S$750,433))=0,"",INDEX(Data!$G$2:$G$750,SMALL(Data!$S$2:$S$750,433))),"")</f>
        <v>46176</v>
      </c>
      <c r="I539" s="53">
        <f t="array" ref="I539">IFERROR(IF(INDEX(Data!$H$2:$H$750,SMALL(Data!$S$2:$S$750,433))=0,"",INDEX(Data!$H$2:$H$750,SMALL(Data!$S$2:$S$750,433))),"")</f>
        <v>6</v>
      </c>
      <c r="J539" s="55">
        <f t="array" ref="J539">IFERROR(INDEX(Data!$I$2:$I$750,SMALL(Data!$S$2:$S$750,433)),"")</f>
        <v>46218</v>
      </c>
      <c r="K539" s="53" t="str">
        <f t="array" ref="K539">IFERROR(INDEX(Data!$J$2:$J$750,SMALL(Data!$S$2:$S$750,433)),"")</f>
        <v>Not Paid</v>
      </c>
      <c r="L539" s="53" t="str">
        <f t="array" ref="L539">IFERROR(INDEX(Data!$K$2:$K$750,SMALL(Data!$S$2:$S$750,433)),"")</f>
        <v>Pending</v>
      </c>
      <c r="M539" s="48" t="s">
        <v>250</v>
      </c>
      <c r="N539" s="48">
        <f>SUMIFS(Data!D2:D750,Data!A2:A750,M539,Data!Q2:Q750,1)</f>
        <v>1</v>
      </c>
      <c r="O539" s="61">
        <f t="shared" si="1"/>
        <v>1.00000539</v>
      </c>
    </row>
    <row r="540" ht="15.75" customHeight="1">
      <c r="B540" s="56" t="str">
        <f t="array" ref="B540">IFERROR(INDEX(Data!$A$2:$A$750,SMALL(Data!$S$2:$S$750,434)),"")</f>
        <v>EL KASR</v>
      </c>
      <c r="C540" s="56" t="str">
        <f t="array" ref="C540">IFERROR(IF(INDEX(Data!$B$2:$B$750,SMALL(Data!$S$2:$S$750,434))=0,"",INDEX(Data!$B$2:$B$750,SMALL(Data!$S$2:$S$750,434))),"")</f>
        <v>Rich</v>
      </c>
      <c r="D540" s="56" t="str">
        <f t="array" ref="D540">IFERROR(INDEX(Data!$C$2:$C$750,SMALL(Data!$S$2:$S$750,434)),"")</f>
        <v>[RC9017-4] UHF jewelry tag with NXP Ucode 8</v>
      </c>
      <c r="E540" s="56">
        <f t="array" ref="E540">IFERROR(IF(INDEX(Data!$D$2:$D$750,SMALL(Data!$S$2:$S$750,434))=0,"",INDEX(Data!$D$2:$D$750,SMALL(Data!$S$2:$S$750,434))),"")</f>
        <v>5000</v>
      </c>
      <c r="F540" s="57">
        <f t="array" ref="F540">IFERROR(IF(INDEX(Data!$E$2:$E$750,SMALL(Data!$S$2:$S$750,434))=0,"",INDEX(Data!$E$2:$E$750,SMALL(Data!$S$2:$S$750,434))),"")</f>
        <v>36</v>
      </c>
      <c r="G540" s="57">
        <f t="array" ref="G540">IFERROR(INDEX(Data!$F$2:$F$750,SMALL(Data!$S$2:$S$750,434)),"")</f>
        <v>180000</v>
      </c>
      <c r="H540" s="58">
        <f t="array" ref="H540">IFERROR(IF(INDEX(Data!$G$2:$G$750,SMALL(Data!$S$2:$S$750,434))=0,"",INDEX(Data!$G$2:$G$750,SMALL(Data!$S$2:$S$750,434))),"")</f>
        <v>46177</v>
      </c>
      <c r="I540" s="56">
        <f t="array" ref="I540">IFERROR(IF(INDEX(Data!$H$2:$H$750,SMALL(Data!$S$2:$S$750,434))=0,"",INDEX(Data!$H$2:$H$750,SMALL(Data!$S$2:$S$750,434))),"")</f>
        <v>7</v>
      </c>
      <c r="J540" s="58">
        <f t="array" ref="J540">IFERROR(INDEX(Data!$I$2:$I$750,SMALL(Data!$S$2:$S$750,434)),"")</f>
        <v>46226</v>
      </c>
      <c r="K540" s="56" t="str">
        <f t="array" ref="K540">IFERROR(INDEX(Data!$J$2:$J$750,SMALL(Data!$S$2:$S$750,434)),"")</f>
        <v>Not Paid</v>
      </c>
      <c r="L540" s="56" t="str">
        <f t="array" ref="L540">IFERROR(INDEX(Data!$K$2:$K$750,SMALL(Data!$S$2:$S$750,434)),"")</f>
        <v>Pending</v>
      </c>
      <c r="M540" s="48" t="s">
        <v>253</v>
      </c>
      <c r="N540" s="48">
        <f>SUMIFS(Data!D2:D750,Data!A2:A750,M540,Data!Q2:Q750,1)</f>
        <v>3</v>
      </c>
      <c r="O540" s="61">
        <f t="shared" si="1"/>
        <v>3.0000054</v>
      </c>
    </row>
    <row r="541" ht="15.75" customHeight="1">
      <c r="B541" s="53" t="str">
        <f t="array" ref="B541">IFERROR(INDEX(Data!$A$2:$A$750,SMALL(Data!$S$2:$S$750,435)),"")</f>
        <v>TMG</v>
      </c>
      <c r="C541" s="53" t="str">
        <f t="array" ref="C541">IFERROR(IF(INDEX(Data!$B$2:$B$750,SMALL(Data!$S$2:$S$750,435))=0,"",INDEX(Data!$B$2:$B$750,SMALL(Data!$S$2:$S$750,435))),"")</f>
        <v/>
      </c>
      <c r="D541" s="53" t="str">
        <f t="array" ref="D541">IFERROR(INDEX(Data!$C$2:$C$750,SMALL(Data!$S$2:$S$750,435)),"")</f>
        <v>[14229] Paper tags (Dogbone) Blank		</v>
      </c>
      <c r="E541" s="53">
        <f t="array" ref="E541">IFERROR(IF(INDEX(Data!$D$2:$D$750,SMALL(Data!$S$2:$S$750,435))=0,"",INDEX(Data!$D$2:$D$750,SMALL(Data!$S$2:$S$750,435))),"")</f>
        <v>100</v>
      </c>
      <c r="F541" s="54">
        <f t="array" ref="F541">IFERROR(IF(INDEX(Data!$E$2:$E$750,SMALL(Data!$S$2:$S$750,435))=0,"",INDEX(Data!$E$2:$E$750,SMALL(Data!$S$2:$S$750,435))),"")</f>
        <v>2</v>
      </c>
      <c r="G541" s="54">
        <f t="array" ref="G541">IFERROR(INDEX(Data!$F$2:$F$750,SMALL(Data!$S$2:$S$750,435)),"")</f>
        <v>200</v>
      </c>
      <c r="H541" s="55">
        <f t="array" ref="H541">IFERROR(IF(INDEX(Data!$G$2:$G$750,SMALL(Data!$S$2:$S$750,435))=0,"",INDEX(Data!$G$2:$G$750,SMALL(Data!$S$2:$S$750,435))),"")</f>
        <v>46178</v>
      </c>
      <c r="I541" s="53">
        <f t="array" ref="I541">IFERROR(IF(INDEX(Data!$H$2:$H$750,SMALL(Data!$S$2:$S$750,435))=0,"",INDEX(Data!$H$2:$H$750,SMALL(Data!$S$2:$S$750,435))),"")</f>
        <v>8</v>
      </c>
      <c r="J541" s="55">
        <f t="array" ref="J541">IFERROR(INDEX(Data!$I$2:$I$750,SMALL(Data!$S$2:$S$750,435)),"")</f>
        <v>46234</v>
      </c>
      <c r="K541" s="53" t="str">
        <f t="array" ref="K541">IFERROR(INDEX(Data!$J$2:$J$750,SMALL(Data!$S$2:$S$750,435)),"")</f>
        <v>Not Paid</v>
      </c>
      <c r="L541" s="53" t="str">
        <f t="array" ref="L541">IFERROR(INDEX(Data!$K$2:$K$750,SMALL(Data!$S$2:$S$750,435)),"")</f>
        <v>Pending</v>
      </c>
      <c r="M541" s="48" t="s">
        <v>256</v>
      </c>
      <c r="N541" s="48">
        <f>SUMIFS(Data!D2:D750,Data!A2:A750,M541,Data!Q2:Q750,1)</f>
        <v>31001</v>
      </c>
      <c r="O541" s="61">
        <f t="shared" si="1"/>
        <v>31001.00001</v>
      </c>
    </row>
    <row r="542" ht="15.75" customHeight="1">
      <c r="B542" s="56" t="str">
        <f t="array" ref="B542">IFERROR(INDEX(Data!$A$2:$A$750,SMALL(Data!$S$2:$S$750,436)),"")</f>
        <v>1260 - Construction management System</v>
      </c>
      <c r="C542" s="56" t="str">
        <f t="array" ref="C542">IFERROR(IF(INDEX(Data!$B$2:$B$750,SMALL(Data!$S$2:$S$750,436))=0,"",INDEX(Data!$B$2:$B$750,SMALL(Data!$S$2:$S$750,436))),"")</f>
        <v/>
      </c>
      <c r="D542" s="56" t="str">
        <f t="array" ref="D542">IFERROR(INDEX(Data!$C$2:$C$750,SMALL(Data!$S$2:$S$750,436)),"")</f>
        <v>UHF card printed</v>
      </c>
      <c r="E542" s="56">
        <f t="array" ref="E542">IFERROR(IF(INDEX(Data!$D$2:$D$750,SMALL(Data!$S$2:$S$750,436))=0,"",INDEX(Data!$D$2:$D$750,SMALL(Data!$S$2:$S$750,436))),"")</f>
        <v>20</v>
      </c>
      <c r="F542" s="57">
        <f t="array" ref="F542">IFERROR(IF(INDEX(Data!$E$2:$E$750,SMALL(Data!$S$2:$S$750,436))=0,"",INDEX(Data!$E$2:$E$750,SMALL(Data!$S$2:$S$750,436))),"")</f>
        <v>5</v>
      </c>
      <c r="G542" s="57">
        <f t="array" ref="G542">IFERROR(INDEX(Data!$F$2:$F$750,SMALL(Data!$S$2:$S$750,436)),"")</f>
        <v>100</v>
      </c>
      <c r="H542" s="58">
        <f t="array" ref="H542">IFERROR(IF(INDEX(Data!$G$2:$G$750,SMALL(Data!$S$2:$S$750,436))=0,"",INDEX(Data!$G$2:$G$750,SMALL(Data!$S$2:$S$750,436))),"")</f>
        <v>46179</v>
      </c>
      <c r="I542" s="56">
        <f t="array" ref="I542">IFERROR(IF(INDEX(Data!$H$2:$H$750,SMALL(Data!$S$2:$S$750,436))=0,"",INDEX(Data!$H$2:$H$750,SMALL(Data!$S$2:$S$750,436))),"")</f>
        <v>4</v>
      </c>
      <c r="J542" s="58">
        <f t="array" ref="J542">IFERROR(INDEX(Data!$I$2:$I$750,SMALL(Data!$S$2:$S$750,436)),"")</f>
        <v>46207</v>
      </c>
      <c r="K542" s="56" t="str">
        <f t="array" ref="K542">IFERROR(INDEX(Data!$J$2:$J$750,SMALL(Data!$S$2:$S$750,436)),"")</f>
        <v>Not Paid</v>
      </c>
      <c r="L542" s="56" t="str">
        <f t="array" ref="L542">IFERROR(INDEX(Data!$K$2:$K$750,SMALL(Data!$S$2:$S$750,436)),"")</f>
        <v>Pending</v>
      </c>
      <c r="M542" s="48" t="s">
        <v>259</v>
      </c>
      <c r="N542" s="48">
        <f>SUMIFS(Data!D2:D750,Data!A2:A750,M542,Data!Q2:Q750,1)</f>
        <v>301</v>
      </c>
      <c r="O542" s="61">
        <f t="shared" si="1"/>
        <v>301.0000054</v>
      </c>
    </row>
    <row r="543" ht="15.75" customHeight="1">
      <c r="B543" s="53" t="str">
        <f t="array" ref="B543">IFERROR(INDEX(Data!$A$2:$A$750,SMALL(Data!$S$2:$S$750,437)),"")</f>
        <v>SLX Hassan Allam properties (SLN)</v>
      </c>
      <c r="C543" s="53" t="str">
        <f t="array" ref="C543">IFERROR(IF(INDEX(Data!$B$2:$B$750,SMALL(Data!$S$2:$S$750,437))=0,"",INDEX(Data!$B$2:$B$750,SMALL(Data!$S$2:$S$750,437))),"")</f>
        <v/>
      </c>
      <c r="D543" s="53" t="str">
        <f t="array" ref="D543">IFERROR(INDEX(Data!$C$2:$C$750,SMALL(Data!$S$2:$S$750,437)),"")</f>
        <v>FAAC B680- 5 Meters</v>
      </c>
      <c r="E543" s="53">
        <f t="array" ref="E543">IFERROR(IF(INDEX(Data!$D$2:$D$750,SMALL(Data!$S$2:$S$750,437))=0,"",INDEX(Data!$D$2:$D$750,SMALL(Data!$S$2:$S$750,437))),"")</f>
        <v>8</v>
      </c>
      <c r="F543" s="54">
        <f t="array" ref="F543">IFERROR(IF(INDEX(Data!$E$2:$E$750,SMALL(Data!$S$2:$S$750,437))=0,"",INDEX(Data!$E$2:$E$750,SMALL(Data!$S$2:$S$750,437))),"")</f>
        <v>6</v>
      </c>
      <c r="G543" s="54">
        <f t="array" ref="G543">IFERROR(INDEX(Data!$F$2:$F$750,SMALL(Data!$S$2:$S$750,437)),"")</f>
        <v>48</v>
      </c>
      <c r="H543" s="55">
        <f t="array" ref="H543">IFERROR(IF(INDEX(Data!$G$2:$G$750,SMALL(Data!$S$2:$S$750,437))=0,"",INDEX(Data!$G$2:$G$750,SMALL(Data!$S$2:$S$750,437))),"")</f>
        <v>46180</v>
      </c>
      <c r="I543" s="53">
        <f t="array" ref="I543">IFERROR(IF(INDEX(Data!$H$2:$H$750,SMALL(Data!$S$2:$S$750,437))=0,"",INDEX(Data!$H$2:$H$750,SMALL(Data!$S$2:$S$750,437))),"")</f>
        <v>7</v>
      </c>
      <c r="J543" s="55">
        <f t="array" ref="J543">IFERROR(INDEX(Data!$I$2:$I$750,SMALL(Data!$S$2:$S$750,437)),"")</f>
        <v>46229</v>
      </c>
      <c r="K543" s="53" t="str">
        <f t="array" ref="K543">IFERROR(INDEX(Data!$J$2:$J$750,SMALL(Data!$S$2:$S$750,437)),"")</f>
        <v>Not Paid</v>
      </c>
      <c r="L543" s="53" t="str">
        <f t="array" ref="L543">IFERROR(INDEX(Data!$K$2:$K$750,SMALL(Data!$S$2:$S$750,437)),"")</f>
        <v>Pending</v>
      </c>
      <c r="M543" s="48" t="s">
        <v>261</v>
      </c>
      <c r="N543" s="48">
        <f>SUMIFS(Data!D2:D750,Data!A2:A750,M543,Data!Q2:Q750,1)</f>
        <v>1</v>
      </c>
      <c r="O543" s="61">
        <f t="shared" si="1"/>
        <v>1.00000543</v>
      </c>
    </row>
    <row r="544" ht="15.75" customHeight="1">
      <c r="B544" s="56" t="str">
        <f t="array" ref="B544">IFERROR(INDEX(Data!$A$2:$A$750,SMALL(Data!$S$2:$S$750,438)),"")</f>
        <v>SLX Hassan Allam properties (SLN)</v>
      </c>
      <c r="C544" s="56" t="str">
        <f t="array" ref="C544">IFERROR(IF(INDEX(Data!$B$2:$B$750,SMALL(Data!$S$2:$S$750,438))=0,"",INDEX(Data!$B$2:$B$750,SMALL(Data!$S$2:$S$750,438))),"")</f>
        <v/>
      </c>
      <c r="D544" s="56" t="str">
        <f t="array" ref="D544">IFERROR(INDEX(Data!$C$2:$C$750,SMALL(Data!$S$2:$S$750,438)),"")</f>
        <v>ID MAX.U500i-EU Compact UHF</v>
      </c>
      <c r="E544" s="56">
        <f t="array" ref="E544">IFERROR(IF(INDEX(Data!$D$2:$D$750,SMALL(Data!$S$2:$S$750,438))=0,"",INDEX(Data!$D$2:$D$750,SMALL(Data!$S$2:$S$750,438))),"")</f>
        <v>4</v>
      </c>
      <c r="F544" s="57">
        <f t="array" ref="F544">IFERROR(IF(INDEX(Data!$E$2:$E$750,SMALL(Data!$S$2:$S$750,438))=0,"",INDEX(Data!$E$2:$E$750,SMALL(Data!$S$2:$S$750,438))),"")</f>
        <v>7</v>
      </c>
      <c r="G544" s="57">
        <f t="array" ref="G544">IFERROR(INDEX(Data!$F$2:$F$750,SMALL(Data!$S$2:$S$750,438)),"")</f>
        <v>28</v>
      </c>
      <c r="H544" s="58">
        <f t="array" ref="H544">IFERROR(IF(INDEX(Data!$G$2:$G$750,SMALL(Data!$S$2:$S$750,438))=0,"",INDEX(Data!$G$2:$G$750,SMALL(Data!$S$2:$S$750,438))),"")</f>
        <v>46181</v>
      </c>
      <c r="I544" s="56">
        <f t="array" ref="I544">IFERROR(IF(INDEX(Data!$H$2:$H$750,SMALL(Data!$S$2:$S$750,438))=0,"",INDEX(Data!$H$2:$H$750,SMALL(Data!$S$2:$S$750,438))),"")</f>
        <v>5</v>
      </c>
      <c r="J544" s="58">
        <f t="array" ref="J544">IFERROR(INDEX(Data!$I$2:$I$750,SMALL(Data!$S$2:$S$750,438)),"")</f>
        <v>46216</v>
      </c>
      <c r="K544" s="56" t="str">
        <f t="array" ref="K544">IFERROR(INDEX(Data!$J$2:$J$750,SMALL(Data!$S$2:$S$750,438)),"")</f>
        <v>Not Paid</v>
      </c>
      <c r="L544" s="56" t="str">
        <f t="array" ref="L544">IFERROR(INDEX(Data!$K$2:$K$750,SMALL(Data!$S$2:$S$750,438)),"")</f>
        <v>Pending</v>
      </c>
      <c r="M544" s="48" t="s">
        <v>264</v>
      </c>
      <c r="N544" s="48">
        <f>SUMIFS(Data!D2:D750,Data!A2:A750,M544,Data!Q2:Q750,1)</f>
        <v>23521</v>
      </c>
      <c r="O544" s="61">
        <f t="shared" si="1"/>
        <v>23521.00001</v>
      </c>
    </row>
    <row r="545" ht="15.75" customHeight="1">
      <c r="B545" s="53" t="str">
        <f t="array" ref="B545">IFERROR(INDEX(Data!$A$2:$A$750,SMALL(Data!$S$2:$S$750,439)),"")</f>
        <v>SLX Hassan Allam properties (SLN)</v>
      </c>
      <c r="C545" s="53" t="str">
        <f t="array" ref="C545">IFERROR(IF(INDEX(Data!$B$2:$B$750,SMALL(Data!$S$2:$S$750,439))=0,"",INDEX(Data!$B$2:$B$750,SMALL(Data!$S$2:$S$750,439))),"")</f>
        <v/>
      </c>
      <c r="D545" s="53" t="str">
        <f t="array" ref="D545">IFERROR(INDEX(Data!$C$2:$C$750,SMALL(Data!$S$2:$S$750,439)),"")</f>
        <v>ID ANT.U290/290-EU Robust UHF Long Range Antenna</v>
      </c>
      <c r="E545" s="53">
        <f t="array" ref="E545">IFERROR(IF(INDEX(Data!$D$2:$D$750,SMALL(Data!$S$2:$S$750,439))=0,"",INDEX(Data!$D$2:$D$750,SMALL(Data!$S$2:$S$750,439))),"")</f>
        <v>2</v>
      </c>
      <c r="F545" s="54">
        <f t="array" ref="F545">IFERROR(IF(INDEX(Data!$E$2:$E$750,SMALL(Data!$S$2:$S$750,439))=0,"",INDEX(Data!$E$2:$E$750,SMALL(Data!$S$2:$S$750,439))),"")</f>
        <v>8</v>
      </c>
      <c r="G545" s="54">
        <f t="array" ref="G545">IFERROR(INDEX(Data!$F$2:$F$750,SMALL(Data!$S$2:$S$750,439)),"")</f>
        <v>16</v>
      </c>
      <c r="H545" s="55">
        <f t="array" ref="H545">IFERROR(IF(INDEX(Data!$G$2:$G$750,SMALL(Data!$S$2:$S$750,439))=0,"",INDEX(Data!$G$2:$G$750,SMALL(Data!$S$2:$S$750,439))),"")</f>
        <v>46182</v>
      </c>
      <c r="I545" s="53">
        <f t="array" ref="I545">IFERROR(IF(INDEX(Data!$H$2:$H$750,SMALL(Data!$S$2:$S$750,439))=0,"",INDEX(Data!$H$2:$H$750,SMALL(Data!$S$2:$S$750,439))),"")</f>
        <v>8</v>
      </c>
      <c r="J545" s="55">
        <f t="array" ref="J545">IFERROR(INDEX(Data!$I$2:$I$750,SMALL(Data!$S$2:$S$750,439)),"")</f>
        <v>46238</v>
      </c>
      <c r="K545" s="53" t="str">
        <f t="array" ref="K545">IFERROR(INDEX(Data!$J$2:$J$750,SMALL(Data!$S$2:$S$750,439)),"")</f>
        <v>Not Paid</v>
      </c>
      <c r="L545" s="53" t="str">
        <f t="array" ref="L545">IFERROR(INDEX(Data!$K$2:$K$750,SMALL(Data!$S$2:$S$750,439)),"")</f>
        <v>Pending</v>
      </c>
      <c r="M545" s="48" t="s">
        <v>267</v>
      </c>
      <c r="N545" s="48">
        <f>SUMIFS(Data!D2:D750,Data!A2:A750,M545,Data!Q2:Q750,1)</f>
        <v>35072</v>
      </c>
      <c r="O545" s="61">
        <f t="shared" si="1"/>
        <v>35072.00001</v>
      </c>
    </row>
    <row r="546" ht="15.75" customHeight="1">
      <c r="B546" s="56" t="str">
        <f t="array" ref="B546">IFERROR(INDEX(Data!$A$2:$A$750,SMALL(Data!$S$2:$S$750,440)),"")</f>
        <v>SLX Hassan Allam properties (SLN)</v>
      </c>
      <c r="C546" s="56" t="str">
        <f t="array" ref="C546">IFERROR(IF(INDEX(Data!$B$2:$B$750,SMALL(Data!$S$2:$S$750,440))=0,"",INDEX(Data!$B$2:$B$750,SMALL(Data!$S$2:$S$750,440))),"")</f>
        <v/>
      </c>
      <c r="D546" s="56" t="str">
        <f t="array" ref="D546">IFERROR(INDEX(Data!$C$2:$C$750,SMALL(Data!$S$2:$S$750,440)),"")</f>
        <v>QR scanner</v>
      </c>
      <c r="E546" s="56">
        <f t="array" ref="E546">IFERROR(IF(INDEX(Data!$D$2:$D$750,SMALL(Data!$S$2:$S$750,440))=0,"",INDEX(Data!$D$2:$D$750,SMALL(Data!$S$2:$S$750,440))),"")</f>
        <v>5</v>
      </c>
      <c r="F546" s="57">
        <f t="array" ref="F546">IFERROR(IF(INDEX(Data!$E$2:$E$750,SMALL(Data!$S$2:$S$750,440))=0,"",INDEX(Data!$E$2:$E$750,SMALL(Data!$S$2:$S$750,440))),"")</f>
        <v>2</v>
      </c>
      <c r="G546" s="57">
        <f t="array" ref="G546">IFERROR(INDEX(Data!$F$2:$F$750,SMALL(Data!$S$2:$S$750,440)),"")</f>
        <v>10</v>
      </c>
      <c r="H546" s="58">
        <f t="array" ref="H546">IFERROR(IF(INDEX(Data!$G$2:$G$750,SMALL(Data!$S$2:$S$750,440))=0,"",INDEX(Data!$G$2:$G$750,SMALL(Data!$S$2:$S$750,440))),"")</f>
        <v>46183</v>
      </c>
      <c r="I546" s="56">
        <f t="array" ref="I546">IFERROR(IF(INDEX(Data!$H$2:$H$750,SMALL(Data!$S$2:$S$750,440))=0,"",INDEX(Data!$H$2:$H$750,SMALL(Data!$S$2:$S$750,440))),"")</f>
        <v>5</v>
      </c>
      <c r="J546" s="58">
        <f t="array" ref="J546">IFERROR(INDEX(Data!$I$2:$I$750,SMALL(Data!$S$2:$S$750,440)),"")</f>
        <v>46218</v>
      </c>
      <c r="K546" s="56" t="str">
        <f t="array" ref="K546">IFERROR(INDEX(Data!$J$2:$J$750,SMALL(Data!$S$2:$S$750,440)),"")</f>
        <v>Not Paid</v>
      </c>
      <c r="L546" s="56" t="str">
        <f t="array" ref="L546">IFERROR(INDEX(Data!$K$2:$K$750,SMALL(Data!$S$2:$S$750,440)),"")</f>
        <v>Pending</v>
      </c>
      <c r="M546" s="48" t="s">
        <v>271</v>
      </c>
      <c r="N546" s="48">
        <f>SUMIFS(Data!D2:D750,Data!A2:A750,M546,Data!Q2:Q750,1)</f>
        <v>21001</v>
      </c>
      <c r="O546" s="61">
        <f t="shared" si="1"/>
        <v>21001.00001</v>
      </c>
    </row>
    <row r="547" ht="15.75" customHeight="1">
      <c r="B547" s="53" t="str">
        <f t="array" ref="B547">IFERROR(INDEX(Data!$A$2:$A$750,SMALL(Data!$S$2:$S$750,441)),"")</f>
        <v>SLX Hassan Allam properties (SLN)</v>
      </c>
      <c r="C547" s="53" t="str">
        <f t="array" ref="C547">IFERROR(IF(INDEX(Data!$B$2:$B$750,SMALL(Data!$S$2:$S$750,441))=0,"",INDEX(Data!$B$2:$B$750,SMALL(Data!$S$2:$S$750,441))),"")</f>
        <v/>
      </c>
      <c r="D547" s="53" t="str">
        <f t="array" ref="D547">IFERROR(INDEX(Data!$C$2:$C$750,SMALL(Data!$S$2:$S$750,441)),"")</f>
        <v>Dell OptiPlex 7020</v>
      </c>
      <c r="E547" s="53">
        <f t="array" ref="E547">IFERROR(IF(INDEX(Data!$D$2:$D$750,SMALL(Data!$S$2:$S$750,441))=0,"",INDEX(Data!$D$2:$D$750,SMALL(Data!$S$2:$S$750,441))),"")</f>
        <v>2</v>
      </c>
      <c r="F547" s="54">
        <f t="array" ref="F547">IFERROR(IF(INDEX(Data!$E$2:$E$750,SMALL(Data!$S$2:$S$750,441))=0,"",INDEX(Data!$E$2:$E$750,SMALL(Data!$S$2:$S$750,441))),"")</f>
        <v>15</v>
      </c>
      <c r="G547" s="54">
        <f t="array" ref="G547">IFERROR(INDEX(Data!$F$2:$F$750,SMALL(Data!$S$2:$S$750,441)),"")</f>
        <v>30</v>
      </c>
      <c r="H547" s="55">
        <f t="array" ref="H547">IFERROR(IF(INDEX(Data!$G$2:$G$750,SMALL(Data!$S$2:$S$750,441))=0,"",INDEX(Data!$G$2:$G$750,SMALL(Data!$S$2:$S$750,441))),"")</f>
        <v>46184</v>
      </c>
      <c r="I547" s="53">
        <f t="array" ref="I547">IFERROR(IF(INDEX(Data!$H$2:$H$750,SMALL(Data!$S$2:$S$750,441))=0,"",INDEX(Data!$H$2:$H$750,SMALL(Data!$S$2:$S$750,441))),"")</f>
        <v>6</v>
      </c>
      <c r="J547" s="55">
        <f t="array" ref="J547">IFERROR(INDEX(Data!$I$2:$I$750,SMALL(Data!$S$2:$S$750,441)),"")</f>
        <v>46226</v>
      </c>
      <c r="K547" s="53" t="str">
        <f t="array" ref="K547">IFERROR(INDEX(Data!$J$2:$J$750,SMALL(Data!$S$2:$S$750,441)),"")</f>
        <v>Not Paid</v>
      </c>
      <c r="L547" s="53" t="str">
        <f t="array" ref="L547">IFERROR(INDEX(Data!$K$2:$K$750,SMALL(Data!$S$2:$S$750,441)),"")</f>
        <v>Pending</v>
      </c>
      <c r="M547" s="48" t="s">
        <v>274</v>
      </c>
      <c r="N547" s="48">
        <f>SUMIFS(Data!D2:D750,Data!A2:A750,M547,Data!Q2:Q750,1)</f>
        <v>9</v>
      </c>
      <c r="O547" s="61">
        <f t="shared" si="1"/>
        <v>9.00000547</v>
      </c>
    </row>
    <row r="548" ht="15.75" customHeight="1">
      <c r="B548" s="56" t="str">
        <f t="array" ref="B548">IFERROR(INDEX(Data!$A$2:$A$750,SMALL(Data!$S$2:$S$750,442)),"")</f>
        <v>Akoya Compound</v>
      </c>
      <c r="C548" s="56" t="str">
        <f t="array" ref="C548">IFERROR(IF(INDEX(Data!$B$2:$B$750,SMALL(Data!$S$2:$S$750,442))=0,"",INDEX(Data!$B$2:$B$750,SMALL(Data!$S$2:$S$750,442))),"")</f>
        <v/>
      </c>
      <c r="D548" s="56" t="str">
        <f t="array" ref="D548">IFERROR(INDEX(Data!$C$2:$C$750,SMALL(Data!$S$2:$S$750,442)),"")</f>
        <v>[ACG8065] Pair of columns for FIT SLIM photocells</v>
      </c>
      <c r="E548" s="56">
        <f t="array" ref="E548">IFERROR(IF(INDEX(Data!$D$2:$D$750,SMALL(Data!$S$2:$S$750,442))=0,"",INDEX(Data!$D$2:$D$750,SMALL(Data!$S$2:$S$750,442))),"")</f>
        <v>1</v>
      </c>
      <c r="F548" s="57">
        <f t="array" ref="F548">IFERROR(IF(INDEX(Data!$E$2:$E$750,SMALL(Data!$S$2:$S$750,442))=0,"",INDEX(Data!$E$2:$E$750,SMALL(Data!$S$2:$S$750,442))),"")</f>
        <v>45</v>
      </c>
      <c r="G548" s="57">
        <f t="array" ref="G548">IFERROR(INDEX(Data!$F$2:$F$750,SMALL(Data!$S$2:$S$750,442)),"")</f>
        <v>45</v>
      </c>
      <c r="H548" s="58">
        <f t="array" ref="H548">IFERROR(IF(INDEX(Data!$G$2:$G$750,SMALL(Data!$S$2:$S$750,442))=0,"",INDEX(Data!$G$2:$G$750,SMALL(Data!$S$2:$S$750,442))),"")</f>
        <v>46185</v>
      </c>
      <c r="I548" s="56">
        <f t="array" ref="I548">IFERROR(IF(INDEX(Data!$H$2:$H$750,SMALL(Data!$S$2:$S$750,442))=0,"",INDEX(Data!$H$2:$H$750,SMALL(Data!$S$2:$S$750,442))),"")</f>
        <v>9</v>
      </c>
      <c r="J548" s="58">
        <f t="array" ref="J548">IFERROR(INDEX(Data!$I$2:$I$750,SMALL(Data!$S$2:$S$750,442)),"")</f>
        <v>46248</v>
      </c>
      <c r="K548" s="56" t="str">
        <f t="array" ref="K548">IFERROR(INDEX(Data!$J$2:$J$750,SMALL(Data!$S$2:$S$750,442)),"")</f>
        <v>Not Paid</v>
      </c>
      <c r="L548" s="56" t="str">
        <f t="array" ref="L548">IFERROR(INDEX(Data!$K$2:$K$750,SMALL(Data!$S$2:$S$750,442)),"")</f>
        <v>Pending</v>
      </c>
      <c r="M548" s="48" t="s">
        <v>276</v>
      </c>
      <c r="N548" s="48">
        <f>SUMIFS(Data!D2:D750,Data!A2:A750,M548,Data!Q2:Q750,1)</f>
        <v>1</v>
      </c>
      <c r="O548" s="61">
        <f t="shared" si="1"/>
        <v>1.00000548</v>
      </c>
    </row>
    <row r="549" ht="15.75" customHeight="1">
      <c r="B549" s="53" t="str">
        <f t="array" ref="B549">IFERROR(INDEX(Data!$A$2:$A$750,SMALL(Data!$S$2:$S$750,443)),"")</f>
        <v>S01952 - 1616 - Pharma Overseas</v>
      </c>
      <c r="C549" s="53" t="str">
        <f t="array" ref="C549">IFERROR(IF(INDEX(Data!$B$2:$B$750,SMALL(Data!$S$2:$S$750,443))=0,"",INDEX(Data!$B$2:$B$750,SMALL(Data!$S$2:$S$750,443))),"")</f>
        <v/>
      </c>
      <c r="D549" s="53" t="str">
        <f t="array" ref="D549">IFERROR(INDEX(Data!$C$2:$C$750,SMALL(Data!$S$2:$S$750,443)),"")</f>
        <v>Rich tags (RCO7012) Blank</v>
      </c>
      <c r="E549" s="53">
        <f t="array" ref="E549">IFERROR(IF(INDEX(Data!$D$2:$D$750,SMALL(Data!$S$2:$S$750,443))=0,"",INDEX(Data!$D$2:$D$750,SMALL(Data!$S$2:$S$750,443))),"")</f>
        <v>20000</v>
      </c>
      <c r="F549" s="54">
        <f t="array" ref="F549">IFERROR(IF(INDEX(Data!$E$2:$E$750,SMALL(Data!$S$2:$S$750,443))=0,"",INDEX(Data!$E$2:$E$750,SMALL(Data!$S$2:$S$750,443))),"")</f>
        <v>24</v>
      </c>
      <c r="G549" s="54">
        <f t="array" ref="G549">IFERROR(INDEX(Data!$F$2:$F$750,SMALL(Data!$S$2:$S$750,443)),"")</f>
        <v>480000</v>
      </c>
      <c r="H549" s="55">
        <f t="array" ref="H549">IFERROR(IF(INDEX(Data!$G$2:$G$750,SMALL(Data!$S$2:$S$750,443))=0,"",INDEX(Data!$G$2:$G$750,SMALL(Data!$S$2:$S$750,443))),"")</f>
        <v>46186</v>
      </c>
      <c r="I549" s="53">
        <f t="array" ref="I549">IFERROR(IF(INDEX(Data!$H$2:$H$750,SMALL(Data!$S$2:$S$750,443))=0,"",INDEX(Data!$H$2:$H$750,SMALL(Data!$S$2:$S$750,443))),"")</f>
        <v>9</v>
      </c>
      <c r="J549" s="55">
        <f t="array" ref="J549">IFERROR(INDEX(Data!$I$2:$I$750,SMALL(Data!$S$2:$S$750,443)),"")</f>
        <v>46249</v>
      </c>
      <c r="K549" s="53" t="str">
        <f t="array" ref="K549">IFERROR(INDEX(Data!$J$2:$J$750,SMALL(Data!$S$2:$S$750,443)),"")</f>
        <v>Not Paid</v>
      </c>
      <c r="L549" s="53" t="str">
        <f t="array" ref="L549">IFERROR(INDEX(Data!$K$2:$K$750,SMALL(Data!$S$2:$S$750,443)),"")</f>
        <v>Pending</v>
      </c>
      <c r="M549" s="48" t="s">
        <v>278</v>
      </c>
      <c r="N549" s="48">
        <f>SUMIFS(Data!D2:D750,Data!A2:A750,M549,Data!Q2:Q750,1)</f>
        <v>54</v>
      </c>
      <c r="O549" s="61">
        <f t="shared" si="1"/>
        <v>54.00000549</v>
      </c>
    </row>
    <row r="550" ht="15.75" customHeight="1">
      <c r="B550" s="56" t="str">
        <f t="array" ref="B550">IFERROR(INDEX(Data!$A$2:$A$750,SMALL(Data!$S$2:$S$750,444)),"")</f>
        <v>S02032 - 0430 - Marina</v>
      </c>
      <c r="C550" s="56" t="str">
        <f t="array" ref="C550">IFERROR(IF(INDEX(Data!$B$2:$B$750,SMALL(Data!$S$2:$S$750,444))=0,"",INDEX(Data!$B$2:$B$750,SMALL(Data!$S$2:$S$750,444))),"")</f>
        <v/>
      </c>
      <c r="D550" s="56" t="str">
        <f t="array" ref="D550">IFERROR(INDEX(Data!$C$2:$C$750,SMALL(Data!$S$2:$S$750,444)),"")</f>
        <v>Magnetic Toll Barrier</v>
      </c>
      <c r="E550" s="56">
        <f t="array" ref="E550">IFERROR(IF(INDEX(Data!$D$2:$D$750,SMALL(Data!$S$2:$S$750,444))=0,"",INDEX(Data!$D$2:$D$750,SMALL(Data!$S$2:$S$750,444))),"")</f>
        <v>1</v>
      </c>
      <c r="F550" s="57">
        <f t="array" ref="F550">IFERROR(IF(INDEX(Data!$E$2:$E$750,SMALL(Data!$S$2:$S$750,444))=0,"",INDEX(Data!$E$2:$E$750,SMALL(Data!$S$2:$S$750,444))),"")</f>
        <v>25</v>
      </c>
      <c r="G550" s="57">
        <f t="array" ref="G550">IFERROR(INDEX(Data!$F$2:$F$750,SMALL(Data!$S$2:$S$750,444)),"")</f>
        <v>25</v>
      </c>
      <c r="H550" s="58">
        <f t="array" ref="H550">IFERROR(IF(INDEX(Data!$G$2:$G$750,SMALL(Data!$S$2:$S$750,444))=0,"",INDEX(Data!$G$2:$G$750,SMALL(Data!$S$2:$S$750,444))),"")</f>
        <v>46187</v>
      </c>
      <c r="I550" s="56">
        <f t="array" ref="I550">IFERROR(IF(INDEX(Data!$H$2:$H$750,SMALL(Data!$S$2:$S$750,444))=0,"",INDEX(Data!$H$2:$H$750,SMALL(Data!$S$2:$S$750,444))),"")</f>
        <v>9</v>
      </c>
      <c r="J550" s="58">
        <f t="array" ref="J550">IFERROR(INDEX(Data!$I$2:$I$750,SMALL(Data!$S$2:$S$750,444)),"")</f>
        <v>46250</v>
      </c>
      <c r="K550" s="56" t="str">
        <f t="array" ref="K550">IFERROR(INDEX(Data!$J$2:$J$750,SMALL(Data!$S$2:$S$750,444)),"")</f>
        <v>Not Paid</v>
      </c>
      <c r="L550" s="56" t="str">
        <f t="array" ref="L550">IFERROR(INDEX(Data!$K$2:$K$750,SMALL(Data!$S$2:$S$750,444)),"")</f>
        <v>Pending</v>
      </c>
      <c r="M550" s="48" t="s">
        <v>279</v>
      </c>
      <c r="N550" s="48">
        <f>SUMIFS(Data!D2:D750,Data!A2:A750,M550,Data!Q2:Q750,1)</f>
        <v>2</v>
      </c>
      <c r="O550" s="61">
        <f t="shared" si="1"/>
        <v>2.0000055</v>
      </c>
    </row>
    <row r="551" ht="15.75" customHeight="1">
      <c r="B551" s="53" t="str">
        <f t="array" ref="B551">IFERROR(INDEX(Data!$A$2:$A$750,SMALL(Data!$S$2:$S$750,445)),"")</f>
        <v>S02100 - 0757 - Hay Al Worood</v>
      </c>
      <c r="C551" s="53" t="str">
        <f t="array" ref="C551">IFERROR(IF(INDEX(Data!$B$2:$B$750,SMALL(Data!$S$2:$S$750,445))=0,"",INDEX(Data!$B$2:$B$750,SMALL(Data!$S$2:$S$750,445))),"")</f>
        <v/>
      </c>
      <c r="D551" s="53" t="str">
        <f t="array" ref="D551">IFERROR(INDEX(Data!$C$2:$C$750,SMALL(Data!$S$2:$S$750,445)),"")</f>
        <v>Condenser</v>
      </c>
      <c r="E551" s="53">
        <f t="array" ref="E551">IFERROR(IF(INDEX(Data!$D$2:$D$750,SMALL(Data!$S$2:$S$750,445))=0,"",INDEX(Data!$D$2:$D$750,SMALL(Data!$S$2:$S$750,445))),"")</f>
        <v>2</v>
      </c>
      <c r="F551" s="54">
        <f t="array" ref="F551">IFERROR(IF(INDEX(Data!$E$2:$E$750,SMALL(Data!$S$2:$S$750,445))=0,"",INDEX(Data!$E$2:$E$750,SMALL(Data!$S$2:$S$750,445))),"")</f>
        <v>36</v>
      </c>
      <c r="G551" s="54">
        <f t="array" ref="G551">IFERROR(INDEX(Data!$F$2:$F$750,SMALL(Data!$S$2:$S$750,445)),"")</f>
        <v>72</v>
      </c>
      <c r="H551" s="55">
        <f t="array" ref="H551">IFERROR(IF(INDEX(Data!$G$2:$G$750,SMALL(Data!$S$2:$S$750,445))=0,"",INDEX(Data!$G$2:$G$750,SMALL(Data!$S$2:$S$750,445))),"")</f>
        <v>46188</v>
      </c>
      <c r="I551" s="53">
        <f t="array" ref="I551">IFERROR(IF(INDEX(Data!$H$2:$H$750,SMALL(Data!$S$2:$S$750,445))=0,"",INDEX(Data!$H$2:$H$750,SMALL(Data!$S$2:$S$750,445))),"")</f>
        <v>9</v>
      </c>
      <c r="J551" s="55">
        <f t="array" ref="J551">IFERROR(INDEX(Data!$I$2:$I$750,SMALL(Data!$S$2:$S$750,445)),"")</f>
        <v>46251</v>
      </c>
      <c r="K551" s="53" t="str">
        <f t="array" ref="K551">IFERROR(INDEX(Data!$J$2:$J$750,SMALL(Data!$S$2:$S$750,445)),"")</f>
        <v>Not Paid</v>
      </c>
      <c r="L551" s="53" t="str">
        <f t="array" ref="L551">IFERROR(INDEX(Data!$K$2:$K$750,SMALL(Data!$S$2:$S$750,445)),"")</f>
        <v>Pending</v>
      </c>
      <c r="M551" s="48" t="s">
        <v>281</v>
      </c>
      <c r="N551" s="48">
        <f>SUMIFS(Data!D2:D750,Data!A2:A750,M551,Data!Q2:Q750,1)</f>
        <v>3</v>
      </c>
      <c r="O551" s="61">
        <f t="shared" si="1"/>
        <v>3.00000551</v>
      </c>
    </row>
    <row r="552" ht="15.75" customHeight="1">
      <c r="B552" s="56" t="str">
        <f t="array" ref="B552">IFERROR(INDEX(Data!$A$2:$A$750,SMALL(Data!$S$2:$S$750,446)),"")</f>
        <v>S02100 - 0757 - Hay Al Worood</v>
      </c>
      <c r="C552" s="56" t="str">
        <f t="array" ref="C552">IFERROR(IF(INDEX(Data!$B$2:$B$750,SMALL(Data!$S$2:$S$750,446))=0,"",INDEX(Data!$B$2:$B$750,SMALL(Data!$S$2:$S$750,446))),"")</f>
        <v/>
      </c>
      <c r="D552" s="56" t="str">
        <f t="array" ref="D552">IFERROR(INDEX(Data!$C$2:$C$750,SMALL(Data!$S$2:$S$750,446)),"")</f>
        <v>[BA04011] Mechanical Stopper</v>
      </c>
      <c r="E552" s="56">
        <f t="array" ref="E552">IFERROR(IF(INDEX(Data!$D$2:$D$750,SMALL(Data!$S$2:$S$750,446))=0,"",INDEX(Data!$D$2:$D$750,SMALL(Data!$S$2:$S$750,446))),"")</f>
        <v>2</v>
      </c>
      <c r="F552" s="57">
        <f t="array" ref="F552">IFERROR(IF(INDEX(Data!$E$2:$E$750,SMALL(Data!$S$2:$S$750,446))=0,"",INDEX(Data!$E$2:$E$750,SMALL(Data!$S$2:$S$750,446))),"")</f>
        <v>95</v>
      </c>
      <c r="G552" s="57">
        <f t="array" ref="G552">IFERROR(INDEX(Data!$F$2:$F$750,SMALL(Data!$S$2:$S$750,446)),"")</f>
        <v>190</v>
      </c>
      <c r="H552" s="58">
        <f t="array" ref="H552">IFERROR(IF(INDEX(Data!$G$2:$G$750,SMALL(Data!$S$2:$S$750,446))=0,"",INDEX(Data!$G$2:$G$750,SMALL(Data!$S$2:$S$750,446))),"")</f>
        <v>46189</v>
      </c>
      <c r="I552" s="56">
        <f t="array" ref="I552">IFERROR(IF(INDEX(Data!$H$2:$H$750,SMALL(Data!$S$2:$S$750,446))=0,"",INDEX(Data!$H$2:$H$750,SMALL(Data!$S$2:$S$750,446))),"")</f>
        <v>9</v>
      </c>
      <c r="J552" s="58">
        <f t="array" ref="J552">IFERROR(INDEX(Data!$I$2:$I$750,SMALL(Data!$S$2:$S$750,446)),"")</f>
        <v>46252</v>
      </c>
      <c r="K552" s="56" t="str">
        <f t="array" ref="K552">IFERROR(INDEX(Data!$J$2:$J$750,SMALL(Data!$S$2:$S$750,446)),"")</f>
        <v>Not Paid</v>
      </c>
      <c r="L552" s="56" t="str">
        <f t="array" ref="L552">IFERROR(INDEX(Data!$K$2:$K$750,SMALL(Data!$S$2:$S$750,446)),"")</f>
        <v>Pending</v>
      </c>
      <c r="M552" s="48" t="s">
        <v>284</v>
      </c>
      <c r="N552" s="48">
        <f>SUMIFS(Data!D2:D750,Data!A2:A750,M552,Data!Q2:Q750,1)</f>
        <v>6000</v>
      </c>
      <c r="O552" s="61">
        <f t="shared" si="1"/>
        <v>6000.000006</v>
      </c>
    </row>
    <row r="553" ht="15.75" customHeight="1">
      <c r="B553" s="53" t="str">
        <f t="array" ref="B553">IFERROR(INDEX(Data!$A$2:$A$750,SMALL(Data!$S$2:$S$750,447)),"")</f>
        <v> Nakhla Tobacco co. S.A.E - JTI</v>
      </c>
      <c r="C553" s="53" t="str">
        <f t="array" ref="C553">IFERROR(IF(INDEX(Data!$B$2:$B$750,SMALL(Data!$S$2:$S$750,447))=0,"",INDEX(Data!$B$2:$B$750,SMALL(Data!$S$2:$S$750,447))),"")</f>
        <v/>
      </c>
      <c r="D553" s="53" t="str">
        <f t="array" ref="D553">IFERROR(INDEX(Data!$C$2:$C$750,SMALL(Data!$S$2:$S$750,447)),"")</f>
        <v>Paper tags (Dogbone) Printed</v>
      </c>
      <c r="E553" s="53">
        <f t="array" ref="E553">IFERROR(IF(INDEX(Data!$D$2:$D$750,SMALL(Data!$S$2:$S$750,447))=0,"",INDEX(Data!$D$2:$D$750,SMALL(Data!$S$2:$S$750,447))),"")</f>
        <v>4000</v>
      </c>
      <c r="F553" s="54">
        <f t="array" ref="F553">IFERROR(IF(INDEX(Data!$E$2:$E$750,SMALL(Data!$S$2:$S$750,447))=0,"",INDEX(Data!$E$2:$E$750,SMALL(Data!$S$2:$S$750,447))),"")</f>
        <v>574</v>
      </c>
      <c r="G553" s="54">
        <f t="array" ref="G553">IFERROR(INDEX(Data!$F$2:$F$750,SMALL(Data!$S$2:$S$750,447)),"")</f>
        <v>2296000</v>
      </c>
      <c r="H553" s="55">
        <f t="array" ref="H553">IFERROR(IF(INDEX(Data!$G$2:$G$750,SMALL(Data!$S$2:$S$750,447))=0,"",INDEX(Data!$G$2:$G$750,SMALL(Data!$S$2:$S$750,447))),"")</f>
        <v>46190</v>
      </c>
      <c r="I553" s="53">
        <f t="array" ref="I553">IFERROR(IF(INDEX(Data!$H$2:$H$750,SMALL(Data!$S$2:$S$750,447))=0,"",INDEX(Data!$H$2:$H$750,SMALL(Data!$S$2:$S$750,447))),"")</f>
        <v>7</v>
      </c>
      <c r="J553" s="55">
        <f t="array" ref="J553">IFERROR(INDEX(Data!$I$2:$I$750,SMALL(Data!$S$2:$S$750,447)),"")</f>
        <v>46239</v>
      </c>
      <c r="K553" s="53" t="str">
        <f t="array" ref="K553">IFERROR(INDEX(Data!$J$2:$J$750,SMALL(Data!$S$2:$S$750,447)),"")</f>
        <v>Not Paid</v>
      </c>
      <c r="L553" s="53" t="str">
        <f t="array" ref="L553">IFERROR(INDEX(Data!$K$2:$K$750,SMALL(Data!$S$2:$S$750,447)),"")</f>
        <v>Pending</v>
      </c>
      <c r="M553" s="48" t="s">
        <v>286</v>
      </c>
      <c r="N553" s="48">
        <f>SUMIFS(Data!D2:D750,Data!A2:A750,M553,Data!Q2:Q750,1)</f>
        <v>2</v>
      </c>
      <c r="O553" s="61">
        <f t="shared" si="1"/>
        <v>2.00000553</v>
      </c>
    </row>
    <row r="554" ht="15.75" customHeight="1">
      <c r="B554" s="56" t="str">
        <f t="array" ref="B554">IFERROR(INDEX(Data!$A$2:$A$750,SMALL(Data!$S$2:$S$750,448)),"")</f>
        <v> Nakhla Tobacco co. S.A.E - JTI</v>
      </c>
      <c r="C554" s="56" t="str">
        <f t="array" ref="C554">IFERROR(IF(INDEX(Data!$B$2:$B$750,SMALL(Data!$S$2:$S$750,448))=0,"",INDEX(Data!$B$2:$B$750,SMALL(Data!$S$2:$S$750,448))),"")</f>
        <v/>
      </c>
      <c r="D554" s="56" t="str">
        <f t="array" ref="D554">IFERROR(INDEX(Data!$C$2:$C$750,SMALL(Data!$S$2:$S$750,448)),"")</f>
        <v>M-Crown RFID Hard Tags</v>
      </c>
      <c r="E554" s="56">
        <f t="array" ref="E554">IFERROR(IF(INDEX(Data!$D$2:$D$750,SMALL(Data!$S$2:$S$750,448))=0,"",INDEX(Data!$D$2:$D$750,SMALL(Data!$S$2:$S$750,448))),"")</f>
        <v>80</v>
      </c>
      <c r="F554" s="57">
        <f t="array" ref="F554">IFERROR(IF(INDEX(Data!$E$2:$E$750,SMALL(Data!$S$2:$S$750,448))=0,"",INDEX(Data!$E$2:$E$750,SMALL(Data!$S$2:$S$750,448))),"")</f>
        <v>558</v>
      </c>
      <c r="G554" s="57">
        <f t="array" ref="G554">IFERROR(INDEX(Data!$F$2:$F$750,SMALL(Data!$S$2:$S$750,448)),"")</f>
        <v>44640</v>
      </c>
      <c r="H554" s="58">
        <f t="array" ref="H554">IFERROR(IF(INDEX(Data!$G$2:$G$750,SMALL(Data!$S$2:$S$750,448))=0,"",INDEX(Data!$G$2:$G$750,SMALL(Data!$S$2:$S$750,448))),"")</f>
        <v>46191</v>
      </c>
      <c r="I554" s="56">
        <f t="array" ref="I554">IFERROR(IF(INDEX(Data!$H$2:$H$750,SMALL(Data!$S$2:$S$750,448))=0,"",INDEX(Data!$H$2:$H$750,SMALL(Data!$S$2:$S$750,448))),"")</f>
        <v>10</v>
      </c>
      <c r="J554" s="58">
        <f t="array" ref="J554">IFERROR(INDEX(Data!$I$2:$I$750,SMALL(Data!$S$2:$S$750,448)),"")</f>
        <v>46261</v>
      </c>
      <c r="K554" s="56" t="str">
        <f t="array" ref="K554">IFERROR(INDEX(Data!$J$2:$J$750,SMALL(Data!$S$2:$S$750,448)),"")</f>
        <v>Not Paid</v>
      </c>
      <c r="L554" s="56" t="str">
        <f t="array" ref="L554">IFERROR(INDEX(Data!$K$2:$K$750,SMALL(Data!$S$2:$S$750,448)),"")</f>
        <v>Pending</v>
      </c>
      <c r="M554" s="48" t="s">
        <v>289</v>
      </c>
      <c r="N554" s="48">
        <f>SUMIFS(Data!D2:D750,Data!A2:A750,M554,Data!Q2:Q750,1)</f>
        <v>1</v>
      </c>
      <c r="O554" s="61">
        <f t="shared" si="1"/>
        <v>1.00000554</v>
      </c>
    </row>
    <row r="555" ht="15.75" customHeight="1">
      <c r="B555" s="53" t="str">
        <f t="array" ref="B555">IFERROR(INDEX(Data!$A$2:$A$750,SMALL(Data!$S$2:$S$750,449)),"")</f>
        <v>International Food &amp; Consumable Goods (IFCG)</v>
      </c>
      <c r="C555" s="53" t="str">
        <f t="array" ref="C555">IFERROR(IF(INDEX(Data!$B$2:$B$750,SMALL(Data!$S$2:$S$750,449))=0,"",INDEX(Data!$B$2:$B$750,SMALL(Data!$S$2:$S$750,449))),"")</f>
        <v/>
      </c>
      <c r="D555" s="53" t="str">
        <f t="array" ref="D555">IFERROR(INDEX(Data!$C$2:$C$750,SMALL(Data!$S$2:$S$750,449)),"")</f>
        <v>AT909</v>
      </c>
      <c r="E555" s="53">
        <f t="array" ref="E555">IFERROR(IF(INDEX(Data!$D$2:$D$750,SMALL(Data!$S$2:$S$750,449))=0,"",INDEX(Data!$D$2:$D$750,SMALL(Data!$S$2:$S$750,449))),"")</f>
        <v>2</v>
      </c>
      <c r="F555" s="54">
        <f t="array" ref="F555">IFERROR(IF(INDEX(Data!$E$2:$E$750,SMALL(Data!$S$2:$S$750,449))=0,"",INDEX(Data!$E$2:$E$750,SMALL(Data!$S$2:$S$750,449))),"")</f>
        <v>2265</v>
      </c>
      <c r="G555" s="54">
        <f t="array" ref="G555">IFERROR(INDEX(Data!$F$2:$F$750,SMALL(Data!$S$2:$S$750,449)),"")</f>
        <v>4530</v>
      </c>
      <c r="H555" s="55">
        <f t="array" ref="H555">IFERROR(IF(INDEX(Data!$G$2:$G$750,SMALL(Data!$S$2:$S$750,449))=0,"",INDEX(Data!$G$2:$G$750,SMALL(Data!$S$2:$S$750,449))),"")</f>
        <v>46192</v>
      </c>
      <c r="I555" s="53">
        <f t="array" ref="I555">IFERROR(IF(INDEX(Data!$H$2:$H$750,SMALL(Data!$S$2:$S$750,449))=0,"",INDEX(Data!$H$2:$H$750,SMALL(Data!$S$2:$S$750,449))),"")</f>
        <v>9</v>
      </c>
      <c r="J555" s="55">
        <f t="array" ref="J555">IFERROR(INDEX(Data!$I$2:$I$750,SMALL(Data!$S$2:$S$750,449)),"")</f>
        <v>46255</v>
      </c>
      <c r="K555" s="53" t="str">
        <f t="array" ref="K555">IFERROR(INDEX(Data!$J$2:$J$750,SMALL(Data!$S$2:$S$750,449)),"")</f>
        <v>Not Paid</v>
      </c>
      <c r="L555" s="53" t="str">
        <f t="array" ref="L555">IFERROR(INDEX(Data!$K$2:$K$750,SMALL(Data!$S$2:$S$750,449)),"")</f>
        <v>Pending</v>
      </c>
      <c r="M555" s="48" t="s">
        <v>291</v>
      </c>
      <c r="N555" s="48">
        <f>SUMIFS(Data!D2:D750,Data!A2:A750,M555,Data!Q2:Q750,1)</f>
        <v>4</v>
      </c>
      <c r="O555" s="61">
        <f t="shared" si="1"/>
        <v>4.00000555</v>
      </c>
    </row>
    <row r="556" ht="15.75" customHeight="1">
      <c r="B556" s="56" t="str">
        <f t="array" ref="B556">IFERROR(INDEX(Data!$A$2:$A$750,SMALL(Data!$S$2:$S$750,450)),"")</f>
        <v>International Food &amp; Consumable Goods (IFCG)</v>
      </c>
      <c r="C556" s="56" t="str">
        <f t="array" ref="C556">IFERROR(IF(INDEX(Data!$B$2:$B$750,SMALL(Data!$S$2:$S$750,450))=0,"",INDEX(Data!$B$2:$B$750,SMALL(Data!$S$2:$S$750,450))),"")</f>
        <v/>
      </c>
      <c r="D556" s="56" t="str">
        <f t="array" ref="D556">IFERROR(INDEX(Data!$C$2:$C$750,SMALL(Data!$S$2:$S$750,450)),"")</f>
        <v>LRU 4000 UHF</v>
      </c>
      <c r="E556" s="56">
        <f t="array" ref="E556">IFERROR(IF(INDEX(Data!$D$2:$D$750,SMALL(Data!$S$2:$S$750,450))=0,"",INDEX(Data!$D$2:$D$750,SMALL(Data!$S$2:$S$750,450))),"")</f>
        <v>2</v>
      </c>
      <c r="F556" s="57">
        <f t="array" ref="F556">IFERROR(IF(INDEX(Data!$E$2:$E$750,SMALL(Data!$S$2:$S$750,450))=0,"",INDEX(Data!$E$2:$E$750,SMALL(Data!$S$2:$S$750,450))),"")</f>
        <v>45</v>
      </c>
      <c r="G556" s="57">
        <f t="array" ref="G556">IFERROR(INDEX(Data!$F$2:$F$750,SMALL(Data!$S$2:$S$750,450)),"")</f>
        <v>90</v>
      </c>
      <c r="H556" s="58">
        <f t="array" ref="H556">IFERROR(IF(INDEX(Data!$G$2:$G$750,SMALL(Data!$S$2:$S$750,450))=0,"",INDEX(Data!$G$2:$G$750,SMALL(Data!$S$2:$S$750,450))),"")</f>
        <v>46193</v>
      </c>
      <c r="I556" s="56">
        <f t="array" ref="I556">IFERROR(IF(INDEX(Data!$H$2:$H$750,SMALL(Data!$S$2:$S$750,450))=0,"",INDEX(Data!$H$2:$H$750,SMALL(Data!$S$2:$S$750,450))),"")</f>
        <v>9</v>
      </c>
      <c r="J556" s="58">
        <f t="array" ref="J556">IFERROR(INDEX(Data!$I$2:$I$750,SMALL(Data!$S$2:$S$750,450)),"")</f>
        <v>46256</v>
      </c>
      <c r="K556" s="56" t="str">
        <f t="array" ref="K556">IFERROR(INDEX(Data!$J$2:$J$750,SMALL(Data!$S$2:$S$750,450)),"")</f>
        <v>Not Paid</v>
      </c>
      <c r="L556" s="56" t="str">
        <f t="array" ref="L556">IFERROR(INDEX(Data!$K$2:$K$750,SMALL(Data!$S$2:$S$750,450)),"")</f>
        <v>Pending</v>
      </c>
      <c r="M556" s="48" t="s">
        <v>293</v>
      </c>
      <c r="N556" s="48">
        <f>SUMIFS(Data!D2:D750,Data!A2:A750,M556,Data!Q2:Q750,1)</f>
        <v>52004</v>
      </c>
      <c r="O556" s="61">
        <f t="shared" si="1"/>
        <v>52004.00001</v>
      </c>
    </row>
    <row r="557" ht="15.75" customHeight="1">
      <c r="B557" s="53" t="str">
        <f t="array" ref="B557">IFERROR(INDEX(Data!$A$2:$A$750,SMALL(Data!$S$2:$S$750,451)),"")</f>
        <v>International Food &amp; Consumable Goods (IFCG)</v>
      </c>
      <c r="C557" s="53" t="str">
        <f t="array" ref="C557">IFERROR(IF(INDEX(Data!$B$2:$B$750,SMALL(Data!$S$2:$S$750,451))=0,"",INDEX(Data!$B$2:$B$750,SMALL(Data!$S$2:$S$750,451))),"")</f>
        <v>Feig</v>
      </c>
      <c r="D557" s="53" t="str">
        <f t="array" ref="D557">IFERROR(INDEX(Data!$C$2:$C$750,SMALL(Data!$S$2:$S$750,451)),"")</f>
        <v>Anttena</v>
      </c>
      <c r="E557" s="53">
        <f t="array" ref="E557">IFERROR(IF(INDEX(Data!$D$2:$D$750,SMALL(Data!$S$2:$S$750,451))=0,"",INDEX(Data!$D$2:$D$750,SMALL(Data!$S$2:$S$750,451))),"")</f>
        <v>8</v>
      </c>
      <c r="F557" s="54">
        <f t="array" ref="F557">IFERROR(IF(INDEX(Data!$E$2:$E$750,SMALL(Data!$S$2:$S$750,451))=0,"",INDEX(Data!$E$2:$E$750,SMALL(Data!$S$2:$S$750,451))),"")</f>
        <v>5554</v>
      </c>
      <c r="G557" s="54">
        <f t="array" ref="G557">IFERROR(INDEX(Data!$F$2:$F$750,SMALL(Data!$S$2:$S$750,451)),"")</f>
        <v>44432</v>
      </c>
      <c r="H557" s="55">
        <f t="array" ref="H557">IFERROR(IF(INDEX(Data!$G$2:$G$750,SMALL(Data!$S$2:$S$750,451))=0,"",INDEX(Data!$G$2:$G$750,SMALL(Data!$S$2:$S$750,451))),"")</f>
        <v>46194</v>
      </c>
      <c r="I557" s="53">
        <f t="array" ref="I557">IFERROR(IF(INDEX(Data!$H$2:$H$750,SMALL(Data!$S$2:$S$750,451))=0,"",INDEX(Data!$H$2:$H$750,SMALL(Data!$S$2:$S$750,451))),"")</f>
        <v>9</v>
      </c>
      <c r="J557" s="55">
        <f t="array" ref="J557">IFERROR(INDEX(Data!$I$2:$I$750,SMALL(Data!$S$2:$S$750,451)),"")</f>
        <v>46257</v>
      </c>
      <c r="K557" s="53" t="str">
        <f t="array" ref="K557">IFERROR(INDEX(Data!$J$2:$J$750,SMALL(Data!$S$2:$S$750,451)),"")</f>
        <v>Not Paid</v>
      </c>
      <c r="L557" s="53" t="str">
        <f t="array" ref="L557">IFERROR(INDEX(Data!$K$2:$K$750,SMALL(Data!$S$2:$S$750,451)),"")</f>
        <v>Pending</v>
      </c>
      <c r="M557" s="48" t="s">
        <v>295</v>
      </c>
      <c r="N557" s="48">
        <f>SUMIFS(Data!D2:D750,Data!A2:A750,M557,Data!Q2:Q750,1)</f>
        <v>3</v>
      </c>
      <c r="O557" s="61">
        <f t="shared" si="1"/>
        <v>3.00000557</v>
      </c>
    </row>
    <row r="558" ht="15.75" customHeight="1">
      <c r="B558" s="56" t="str">
        <f t="array" ref="B558">IFERROR(INDEX(Data!$A$2:$A$750,SMALL(Data!$S$2:$S$750,452)),"")</f>
        <v>International Food &amp; Consumable Goods (IFCG)</v>
      </c>
      <c r="C558" s="56" t="str">
        <f t="array" ref="C558">IFERROR(IF(INDEX(Data!$B$2:$B$750,SMALL(Data!$S$2:$S$750,452))=0,"",INDEX(Data!$B$2:$B$750,SMALL(Data!$S$2:$S$750,452))),"")</f>
        <v/>
      </c>
      <c r="D558" s="56" t="str">
        <f t="array" ref="D558">IFERROR(INDEX(Data!$C$2:$C$750,SMALL(Data!$S$2:$S$750,452)),"")</f>
        <v>Rco 7012- blank</v>
      </c>
      <c r="E558" s="56">
        <f t="array" ref="E558">IFERROR(IF(INDEX(Data!$D$2:$D$750,SMALL(Data!$S$2:$S$750,452))=0,"",INDEX(Data!$D$2:$D$750,SMALL(Data!$S$2:$S$750,452))),"")</f>
        <v>10000</v>
      </c>
      <c r="F558" s="57">
        <f t="array" ref="F558">IFERROR(IF(INDEX(Data!$E$2:$E$750,SMALL(Data!$S$2:$S$750,452))=0,"",INDEX(Data!$E$2:$E$750,SMALL(Data!$S$2:$S$750,452))),"")</f>
        <v>41</v>
      </c>
      <c r="G558" s="57">
        <f t="array" ref="G558">IFERROR(INDEX(Data!$F$2:$F$750,SMALL(Data!$S$2:$S$750,452)),"")</f>
        <v>410000</v>
      </c>
      <c r="H558" s="58">
        <f t="array" ref="H558">IFERROR(IF(INDEX(Data!$G$2:$G$750,SMALL(Data!$S$2:$S$750,452))=0,"",INDEX(Data!$G$2:$G$750,SMALL(Data!$S$2:$S$750,452))),"")</f>
        <v>46195</v>
      </c>
      <c r="I558" s="56">
        <f t="array" ref="I558">IFERROR(IF(INDEX(Data!$H$2:$H$750,SMALL(Data!$S$2:$S$750,452))=0,"",INDEX(Data!$H$2:$H$750,SMALL(Data!$S$2:$S$750,452))),"")</f>
        <v>7</v>
      </c>
      <c r="J558" s="58">
        <f t="array" ref="J558">IFERROR(INDEX(Data!$I$2:$I$750,SMALL(Data!$S$2:$S$750,452)),"")</f>
        <v>46244</v>
      </c>
      <c r="K558" s="56" t="str">
        <f t="array" ref="K558">IFERROR(INDEX(Data!$J$2:$J$750,SMALL(Data!$S$2:$S$750,452)),"")</f>
        <v>Not Paid</v>
      </c>
      <c r="L558" s="56" t="str">
        <f t="array" ref="L558">IFERROR(INDEX(Data!$K$2:$K$750,SMALL(Data!$S$2:$S$750,452)),"")</f>
        <v>Pending</v>
      </c>
      <c r="M558" s="48" t="s">
        <v>297</v>
      </c>
      <c r="N558" s="48">
        <f>SUMIFS(Data!D2:D750,Data!A2:A750,M558,Data!Q2:Q750,1)</f>
        <v>614</v>
      </c>
      <c r="O558" s="61">
        <f t="shared" si="1"/>
        <v>614.0000056</v>
      </c>
    </row>
    <row r="559" ht="15.75" customHeight="1">
      <c r="B559" s="53" t="str">
        <f t="array" ref="B559">IFERROR(INDEX(Data!$A$2:$A$750,SMALL(Data!$S$2:$S$750,453)),"")</f>
        <v>International Food &amp; Consumable Goods (IFCG)</v>
      </c>
      <c r="C559" s="53" t="str">
        <f t="array" ref="C559">IFERROR(IF(INDEX(Data!$B$2:$B$750,SMALL(Data!$S$2:$S$750,453))=0,"",INDEX(Data!$B$2:$B$750,SMALL(Data!$S$2:$S$750,453))),"")</f>
        <v/>
      </c>
      <c r="D559" s="53" t="str">
        <f t="array" ref="D559">IFERROR(INDEX(Data!$C$2:$C$750,SMALL(Data!$S$2:$S$750,453)),"")</f>
        <v>RFID Industrial Printer (CL4NX)</v>
      </c>
      <c r="E559" s="53">
        <f t="array" ref="E559">IFERROR(IF(INDEX(Data!$D$2:$D$750,SMALL(Data!$S$2:$S$750,453))=0,"",INDEX(Data!$D$2:$D$750,SMALL(Data!$S$2:$S$750,453))),"")</f>
        <v>1</v>
      </c>
      <c r="F559" s="54">
        <f t="array" ref="F559">IFERROR(IF(INDEX(Data!$E$2:$E$750,SMALL(Data!$S$2:$S$750,453))=0,"",INDEX(Data!$E$2:$E$750,SMALL(Data!$S$2:$S$750,453))),"")</f>
        <v>231</v>
      </c>
      <c r="G559" s="54">
        <f t="array" ref="G559">IFERROR(INDEX(Data!$F$2:$F$750,SMALL(Data!$S$2:$S$750,453)),"")</f>
        <v>231</v>
      </c>
      <c r="H559" s="55">
        <f t="array" ref="H559">IFERROR(IF(INDEX(Data!$G$2:$G$750,SMALL(Data!$S$2:$S$750,453))=0,"",INDEX(Data!$G$2:$G$750,SMALL(Data!$S$2:$S$750,453))),"")</f>
        <v>46196</v>
      </c>
      <c r="I559" s="53">
        <f t="array" ref="I559">IFERROR(IF(INDEX(Data!$H$2:$H$750,SMALL(Data!$S$2:$S$750,453))=0,"",INDEX(Data!$H$2:$H$750,SMALL(Data!$S$2:$S$750,453))),"")</f>
        <v>10</v>
      </c>
      <c r="J559" s="55">
        <f t="array" ref="J559">IFERROR(INDEX(Data!$I$2:$I$750,SMALL(Data!$S$2:$S$750,453)),"")</f>
        <v>46266</v>
      </c>
      <c r="K559" s="53" t="str">
        <f t="array" ref="K559">IFERROR(INDEX(Data!$J$2:$J$750,SMALL(Data!$S$2:$S$750,453)),"")</f>
        <v>Not Paid</v>
      </c>
      <c r="L559" s="53" t="str">
        <f t="array" ref="L559">IFERROR(INDEX(Data!$K$2:$K$750,SMALL(Data!$S$2:$S$750,453)),"")</f>
        <v>Pending</v>
      </c>
      <c r="M559" s="48" t="s">
        <v>300</v>
      </c>
      <c r="N559" s="48">
        <f>SUMIFS(Data!D2:D750,Data!A2:A750,M559,Data!Q2:Q750,1)</f>
        <v>2</v>
      </c>
      <c r="O559" s="61">
        <f t="shared" si="1"/>
        <v>2.00000559</v>
      </c>
    </row>
    <row r="560" ht="15.75" customHeight="1">
      <c r="B560" s="56" t="str">
        <f t="array" ref="B560">IFERROR(INDEX(Data!$A$2:$A$750,SMALL(Data!$S$2:$S$750,454)),"")</f>
        <v>International Food &amp; Consumable Goods (IFCG)</v>
      </c>
      <c r="C560" s="56" t="str">
        <f t="array" ref="C560">IFERROR(IF(INDEX(Data!$B$2:$B$750,SMALL(Data!$S$2:$S$750,454))=0,"",INDEX(Data!$B$2:$B$750,SMALL(Data!$S$2:$S$750,454))),"")</f>
        <v/>
      </c>
      <c r="D560" s="56" t="str">
        <f t="array" ref="D560">IFERROR(INDEX(Data!$C$2:$C$750,SMALL(Data!$S$2:$S$750,454)),"")</f>
        <v>Ribbon Size: 110 mm x 450 m</v>
      </c>
      <c r="E560" s="56">
        <f t="array" ref="E560">IFERROR(IF(INDEX(Data!$D$2:$D$750,SMALL(Data!$S$2:$S$750,454))=0,"",INDEX(Data!$D$2:$D$750,SMALL(Data!$S$2:$S$750,454))),"")</f>
        <v>5</v>
      </c>
      <c r="F560" s="57">
        <f t="array" ref="F560">IFERROR(IF(INDEX(Data!$E$2:$E$750,SMALL(Data!$S$2:$S$750,454))=0,"",INDEX(Data!$E$2:$E$750,SMALL(Data!$S$2:$S$750,454))),"")</f>
        <v>25</v>
      </c>
      <c r="G560" s="57">
        <f t="array" ref="G560">IFERROR(INDEX(Data!$F$2:$F$750,SMALL(Data!$S$2:$S$750,454)),"")</f>
        <v>125</v>
      </c>
      <c r="H560" s="58">
        <f t="array" ref="H560">IFERROR(IF(INDEX(Data!$G$2:$G$750,SMALL(Data!$S$2:$S$750,454))=0,"",INDEX(Data!$G$2:$G$750,SMALL(Data!$S$2:$S$750,454))),"")</f>
        <v>46197</v>
      </c>
      <c r="I560" s="56">
        <f t="array" ref="I560">IFERROR(IF(INDEX(Data!$H$2:$H$750,SMALL(Data!$S$2:$S$750,454))=0,"",INDEX(Data!$H$2:$H$750,SMALL(Data!$S$2:$S$750,454))),"")</f>
        <v>6</v>
      </c>
      <c r="J560" s="58">
        <f t="array" ref="J560">IFERROR(INDEX(Data!$I$2:$I$750,SMALL(Data!$S$2:$S$750,454)),"")</f>
        <v>46239</v>
      </c>
      <c r="K560" s="56" t="str">
        <f t="array" ref="K560">IFERROR(INDEX(Data!$J$2:$J$750,SMALL(Data!$S$2:$S$750,454)),"")</f>
        <v>Not Paid</v>
      </c>
      <c r="L560" s="56" t="str">
        <f t="array" ref="L560">IFERROR(INDEX(Data!$K$2:$K$750,SMALL(Data!$S$2:$S$750,454)),"")</f>
        <v>Pending</v>
      </c>
      <c r="M560" s="48" t="s">
        <v>303</v>
      </c>
      <c r="N560" s="48">
        <f>SUMIFS(Data!D2:D750,Data!A2:A750,M560,Data!Q2:Q750,1)</f>
        <v>52004</v>
      </c>
      <c r="O560" s="61">
        <f t="shared" si="1"/>
        <v>52004.00001</v>
      </c>
    </row>
    <row r="561" ht="15.75" customHeight="1">
      <c r="B561" s="53" t="str">
        <f t="array" ref="B561">IFERROR(INDEX(Data!$A$2:$A$750,SMALL(Data!$S$2:$S$750,455)),"")</f>
        <v>International Food &amp; Consumable Goods (IFCG)</v>
      </c>
      <c r="C561" s="53" t="str">
        <f t="array" ref="C561">IFERROR(IF(INDEX(Data!$B$2:$B$750,SMALL(Data!$S$2:$S$750,455))=0,"",INDEX(Data!$B$2:$B$750,SMALL(Data!$S$2:$S$750,455))),"")</f>
        <v/>
      </c>
      <c r="D561" s="53" t="str">
        <f t="array" ref="D561">IFERROR(INDEX(Data!$C$2:$C$750,SMALL(Data!$S$2:$S$750,455)),"")</f>
        <v>Silver Barcode labels 1500</v>
      </c>
      <c r="E561" s="53">
        <f t="array" ref="E561">IFERROR(IF(INDEX(Data!$D$2:$D$750,SMALL(Data!$S$2:$S$750,455))=0,"",INDEX(Data!$D$2:$D$750,SMALL(Data!$S$2:$S$750,455))),"")</f>
        <v>5</v>
      </c>
      <c r="F561" s="54">
        <f t="array" ref="F561">IFERROR(IF(INDEX(Data!$E$2:$E$750,SMALL(Data!$S$2:$S$750,455))=0,"",INDEX(Data!$E$2:$E$750,SMALL(Data!$S$2:$S$750,455))),"")</f>
        <v>245</v>
      </c>
      <c r="G561" s="54">
        <f t="array" ref="G561">IFERROR(INDEX(Data!$F$2:$F$750,SMALL(Data!$S$2:$S$750,455)),"")</f>
        <v>1225</v>
      </c>
      <c r="H561" s="55">
        <f t="array" ref="H561">IFERROR(IF(INDEX(Data!$G$2:$G$750,SMALL(Data!$S$2:$S$750,455))=0,"",INDEX(Data!$G$2:$G$750,SMALL(Data!$S$2:$S$750,455))),"")</f>
        <v>46198</v>
      </c>
      <c r="I561" s="53">
        <f t="array" ref="I561">IFERROR(IF(INDEX(Data!$H$2:$H$750,SMALL(Data!$S$2:$S$750,455))=0,"",INDEX(Data!$H$2:$H$750,SMALL(Data!$S$2:$S$750,455))),"")</f>
        <v>9</v>
      </c>
      <c r="J561" s="55">
        <f t="array" ref="J561">IFERROR(INDEX(Data!$I$2:$I$750,SMALL(Data!$S$2:$S$750,455)),"")</f>
        <v>46261</v>
      </c>
      <c r="K561" s="53" t="str">
        <f t="array" ref="K561">IFERROR(INDEX(Data!$J$2:$J$750,SMALL(Data!$S$2:$S$750,455)),"")</f>
        <v>Not Paid</v>
      </c>
      <c r="L561" s="53" t="str">
        <f t="array" ref="L561">IFERROR(INDEX(Data!$K$2:$K$750,SMALL(Data!$S$2:$S$750,455)),"")</f>
        <v>Pending</v>
      </c>
      <c r="M561" s="48" t="s">
        <v>304</v>
      </c>
      <c r="N561" s="48">
        <f>SUMIFS(Data!D2:D750,Data!A2:A750,M561,Data!Q2:Q750,1)</f>
        <v>50</v>
      </c>
      <c r="O561" s="61">
        <f t="shared" si="1"/>
        <v>50.00000561</v>
      </c>
    </row>
    <row r="562" ht="15.75" customHeight="1">
      <c r="B562" s="56" t="str">
        <f t="array" ref="B562">IFERROR(INDEX(Data!$A$2:$A$750,SMALL(Data!$S$2:$S$750,456)),"")</f>
        <v>STELLA DI MARE SIDI ABDEL RAHMAN RESORT</v>
      </c>
      <c r="C562" s="56" t="str">
        <f t="array" ref="C562">IFERROR(IF(INDEX(Data!$B$2:$B$750,SMALL(Data!$S$2:$S$750,456))=0,"",INDEX(Data!$B$2:$B$750,SMALL(Data!$S$2:$S$750,456))),"")</f>
        <v/>
      </c>
      <c r="D562" s="56" t="str">
        <f t="array" ref="D562">IFERROR(INDEX(Data!$C$2:$C$750,SMALL(Data!$S$2:$S$750,456)),"")</f>
        <v>FAAC Barrier B614- 4 Meters                     </v>
      </c>
      <c r="E562" s="56">
        <f t="array" ref="E562">IFERROR(IF(INDEX(Data!$D$2:$D$750,SMALL(Data!$S$2:$S$750,456))=0,"",INDEX(Data!$D$2:$D$750,SMALL(Data!$S$2:$S$750,456))),"")</f>
        <v>7</v>
      </c>
      <c r="F562" s="57">
        <f t="array" ref="F562">IFERROR(IF(INDEX(Data!$E$2:$E$750,SMALL(Data!$S$2:$S$750,456))=0,"",INDEX(Data!$E$2:$E$750,SMALL(Data!$S$2:$S$750,456))),"")</f>
        <v>2555</v>
      </c>
      <c r="G562" s="57">
        <f t="array" ref="G562">IFERROR(INDEX(Data!$F$2:$F$750,SMALL(Data!$S$2:$S$750,456)),"")</f>
        <v>17885</v>
      </c>
      <c r="H562" s="58">
        <f t="array" ref="H562">IFERROR(IF(INDEX(Data!$G$2:$G$750,SMALL(Data!$S$2:$S$750,456))=0,"",INDEX(Data!$G$2:$G$750,SMALL(Data!$S$2:$S$750,456))),"")</f>
        <v>46199</v>
      </c>
      <c r="I562" s="56">
        <f t="array" ref="I562">IFERROR(IF(INDEX(Data!$H$2:$H$750,SMALL(Data!$S$2:$S$750,456))=0,"",INDEX(Data!$H$2:$H$750,SMALL(Data!$S$2:$S$750,456))),"")</f>
        <v>7</v>
      </c>
      <c r="J562" s="58">
        <f t="array" ref="J562">IFERROR(INDEX(Data!$I$2:$I$750,SMALL(Data!$S$2:$S$750,456)),"")</f>
        <v>46248</v>
      </c>
      <c r="K562" s="56" t="str">
        <f t="array" ref="K562">IFERROR(INDEX(Data!$J$2:$J$750,SMALL(Data!$S$2:$S$750,456)),"")</f>
        <v>Not Paid</v>
      </c>
      <c r="L562" s="56" t="str">
        <f t="array" ref="L562">IFERROR(INDEX(Data!$K$2:$K$750,SMALL(Data!$S$2:$S$750,456)),"")</f>
        <v>Pending</v>
      </c>
      <c r="M562" s="48" t="s">
        <v>306</v>
      </c>
      <c r="N562" s="48">
        <f>SUMIFS(Data!D2:D750,Data!A2:A750,M562,Data!Q2:Q750,1)</f>
        <v>1</v>
      </c>
      <c r="O562" s="61">
        <f t="shared" si="1"/>
        <v>1.00000562</v>
      </c>
    </row>
    <row r="563" ht="15.75" customHeight="1">
      <c r="B563" s="53" t="str">
        <f t="array" ref="B563">IFERROR(INDEX(Data!$A$2:$A$750,SMALL(Data!$S$2:$S$750,457)),"")</f>
        <v>STELLA DI MARE SIDI ABDEL RAHMAN RESORT</v>
      </c>
      <c r="C563" s="53" t="str">
        <f t="array" ref="C563">IFERROR(IF(INDEX(Data!$B$2:$B$750,SMALL(Data!$S$2:$S$750,457))=0,"",INDEX(Data!$B$2:$B$750,SMALL(Data!$S$2:$S$750,457))),"")</f>
        <v/>
      </c>
      <c r="D563" s="53" t="str">
        <f t="array" ref="D563">IFERROR(INDEX(Data!$C$2:$C$750,SMALL(Data!$S$2:$S$750,457)),"")</f>
        <v>QR Scanner</v>
      </c>
      <c r="E563" s="53">
        <f t="array" ref="E563">IFERROR(IF(INDEX(Data!$D$2:$D$750,SMALL(Data!$S$2:$S$750,457))=0,"",INDEX(Data!$D$2:$D$750,SMALL(Data!$S$2:$S$750,457))),"")</f>
        <v>14</v>
      </c>
      <c r="F563" s="54">
        <f t="array" ref="F563">IFERROR(IF(INDEX(Data!$E$2:$E$750,SMALL(Data!$S$2:$S$750,457))=0,"",INDEX(Data!$E$2:$E$750,SMALL(Data!$S$2:$S$750,457))),"")</f>
        <v>255</v>
      </c>
      <c r="G563" s="54">
        <f t="array" ref="G563">IFERROR(INDEX(Data!$F$2:$F$750,SMALL(Data!$S$2:$S$750,457)),"")</f>
        <v>3570</v>
      </c>
      <c r="H563" s="55">
        <f t="array" ref="H563">IFERROR(IF(INDEX(Data!$G$2:$G$750,SMALL(Data!$S$2:$S$750,457))=0,"",INDEX(Data!$G$2:$G$750,SMALL(Data!$S$2:$S$750,457))),"")</f>
        <v>46200</v>
      </c>
      <c r="I563" s="53">
        <f t="array" ref="I563">IFERROR(IF(INDEX(Data!$H$2:$H$750,SMALL(Data!$S$2:$S$750,457))=0,"",INDEX(Data!$H$2:$H$750,SMALL(Data!$S$2:$S$750,457))),"")</f>
        <v>10</v>
      </c>
      <c r="J563" s="55">
        <f t="array" ref="J563">IFERROR(INDEX(Data!$I$2:$I$750,SMALL(Data!$S$2:$S$750,457)),"")</f>
        <v>46270</v>
      </c>
      <c r="K563" s="53" t="str">
        <f t="array" ref="K563">IFERROR(INDEX(Data!$J$2:$J$750,SMALL(Data!$S$2:$S$750,457)),"")</f>
        <v>Not Paid</v>
      </c>
      <c r="L563" s="53" t="str">
        <f t="array" ref="L563">IFERROR(INDEX(Data!$K$2:$K$750,SMALL(Data!$S$2:$S$750,457)),"")</f>
        <v>Pending</v>
      </c>
      <c r="M563" s="48" t="s">
        <v>309</v>
      </c>
      <c r="N563" s="48">
        <f>SUMIFS(Data!D2:D750,Data!A2:A750,M563,Data!Q2:Q750,1)</f>
        <v>11005</v>
      </c>
      <c r="O563" s="61">
        <f t="shared" si="1"/>
        <v>11005.00001</v>
      </c>
    </row>
    <row r="564" ht="15.75" customHeight="1">
      <c r="B564" s="56" t="str">
        <f t="array" ref="B564">IFERROR(INDEX(Data!$A$2:$A$750,SMALL(Data!$S$2:$S$750,458)),"")</f>
        <v>Armed Forces (AlMostakbal City)</v>
      </c>
      <c r="C564" s="56" t="str">
        <f t="array" ref="C564">IFERROR(IF(INDEX(Data!$B$2:$B$750,SMALL(Data!$S$2:$S$750,458))=0,"",INDEX(Data!$B$2:$B$750,SMALL(Data!$S$2:$S$750,458))),"")</f>
        <v/>
      </c>
      <c r="D564" s="56" t="str">
        <f t="array" ref="D564">IFERROR(INDEX(Data!$C$2:$C$750,SMALL(Data!$S$2:$S$750,458)),"")</f>
        <v>70 coaxial cable</v>
      </c>
      <c r="E564" s="56">
        <f t="array" ref="E564">IFERROR(IF(INDEX(Data!$D$2:$D$750,SMALL(Data!$S$2:$S$750,458))=0,"",INDEX(Data!$D$2:$D$750,SMALL(Data!$S$2:$S$750,458))),"")</f>
        <v>1</v>
      </c>
      <c r="F564" s="57">
        <f t="array" ref="F564">IFERROR(IF(INDEX(Data!$E$2:$E$750,SMALL(Data!$S$2:$S$750,458))=0,"",INDEX(Data!$E$2:$E$750,SMALL(Data!$S$2:$S$750,458))),"")</f>
        <v>45</v>
      </c>
      <c r="G564" s="57">
        <f t="array" ref="G564">IFERROR(INDEX(Data!$F$2:$F$750,SMALL(Data!$S$2:$S$750,458)),"")</f>
        <v>45</v>
      </c>
      <c r="H564" s="58">
        <f t="array" ref="H564">IFERROR(IF(INDEX(Data!$G$2:$G$750,SMALL(Data!$S$2:$S$750,458))=0,"",INDEX(Data!$G$2:$G$750,SMALL(Data!$S$2:$S$750,458))),"")</f>
        <v>46201</v>
      </c>
      <c r="I564" s="56">
        <f t="array" ref="I564">IFERROR(IF(INDEX(Data!$H$2:$H$750,SMALL(Data!$S$2:$S$750,458))=0,"",INDEX(Data!$H$2:$H$750,SMALL(Data!$S$2:$S$750,458))),"")</f>
        <v>6</v>
      </c>
      <c r="J564" s="58">
        <f t="array" ref="J564">IFERROR(INDEX(Data!$I$2:$I$750,SMALL(Data!$S$2:$S$750,458)),"")</f>
        <v>46243</v>
      </c>
      <c r="K564" s="56" t="str">
        <f t="array" ref="K564">IFERROR(INDEX(Data!$J$2:$J$750,SMALL(Data!$S$2:$S$750,458)),"")</f>
        <v>Not Paid</v>
      </c>
      <c r="L564" s="56" t="str">
        <f t="array" ref="L564">IFERROR(INDEX(Data!$K$2:$K$750,SMALL(Data!$S$2:$S$750,458)),"")</f>
        <v>Pending</v>
      </c>
      <c r="M564" s="48" t="s">
        <v>311</v>
      </c>
      <c r="N564" s="48">
        <f>SUMIFS(Data!D2:D750,Data!A2:A750,M564,Data!Q2:Q750,1)</f>
        <v>40000</v>
      </c>
      <c r="O564" s="61">
        <f t="shared" si="1"/>
        <v>40000.00001</v>
      </c>
    </row>
    <row r="565" ht="15.75" customHeight="1">
      <c r="B565" s="53" t="str">
        <f t="array" ref="B565">IFERROR(INDEX(Data!$A$2:$A$750,SMALL(Data!$S$2:$S$750,459)),"")</f>
        <v>Armed Forces (AlMostakbal City)</v>
      </c>
      <c r="C565" s="53" t="str">
        <f t="array" ref="C565">IFERROR(IF(INDEX(Data!$B$2:$B$750,SMALL(Data!$S$2:$S$750,459))=0,"",INDEX(Data!$B$2:$B$750,SMALL(Data!$S$2:$S$750,459))),"")</f>
        <v/>
      </c>
      <c r="D565" s="53" t="str">
        <f t="array" ref="D565">IFERROR(INDEX(Data!$C$2:$C$750,SMALL(Data!$S$2:$S$750,459)),"")</f>
        <v>15 coaxial cable</v>
      </c>
      <c r="E565" s="53">
        <f t="array" ref="E565">IFERROR(IF(INDEX(Data!$D$2:$D$750,SMALL(Data!$S$2:$S$750,459))=0,"",INDEX(Data!$D$2:$D$750,SMALL(Data!$S$2:$S$750,459))),"")</f>
        <v>1</v>
      </c>
      <c r="F565" s="54">
        <f t="array" ref="F565">IFERROR(IF(INDEX(Data!$E$2:$E$750,SMALL(Data!$S$2:$S$750,459))=0,"",INDEX(Data!$E$2:$E$750,SMALL(Data!$S$2:$S$750,459))),"")</f>
        <v>36</v>
      </c>
      <c r="G565" s="54">
        <f t="array" ref="G565">IFERROR(INDEX(Data!$F$2:$F$750,SMALL(Data!$S$2:$S$750,459)),"")</f>
        <v>36</v>
      </c>
      <c r="H565" s="55">
        <f t="array" ref="H565">IFERROR(IF(INDEX(Data!$G$2:$G$750,SMALL(Data!$S$2:$S$750,459))=0,"",INDEX(Data!$G$2:$G$750,SMALL(Data!$S$2:$S$750,459))),"")</f>
        <v>46202</v>
      </c>
      <c r="I565" s="53">
        <f t="array" ref="I565">IFERROR(IF(INDEX(Data!$H$2:$H$750,SMALL(Data!$S$2:$S$750,459))=0,"",INDEX(Data!$H$2:$H$750,SMALL(Data!$S$2:$S$750,459))),"")</f>
        <v>6</v>
      </c>
      <c r="J565" s="55">
        <f t="array" ref="J565">IFERROR(INDEX(Data!$I$2:$I$750,SMALL(Data!$S$2:$S$750,459)),"")</f>
        <v>46244</v>
      </c>
      <c r="K565" s="53" t="str">
        <f t="array" ref="K565">IFERROR(INDEX(Data!$J$2:$J$750,SMALL(Data!$S$2:$S$750,459)),"")</f>
        <v>Not Paid</v>
      </c>
      <c r="L565" s="53" t="str">
        <f t="array" ref="L565">IFERROR(INDEX(Data!$K$2:$K$750,SMALL(Data!$S$2:$S$750,459)),"")</f>
        <v>Pending</v>
      </c>
      <c r="M565" s="48" t="s">
        <v>314</v>
      </c>
      <c r="N565" s="48">
        <f>SUMIFS(Data!D2:D750,Data!A2:A750,M565,Data!Q2:Q750,1)</f>
        <v>41</v>
      </c>
      <c r="O565" s="61">
        <f t="shared" si="1"/>
        <v>41.00000565</v>
      </c>
    </row>
    <row r="566" ht="15.75" customHeight="1">
      <c r="B566" s="56" t="str">
        <f t="array" ref="B566">IFERROR(INDEX(Data!$A$2:$A$750,SMALL(Data!$S$2:$S$750,460)),"")</f>
        <v>Armed Forces (AlMostakbal City)</v>
      </c>
      <c r="C566" s="56" t="str">
        <f t="array" ref="C566">IFERROR(IF(INDEX(Data!$B$2:$B$750,SMALL(Data!$S$2:$S$750,460))=0,"",INDEX(Data!$B$2:$B$750,SMALL(Data!$S$2:$S$750,460))),"")</f>
        <v/>
      </c>
      <c r="D566" s="56" t="str">
        <f t="array" ref="D566">IFERROR(INDEX(Data!$C$2:$C$750,SMALL(Data!$S$2:$S$750,460)),"")</f>
        <v>adaptor12 v</v>
      </c>
      <c r="E566" s="56">
        <f t="array" ref="E566">IFERROR(IF(INDEX(Data!$D$2:$D$750,SMALL(Data!$S$2:$S$750,460))=0,"",INDEX(Data!$D$2:$D$750,SMALL(Data!$S$2:$S$750,460))),"")</f>
        <v>1</v>
      </c>
      <c r="F566" s="57">
        <f t="array" ref="F566">IFERROR(IF(INDEX(Data!$E$2:$E$750,SMALL(Data!$S$2:$S$750,460))=0,"",INDEX(Data!$E$2:$E$750,SMALL(Data!$S$2:$S$750,460))),"")</f>
        <v>96</v>
      </c>
      <c r="G566" s="57">
        <f t="array" ref="G566">IFERROR(INDEX(Data!$F$2:$F$750,SMALL(Data!$S$2:$S$750,460)),"")</f>
        <v>96</v>
      </c>
      <c r="H566" s="58">
        <f t="array" ref="H566">IFERROR(IF(INDEX(Data!$G$2:$G$750,SMALL(Data!$S$2:$S$750,460))=0,"",INDEX(Data!$G$2:$G$750,SMALL(Data!$S$2:$S$750,460))),"")</f>
        <v>46203</v>
      </c>
      <c r="I566" s="56">
        <f t="array" ref="I566">IFERROR(IF(INDEX(Data!$H$2:$H$750,SMALL(Data!$S$2:$S$750,460))=0,"",INDEX(Data!$H$2:$H$750,SMALL(Data!$S$2:$S$750,460))),"")</f>
        <v>7</v>
      </c>
      <c r="J566" s="58">
        <f t="array" ref="J566">IFERROR(INDEX(Data!$I$2:$I$750,SMALL(Data!$S$2:$S$750,460)),"")</f>
        <v>46252</v>
      </c>
      <c r="K566" s="56" t="str">
        <f t="array" ref="K566">IFERROR(INDEX(Data!$J$2:$J$750,SMALL(Data!$S$2:$S$750,460)),"")</f>
        <v>Not Paid</v>
      </c>
      <c r="L566" s="56" t="str">
        <f t="array" ref="L566">IFERROR(INDEX(Data!$K$2:$K$750,SMALL(Data!$S$2:$S$750,460)),"")</f>
        <v>Pending</v>
      </c>
      <c r="M566" s="48" t="s">
        <v>317</v>
      </c>
      <c r="N566" s="48">
        <f>SUMIFS(Data!D2:D750,Data!A2:A750,M566,Data!Q2:Q750,1)</f>
        <v>10</v>
      </c>
      <c r="O566" s="61">
        <f t="shared" si="1"/>
        <v>10.00000566</v>
      </c>
    </row>
    <row r="567" ht="15.75" customHeight="1">
      <c r="B567" s="53" t="str">
        <f t="array" ref="B567">IFERROR(INDEX(Data!$A$2:$A$750,SMALL(Data!$S$2:$S$750,461)),"")</f>
        <v>Armed Forces (AlMostakbal City)</v>
      </c>
      <c r="C567" s="53" t="str">
        <f t="array" ref="C567">IFERROR(IF(INDEX(Data!$B$2:$B$750,SMALL(Data!$S$2:$S$750,461))=0,"",INDEX(Data!$B$2:$B$750,SMALL(Data!$S$2:$S$750,461))),"")</f>
        <v/>
      </c>
      <c r="D567" s="53" t="str">
        <f t="array" ref="D567">IFERROR(INDEX(Data!$C$2:$C$750,SMALL(Data!$S$2:$S$750,461)),"")</f>
        <v>LRU 1002 </v>
      </c>
      <c r="E567" s="53">
        <f t="array" ref="E567">IFERROR(IF(INDEX(Data!$D$2:$D$750,SMALL(Data!$S$2:$S$750,461))=0,"",INDEX(Data!$D$2:$D$750,SMALL(Data!$S$2:$S$750,461))),"")</f>
        <v>1</v>
      </c>
      <c r="F567" s="54">
        <f t="array" ref="F567">IFERROR(IF(INDEX(Data!$E$2:$E$750,SMALL(Data!$S$2:$S$750,461))=0,"",INDEX(Data!$E$2:$E$750,SMALL(Data!$S$2:$S$750,461))),"")</f>
        <v>8</v>
      </c>
      <c r="G567" s="54">
        <f t="array" ref="G567">IFERROR(INDEX(Data!$F$2:$F$750,SMALL(Data!$S$2:$S$750,461)),"")</f>
        <v>8</v>
      </c>
      <c r="H567" s="55">
        <f t="array" ref="H567">IFERROR(IF(INDEX(Data!$G$2:$G$750,SMALL(Data!$S$2:$S$750,461))=0,"",INDEX(Data!$G$2:$G$750,SMALL(Data!$S$2:$S$750,461))),"")</f>
        <v>46204</v>
      </c>
      <c r="I567" s="53">
        <f t="array" ref="I567">IFERROR(IF(INDEX(Data!$H$2:$H$750,SMALL(Data!$S$2:$S$750,461))=0,"",INDEX(Data!$H$2:$H$750,SMALL(Data!$S$2:$S$750,461))),"")</f>
        <v>8</v>
      </c>
      <c r="J567" s="55">
        <f t="array" ref="J567">IFERROR(INDEX(Data!$I$2:$I$750,SMALL(Data!$S$2:$S$750,461)),"")</f>
        <v>46260</v>
      </c>
      <c r="K567" s="53" t="str">
        <f t="array" ref="K567">IFERROR(INDEX(Data!$J$2:$J$750,SMALL(Data!$S$2:$S$750,461)),"")</f>
        <v>Not Paid</v>
      </c>
      <c r="L567" s="53" t="str">
        <f t="array" ref="L567">IFERROR(INDEX(Data!$K$2:$K$750,SMALL(Data!$S$2:$S$750,461)),"")</f>
        <v>Pending</v>
      </c>
      <c r="M567" s="48" t="s">
        <v>319</v>
      </c>
      <c r="N567" s="48">
        <f>SUMIFS(Data!D2:D750,Data!A2:A750,M567,Data!Q2:Q750,1)</f>
        <v>300</v>
      </c>
      <c r="O567" s="61">
        <f t="shared" si="1"/>
        <v>300.0000057</v>
      </c>
    </row>
    <row r="568" ht="15.75" customHeight="1">
      <c r="B568" s="56" t="str">
        <f t="array" ref="B568">IFERROR(INDEX(Data!$A$2:$A$750,SMALL(Data!$S$2:$S$750,462)),"")</f>
        <v>Armed Forces (AlMostakbal City)</v>
      </c>
      <c r="C568" s="56" t="str">
        <f t="array" ref="C568">IFERROR(IF(INDEX(Data!$B$2:$B$750,SMALL(Data!$S$2:$S$750,462))=0,"",INDEX(Data!$B$2:$B$750,SMALL(Data!$S$2:$S$750,462))),"")</f>
        <v/>
      </c>
      <c r="D568" s="56" t="str">
        <f t="array" ref="D568">IFERROR(INDEX(Data!$C$2:$C$750,SMALL(Data!$S$2:$S$750,462)),"")</f>
        <v>KMtronic </v>
      </c>
      <c r="E568" s="56">
        <f t="array" ref="E568">IFERROR(IF(INDEX(Data!$D$2:$D$750,SMALL(Data!$S$2:$S$750,462))=0,"",INDEX(Data!$D$2:$D$750,SMALL(Data!$S$2:$S$750,462))),"")</f>
        <v>1</v>
      </c>
      <c r="F568" s="57">
        <f t="array" ref="F568">IFERROR(IF(INDEX(Data!$E$2:$E$750,SMALL(Data!$S$2:$S$750,462))=0,"",INDEX(Data!$E$2:$E$750,SMALL(Data!$S$2:$S$750,462))),"")</f>
        <v>5</v>
      </c>
      <c r="G568" s="57">
        <f t="array" ref="G568">IFERROR(INDEX(Data!$F$2:$F$750,SMALL(Data!$S$2:$S$750,462)),"")</f>
        <v>5</v>
      </c>
      <c r="H568" s="58">
        <f t="array" ref="H568">IFERROR(IF(INDEX(Data!$G$2:$G$750,SMALL(Data!$S$2:$S$750,462))=0,"",INDEX(Data!$G$2:$G$750,SMALL(Data!$S$2:$S$750,462))),"")</f>
        <v>46205</v>
      </c>
      <c r="I568" s="56">
        <f t="array" ref="I568">IFERROR(IF(INDEX(Data!$H$2:$H$750,SMALL(Data!$S$2:$S$750,462))=0,"",INDEX(Data!$H$2:$H$750,SMALL(Data!$S$2:$S$750,462))),"")</f>
        <v>14</v>
      </c>
      <c r="J568" s="58">
        <f t="array" ref="J568">IFERROR(INDEX(Data!$I$2:$I$750,SMALL(Data!$S$2:$S$750,462)),"")</f>
        <v>46303</v>
      </c>
      <c r="K568" s="56" t="str">
        <f t="array" ref="K568">IFERROR(INDEX(Data!$J$2:$J$750,SMALL(Data!$S$2:$S$750,462)),"")</f>
        <v>Not Paid</v>
      </c>
      <c r="L568" s="56" t="str">
        <f t="array" ref="L568">IFERROR(INDEX(Data!$K$2:$K$750,SMALL(Data!$S$2:$S$750,462)),"")</f>
        <v>Pending</v>
      </c>
      <c r="M568" s="48" t="s">
        <v>321</v>
      </c>
      <c r="N568" s="48">
        <f>SUMIFS(Data!D2:D750,Data!A2:A750,M568,Data!Q2:Q750,1)</f>
        <v>5</v>
      </c>
      <c r="O568" s="61">
        <f t="shared" si="1"/>
        <v>5.00000568</v>
      </c>
    </row>
    <row r="569" ht="15.75" customHeight="1">
      <c r="B569" s="53" t="str">
        <f t="array" ref="B569">IFERROR(INDEX(Data!$A$2:$A$750,SMALL(Data!$S$2:$S$750,463)),"")</f>
        <v> Hassan Allam Properties (SLK)</v>
      </c>
      <c r="C569" s="53" t="str">
        <f t="array" ref="C569">IFERROR(IF(INDEX(Data!$B$2:$B$750,SMALL(Data!$S$2:$S$750,463))=0,"",INDEX(Data!$B$2:$B$750,SMALL(Data!$S$2:$S$750,463))),"")</f>
        <v/>
      </c>
      <c r="D569" s="53" t="str">
        <f t="array" ref="D569">IFERROR(INDEX(Data!$C$2:$C$750,SMALL(Data!$S$2:$S$750,463)),"")</f>
        <v>[5118.001.01] ID MAX.U500i-EU Compact UHF Access Control Reader with integrated Antenna</v>
      </c>
      <c r="E569" s="53">
        <f t="array" ref="E569">IFERROR(IF(INDEX(Data!$D$2:$D$750,SMALL(Data!$S$2:$S$750,463))=0,"",INDEX(Data!$D$2:$D$750,SMALL(Data!$S$2:$S$750,463))),"")</f>
        <v>4</v>
      </c>
      <c r="F569" s="54">
        <f t="array" ref="F569">IFERROR(IF(INDEX(Data!$E$2:$E$750,SMALL(Data!$S$2:$S$750,463))=0,"",INDEX(Data!$E$2:$E$750,SMALL(Data!$S$2:$S$750,463))),"")</f>
        <v>4</v>
      </c>
      <c r="G569" s="54">
        <f t="array" ref="G569">IFERROR(INDEX(Data!$F$2:$F$750,SMALL(Data!$S$2:$S$750,463)),"")</f>
        <v>16</v>
      </c>
      <c r="H569" s="55">
        <f t="array" ref="H569">IFERROR(IF(INDEX(Data!$G$2:$G$750,SMALL(Data!$S$2:$S$750,463))=0,"",INDEX(Data!$G$2:$G$750,SMALL(Data!$S$2:$S$750,463))),"")</f>
        <v>46206</v>
      </c>
      <c r="I569" s="53">
        <f t="array" ref="I569">IFERROR(IF(INDEX(Data!$H$2:$H$750,SMALL(Data!$S$2:$S$750,463))=0,"",INDEX(Data!$H$2:$H$750,SMALL(Data!$S$2:$S$750,463))),"")</f>
        <v>16</v>
      </c>
      <c r="J569" s="55">
        <f t="array" ref="J569">IFERROR(INDEX(Data!$I$2:$I$750,SMALL(Data!$S$2:$S$750,463)),"")</f>
        <v>46318</v>
      </c>
      <c r="K569" s="53" t="str">
        <f t="array" ref="K569">IFERROR(INDEX(Data!$J$2:$J$750,SMALL(Data!$S$2:$S$750,463)),"")</f>
        <v>Not Paid</v>
      </c>
      <c r="L569" s="53" t="str">
        <f t="array" ref="L569">IFERROR(INDEX(Data!$K$2:$K$750,SMALL(Data!$S$2:$S$750,463)),"")</f>
        <v>Pending</v>
      </c>
      <c r="M569" s="48" t="s">
        <v>324</v>
      </c>
      <c r="N569" s="48">
        <f>SUMIFS(Data!D2:D750,Data!A2:A750,M569,Data!Q2:Q750,1)</f>
        <v>20027</v>
      </c>
      <c r="O569" s="61">
        <f t="shared" si="1"/>
        <v>20027.00001</v>
      </c>
    </row>
    <row r="570" ht="15.75" customHeight="1">
      <c r="B570" s="56" t="str">
        <f t="array" ref="B570">IFERROR(INDEX(Data!$A$2:$A$750,SMALL(Data!$S$2:$S$750,464)),"")</f>
        <v> Hassan Allam Properties (SLK)</v>
      </c>
      <c r="C570" s="56" t="str">
        <f t="array" ref="C570">IFERROR(IF(INDEX(Data!$B$2:$B$750,SMALL(Data!$S$2:$S$750,464))=0,"",INDEX(Data!$B$2:$B$750,SMALL(Data!$S$2:$S$750,464))),"")</f>
        <v/>
      </c>
      <c r="D570" s="56" t="str">
        <f t="array" ref="D570">IFERROR(INDEX(Data!$C$2:$C$750,SMALL(Data!$S$2:$S$750,464)),"")</f>
        <v>[OG-00382] MET QR Code Scanner</v>
      </c>
      <c r="E570" s="56">
        <f t="array" ref="E570">IFERROR(IF(INDEX(Data!$D$2:$D$750,SMALL(Data!$S$2:$S$750,464))=0,"",INDEX(Data!$D$2:$D$750,SMALL(Data!$S$2:$S$750,464))),"")</f>
        <v>2</v>
      </c>
      <c r="F570" s="57">
        <f t="array" ref="F570">IFERROR(IF(INDEX(Data!$E$2:$E$750,SMALL(Data!$S$2:$S$750,464))=0,"",INDEX(Data!$E$2:$E$750,SMALL(Data!$S$2:$S$750,464))),"")</f>
        <v>2</v>
      </c>
      <c r="G570" s="57">
        <f t="array" ref="G570">IFERROR(INDEX(Data!$F$2:$F$750,SMALL(Data!$S$2:$S$750,464)),"")</f>
        <v>4</v>
      </c>
      <c r="H570" s="58">
        <f t="array" ref="H570">IFERROR(IF(INDEX(Data!$G$2:$G$750,SMALL(Data!$S$2:$S$750,464))=0,"",INDEX(Data!$G$2:$G$750,SMALL(Data!$S$2:$S$750,464))),"")</f>
        <v>46207</v>
      </c>
      <c r="I570" s="56">
        <f t="array" ref="I570">IFERROR(IF(INDEX(Data!$H$2:$H$750,SMALL(Data!$S$2:$S$750,464))=0,"",INDEX(Data!$H$2:$H$750,SMALL(Data!$S$2:$S$750,464))),"")</f>
        <v>15</v>
      </c>
      <c r="J570" s="58">
        <f t="array" ref="J570">IFERROR(INDEX(Data!$I$2:$I$750,SMALL(Data!$S$2:$S$750,464)),"")</f>
        <v>46312</v>
      </c>
      <c r="K570" s="56" t="str">
        <f t="array" ref="K570">IFERROR(INDEX(Data!$J$2:$J$750,SMALL(Data!$S$2:$S$750,464)),"")</f>
        <v>Not Paid</v>
      </c>
      <c r="L570" s="56" t="str">
        <f t="array" ref="L570">IFERROR(INDEX(Data!$K$2:$K$750,SMALL(Data!$S$2:$S$750,464)),"")</f>
        <v>Pending</v>
      </c>
      <c r="M570" s="48" t="s">
        <v>327</v>
      </c>
      <c r="N570" s="48">
        <f>SUMIFS(Data!D2:D750,Data!A2:A750,M570,Data!Q2:Q750,1)</f>
        <v>606</v>
      </c>
      <c r="O570" s="61">
        <f t="shared" si="1"/>
        <v>606.0000057</v>
      </c>
    </row>
    <row r="571" ht="15.75" customHeight="1">
      <c r="B571" s="53" t="str">
        <f t="array" ref="B571">IFERROR(INDEX(Data!$A$2:$A$750,SMALL(Data!$S$2:$S$750,465)),"")</f>
        <v> Hassan Allam Properties (SLK)</v>
      </c>
      <c r="C571" s="53" t="str">
        <f t="array" ref="C571">IFERROR(IF(INDEX(Data!$B$2:$B$750,SMALL(Data!$S$2:$S$750,465))=0,"",INDEX(Data!$B$2:$B$750,SMALL(Data!$S$2:$S$750,465))),"")</f>
        <v/>
      </c>
      <c r="D571" s="53" t="str">
        <f t="array" ref="D571">IFERROR(INDEX(Data!$C$2:$C$750,SMALL(Data!$S$2:$S$750,465)),"")</f>
        <v>Aruba 124W Switch POE ARUBA - 8 Ports</v>
      </c>
      <c r="E571" s="53">
        <f t="array" ref="E571">IFERROR(IF(INDEX(Data!$D$2:$D$750,SMALL(Data!$S$2:$S$750,465))=0,"",INDEX(Data!$D$2:$D$750,SMALL(Data!$S$2:$S$750,465))),"")</f>
        <v>2</v>
      </c>
      <c r="F571" s="54">
        <f t="array" ref="F571">IFERROR(IF(INDEX(Data!$E$2:$E$750,SMALL(Data!$S$2:$S$750,465))=0,"",INDEX(Data!$E$2:$E$750,SMALL(Data!$S$2:$S$750,465))),"")</f>
        <v>36</v>
      </c>
      <c r="G571" s="54">
        <f t="array" ref="G571">IFERROR(INDEX(Data!$F$2:$F$750,SMALL(Data!$S$2:$S$750,465)),"")</f>
        <v>72</v>
      </c>
      <c r="H571" s="55">
        <f t="array" ref="H571">IFERROR(IF(INDEX(Data!$G$2:$G$750,SMALL(Data!$S$2:$S$750,465))=0,"",INDEX(Data!$G$2:$G$750,SMALL(Data!$S$2:$S$750,465))),"")</f>
        <v>46208</v>
      </c>
      <c r="I571" s="53">
        <f t="array" ref="I571">IFERROR(IF(INDEX(Data!$H$2:$H$750,SMALL(Data!$S$2:$S$750,465))=0,"",INDEX(Data!$H$2:$H$750,SMALL(Data!$S$2:$S$750,465))),"")</f>
        <v>15</v>
      </c>
      <c r="J571" s="55">
        <f t="array" ref="J571">IFERROR(INDEX(Data!$I$2:$I$750,SMALL(Data!$S$2:$S$750,465)),"")</f>
        <v>46313</v>
      </c>
      <c r="K571" s="53" t="str">
        <f t="array" ref="K571">IFERROR(INDEX(Data!$J$2:$J$750,SMALL(Data!$S$2:$S$750,465)),"")</f>
        <v>Not Paid</v>
      </c>
      <c r="L571" s="53" t="str">
        <f t="array" ref="L571">IFERROR(INDEX(Data!$K$2:$K$750,SMALL(Data!$S$2:$S$750,465)),"")</f>
        <v>Pending</v>
      </c>
      <c r="M571" s="48" t="s">
        <v>329</v>
      </c>
      <c r="N571" s="48">
        <f>SUMIFS(Data!D2:D750,Data!A2:A750,M571,Data!Q2:Q750,1)</f>
        <v>60012</v>
      </c>
      <c r="O571" s="61">
        <f t="shared" si="1"/>
        <v>60012.00001</v>
      </c>
    </row>
    <row r="572" ht="15.75" customHeight="1">
      <c r="B572" s="56" t="str">
        <f t="array" ref="B572">IFERROR(INDEX(Data!$A$2:$A$750,SMALL(Data!$S$2:$S$750,466)),"")</f>
        <v> Hassan Allam Properties (SLK)</v>
      </c>
      <c r="C572" s="56" t="str">
        <f t="array" ref="C572">IFERROR(IF(INDEX(Data!$B$2:$B$750,SMALL(Data!$S$2:$S$750,466))=0,"",INDEX(Data!$B$2:$B$750,SMALL(Data!$S$2:$S$750,466))),"")</f>
        <v/>
      </c>
      <c r="D572" s="56" t="str">
        <f t="array" ref="D572">IFERROR(INDEX(Data!$C$2:$C$750,SMALL(Data!$S$2:$S$750,466)),"")</f>
        <v>[RFID-1677-1] Destructive Windshield Tags</v>
      </c>
      <c r="E572" s="56">
        <f t="array" ref="E572">IFERROR(IF(INDEX(Data!$D$2:$D$750,SMALL(Data!$S$2:$S$750,466))=0,"",INDEX(Data!$D$2:$D$750,SMALL(Data!$S$2:$S$750,466))),"")</f>
        <v>500</v>
      </c>
      <c r="F572" s="57">
        <f t="array" ref="F572">IFERROR(IF(INDEX(Data!$E$2:$E$750,SMALL(Data!$S$2:$S$750,466))=0,"",INDEX(Data!$E$2:$E$750,SMALL(Data!$S$2:$S$750,466))),"")</f>
        <v>2</v>
      </c>
      <c r="G572" s="57">
        <f t="array" ref="G572">IFERROR(INDEX(Data!$F$2:$F$750,SMALL(Data!$S$2:$S$750,466)),"")</f>
        <v>1000</v>
      </c>
      <c r="H572" s="58">
        <f t="array" ref="H572">IFERROR(IF(INDEX(Data!$G$2:$G$750,SMALL(Data!$S$2:$S$750,466))=0,"",INDEX(Data!$G$2:$G$750,SMALL(Data!$S$2:$S$750,466))),"")</f>
        <v>46209</v>
      </c>
      <c r="I572" s="56">
        <f t="array" ref="I572">IFERROR(IF(INDEX(Data!$H$2:$H$750,SMALL(Data!$S$2:$S$750,466))=0,"",INDEX(Data!$H$2:$H$750,SMALL(Data!$S$2:$S$750,466))),"")</f>
        <v>14</v>
      </c>
      <c r="J572" s="58">
        <f t="array" ref="J572">IFERROR(INDEX(Data!$I$2:$I$750,SMALL(Data!$S$2:$S$750,466)),"")</f>
        <v>46307</v>
      </c>
      <c r="K572" s="56" t="str">
        <f t="array" ref="K572">IFERROR(INDEX(Data!$J$2:$J$750,SMALL(Data!$S$2:$S$750,466)),"")</f>
        <v>Not Paid</v>
      </c>
      <c r="L572" s="56" t="str">
        <f t="array" ref="L572">IFERROR(INDEX(Data!$K$2:$K$750,SMALL(Data!$S$2:$S$750,466)),"")</f>
        <v>Pending</v>
      </c>
      <c r="M572" s="48" t="s">
        <v>330</v>
      </c>
      <c r="N572" s="48">
        <f>SUMIFS(Data!D2:D750,Data!A2:A750,M572,Data!Q2:Q750,1)</f>
        <v>20004</v>
      </c>
      <c r="O572" s="61">
        <f t="shared" si="1"/>
        <v>20004.00001</v>
      </c>
    </row>
    <row r="573" ht="15.75" customHeight="1">
      <c r="B573" s="53" t="str">
        <f t="array" ref="B573">IFERROR(INDEX(Data!$A$2:$A$750,SMALL(Data!$S$2:$S$750,467)),"")</f>
        <v> Hassan Allam Properties (SLK)</v>
      </c>
      <c r="C573" s="53" t="str">
        <f t="array" ref="C573">IFERROR(IF(INDEX(Data!$B$2:$B$750,SMALL(Data!$S$2:$S$750,467))=0,"",INDEX(Data!$B$2:$B$750,SMALL(Data!$S$2:$S$750,467))),"")</f>
        <v/>
      </c>
      <c r="D573" s="53" t="str">
        <f t="array" ref="D573">IFERROR(INDEX(Data!$C$2:$C$750,SMALL(Data!$S$2:$S$750,467)),"")</f>
        <v>Dell OptiPlex 7020</v>
      </c>
      <c r="E573" s="53">
        <f t="array" ref="E573">IFERROR(IF(INDEX(Data!$D$2:$D$750,SMALL(Data!$S$2:$S$750,467))=0,"",INDEX(Data!$D$2:$D$750,SMALL(Data!$S$2:$S$750,467))),"")</f>
        <v>2</v>
      </c>
      <c r="F573" s="54">
        <f t="array" ref="F573">IFERROR(IF(INDEX(Data!$E$2:$E$750,SMALL(Data!$S$2:$S$750,467))=0,"",INDEX(Data!$E$2:$E$750,SMALL(Data!$S$2:$S$750,467))),"")</f>
        <v>5</v>
      </c>
      <c r="G573" s="54">
        <f t="array" ref="G573">IFERROR(INDEX(Data!$F$2:$F$750,SMALL(Data!$S$2:$S$750,467)),"")</f>
        <v>10</v>
      </c>
      <c r="H573" s="55">
        <f t="array" ref="H573">IFERROR(IF(INDEX(Data!$G$2:$G$750,SMALL(Data!$S$2:$S$750,467))=0,"",INDEX(Data!$G$2:$G$750,SMALL(Data!$S$2:$S$750,467))),"")</f>
        <v>46210</v>
      </c>
      <c r="I573" s="53">
        <f t="array" ref="I573">IFERROR(IF(INDEX(Data!$H$2:$H$750,SMALL(Data!$S$2:$S$750,467))=0,"",INDEX(Data!$H$2:$H$750,SMALL(Data!$S$2:$S$750,467))),"")</f>
        <v>15</v>
      </c>
      <c r="J573" s="55">
        <f t="array" ref="J573">IFERROR(INDEX(Data!$I$2:$I$750,SMALL(Data!$S$2:$S$750,467)),"")</f>
        <v>46315</v>
      </c>
      <c r="K573" s="53" t="str">
        <f t="array" ref="K573">IFERROR(INDEX(Data!$J$2:$J$750,SMALL(Data!$S$2:$S$750,467)),"")</f>
        <v>Not Paid</v>
      </c>
      <c r="L573" s="53" t="str">
        <f t="array" ref="L573">IFERROR(INDEX(Data!$K$2:$K$750,SMALL(Data!$S$2:$S$750,467)),"")</f>
        <v>Pending</v>
      </c>
      <c r="M573" s="48" t="s">
        <v>332</v>
      </c>
      <c r="N573" s="48">
        <f>SUMIFS(Data!D2:D750,Data!A2:A750,M573,Data!Q2:Q750,1)</f>
        <v>1</v>
      </c>
      <c r="O573" s="61">
        <f t="shared" si="1"/>
        <v>1.00000573</v>
      </c>
    </row>
    <row r="574" ht="15.75" customHeight="1">
      <c r="B574" s="56" t="str">
        <f t="array" ref="B574">IFERROR(INDEX(Data!$A$2:$A$750,SMALL(Data!$S$2:$S$750,468)),"")</f>
        <v> Hassan Allam Properties (SLK)</v>
      </c>
      <c r="C574" s="56" t="str">
        <f t="array" ref="C574">IFERROR(IF(INDEX(Data!$B$2:$B$750,SMALL(Data!$S$2:$S$750,468))=0,"",INDEX(Data!$B$2:$B$750,SMALL(Data!$S$2:$S$750,468))),"")</f>
        <v/>
      </c>
      <c r="D574" s="56" t="str">
        <f t="array" ref="D574">IFERROR(INDEX(Data!$C$2:$C$750,SMALL(Data!$S$2:$S$750,468)),"")</f>
        <v>FAAC Photocell</v>
      </c>
      <c r="E574" s="56">
        <f t="array" ref="E574">IFERROR(IF(INDEX(Data!$D$2:$D$750,SMALL(Data!$S$2:$S$750,468))=0,"",INDEX(Data!$D$2:$D$750,SMALL(Data!$S$2:$S$750,468))),"")</f>
        <v>3</v>
      </c>
      <c r="F574" s="57">
        <f t="array" ref="F574">IFERROR(IF(INDEX(Data!$E$2:$E$750,SMALL(Data!$S$2:$S$750,468))=0,"",INDEX(Data!$E$2:$E$750,SMALL(Data!$S$2:$S$750,468))),"")</f>
        <v>6</v>
      </c>
      <c r="G574" s="57">
        <f t="array" ref="G574">IFERROR(INDEX(Data!$F$2:$F$750,SMALL(Data!$S$2:$S$750,468)),"")</f>
        <v>18</v>
      </c>
      <c r="H574" s="58">
        <f t="array" ref="H574">IFERROR(IF(INDEX(Data!$G$2:$G$750,SMALL(Data!$S$2:$S$750,468))=0,"",INDEX(Data!$G$2:$G$750,SMALL(Data!$S$2:$S$750,468))),"")</f>
        <v>46211</v>
      </c>
      <c r="I574" s="56">
        <f t="array" ref="I574">IFERROR(IF(INDEX(Data!$H$2:$H$750,SMALL(Data!$S$2:$S$750,468))=0,"",INDEX(Data!$H$2:$H$750,SMALL(Data!$S$2:$S$750,468))),"")</f>
        <v>14</v>
      </c>
      <c r="J574" s="58">
        <f t="array" ref="J574">IFERROR(INDEX(Data!$I$2:$I$750,SMALL(Data!$S$2:$S$750,468)),"")</f>
        <v>46309</v>
      </c>
      <c r="K574" s="56" t="str">
        <f t="array" ref="K574">IFERROR(INDEX(Data!$J$2:$J$750,SMALL(Data!$S$2:$S$750,468)),"")</f>
        <v>Not Paid</v>
      </c>
      <c r="L574" s="56" t="str">
        <f t="array" ref="L574">IFERROR(INDEX(Data!$K$2:$K$750,SMALL(Data!$S$2:$S$750,468)),"")</f>
        <v>Pending</v>
      </c>
      <c r="M574" s="48" t="s">
        <v>335</v>
      </c>
      <c r="N574" s="48">
        <f>SUMIFS(Data!D2:D750,Data!A2:A750,M574,Data!Q2:Q750,1)</f>
        <v>7</v>
      </c>
      <c r="O574" s="61">
        <f t="shared" si="1"/>
        <v>7.00000574</v>
      </c>
    </row>
    <row r="575" ht="15.75" customHeight="1">
      <c r="B575" s="53" t="str">
        <f t="array" ref="B575">IFERROR(INDEX(Data!$A$2:$A$750,SMALL(Data!$S$2:$S$750,469)),"")</f>
        <v> Hassan Allam Properties (SLK)</v>
      </c>
      <c r="C575" s="53" t="str">
        <f t="array" ref="C575">IFERROR(IF(INDEX(Data!$B$2:$B$750,SMALL(Data!$S$2:$S$750,469))=0,"",INDEX(Data!$B$2:$B$750,SMALL(Data!$S$2:$S$750,469))),"")</f>
        <v/>
      </c>
      <c r="D575" s="53" t="str">
        <f t="array" ref="D575">IFERROR(INDEX(Data!$C$2:$C$750,SMALL(Data!$S$2:$S$750,469)),"")</f>
        <v>Boom 4m - FAAC B615 BPR</v>
      </c>
      <c r="E575" s="53">
        <f t="array" ref="E575">IFERROR(IF(INDEX(Data!$D$2:$D$750,SMALL(Data!$S$2:$S$750,469))=0,"",INDEX(Data!$D$2:$D$750,SMALL(Data!$S$2:$S$750,469))),"")</f>
        <v>1</v>
      </c>
      <c r="F575" s="54">
        <f t="array" ref="F575">IFERROR(IF(INDEX(Data!$E$2:$E$750,SMALL(Data!$S$2:$S$750,469))=0,"",INDEX(Data!$E$2:$E$750,SMALL(Data!$S$2:$S$750,469))),"")</f>
        <v>7</v>
      </c>
      <c r="G575" s="54">
        <f t="array" ref="G575">IFERROR(INDEX(Data!$F$2:$F$750,SMALL(Data!$S$2:$S$750,469)),"")</f>
        <v>7</v>
      </c>
      <c r="H575" s="55">
        <f t="array" ref="H575">IFERROR(IF(INDEX(Data!$G$2:$G$750,SMALL(Data!$S$2:$S$750,469))=0,"",INDEX(Data!$G$2:$G$750,SMALL(Data!$S$2:$S$750,469))),"")</f>
        <v>46212</v>
      </c>
      <c r="I575" s="53">
        <f t="array" ref="I575">IFERROR(IF(INDEX(Data!$H$2:$H$750,SMALL(Data!$S$2:$S$750,469))=0,"",INDEX(Data!$H$2:$H$750,SMALL(Data!$S$2:$S$750,469))),"")</f>
        <v>12</v>
      </c>
      <c r="J575" s="55">
        <f t="array" ref="J575">IFERROR(INDEX(Data!$I$2:$I$750,SMALL(Data!$S$2:$S$750,469)),"")</f>
        <v>46296</v>
      </c>
      <c r="K575" s="53" t="str">
        <f t="array" ref="K575">IFERROR(INDEX(Data!$J$2:$J$750,SMALL(Data!$S$2:$S$750,469)),"")</f>
        <v>Not Paid</v>
      </c>
      <c r="L575" s="53" t="str">
        <f t="array" ref="L575">IFERROR(INDEX(Data!$K$2:$K$750,SMALL(Data!$S$2:$S$750,469)),"")</f>
        <v>Pending</v>
      </c>
      <c r="M575" s="48" t="s">
        <v>337</v>
      </c>
      <c r="N575" s="48">
        <f>SUMIFS(Data!D2:D750,Data!A2:A750,M575,Data!Q2:Q750,1)</f>
        <v>2</v>
      </c>
      <c r="O575" s="61">
        <f t="shared" si="1"/>
        <v>2.00000575</v>
      </c>
    </row>
    <row r="576" ht="15.75" customHeight="1">
      <c r="B576" s="56" t="str">
        <f t="array" ref="B576">IFERROR(INDEX(Data!$A$2:$A$750,SMALL(Data!$S$2:$S$750,470)),"")</f>
        <v> Hassan Allam properties (Little Venice)</v>
      </c>
      <c r="C576" s="56" t="str">
        <f t="array" ref="C576">IFERROR(IF(INDEX(Data!$B$2:$B$750,SMALL(Data!$S$2:$S$750,470))=0,"",INDEX(Data!$B$2:$B$750,SMALL(Data!$S$2:$S$750,470))),"")</f>
        <v>Feig</v>
      </c>
      <c r="D576" s="56" t="str">
        <f t="array" ref="D576">IFERROR(INDEX(Data!$C$2:$C$750,SMALL(Data!$S$2:$S$750,470)),"")</f>
        <v>[5118.001.01] ID MAX.U500i-EU Compact UHF Access Control Reader with integrated Antenna</v>
      </c>
      <c r="E576" s="56">
        <f t="array" ref="E576">IFERROR(IF(INDEX(Data!$D$2:$D$750,SMALL(Data!$S$2:$S$750,470))=0,"",INDEX(Data!$D$2:$D$750,SMALL(Data!$S$2:$S$750,470))),"")</f>
        <v>2</v>
      </c>
      <c r="F576" s="57">
        <f t="array" ref="F576">IFERROR(IF(INDEX(Data!$E$2:$E$750,SMALL(Data!$S$2:$S$750,470))=0,"",INDEX(Data!$E$2:$E$750,SMALL(Data!$S$2:$S$750,470))),"")</f>
        <v>8</v>
      </c>
      <c r="G576" s="57">
        <f t="array" ref="G576">IFERROR(INDEX(Data!$F$2:$F$750,SMALL(Data!$S$2:$S$750,470)),"")</f>
        <v>16</v>
      </c>
      <c r="H576" s="58">
        <f t="array" ref="H576">IFERROR(IF(INDEX(Data!$G$2:$G$750,SMALL(Data!$S$2:$S$750,470))=0,"",INDEX(Data!$G$2:$G$750,SMALL(Data!$S$2:$S$750,470))),"")</f>
        <v>46213</v>
      </c>
      <c r="I576" s="56">
        <f t="array" ref="I576">IFERROR(IF(INDEX(Data!$H$2:$H$750,SMALL(Data!$S$2:$S$750,470))=0,"",INDEX(Data!$H$2:$H$750,SMALL(Data!$S$2:$S$750,470))),"")</f>
        <v>14</v>
      </c>
      <c r="J576" s="58">
        <f t="array" ref="J576">IFERROR(INDEX(Data!$I$2:$I$750,SMALL(Data!$S$2:$S$750,470)),"")</f>
        <v>46311</v>
      </c>
      <c r="K576" s="56" t="str">
        <f t="array" ref="K576">IFERROR(INDEX(Data!$J$2:$J$750,SMALL(Data!$S$2:$S$750,470)),"")</f>
        <v>Not Paid</v>
      </c>
      <c r="L576" s="56" t="str">
        <f t="array" ref="L576">IFERROR(INDEX(Data!$K$2:$K$750,SMALL(Data!$S$2:$S$750,470)),"")</f>
        <v>Pending</v>
      </c>
      <c r="M576" s="48" t="s">
        <v>339</v>
      </c>
      <c r="N576" s="48">
        <f>SUMIFS(Data!D2:D750,Data!A2:A750,M576,Data!Q2:Q750,1)</f>
        <v>4</v>
      </c>
      <c r="O576" s="61">
        <f t="shared" si="1"/>
        <v>4.00000576</v>
      </c>
    </row>
    <row r="577" ht="15.75" customHeight="1">
      <c r="B577" s="53" t="str">
        <f t="array" ref="B577">IFERROR(INDEX(Data!$A$2:$A$750,SMALL(Data!$S$2:$S$750,471)),"")</f>
        <v> Hassan Allam properties (Little Venice)</v>
      </c>
      <c r="C577" s="53" t="str">
        <f t="array" ref="C577">IFERROR(IF(INDEX(Data!$B$2:$B$750,SMALL(Data!$S$2:$S$750,471))=0,"",INDEX(Data!$B$2:$B$750,SMALL(Data!$S$2:$S$750,471))),"")</f>
        <v/>
      </c>
      <c r="D577" s="53" t="str">
        <f t="array" ref="D577">IFERROR(INDEX(Data!$C$2:$C$750,SMALL(Data!$S$2:$S$750,471)),"")</f>
        <v>[OG-00346] GDS - 410-MF QR Scanner</v>
      </c>
      <c r="E577" s="53">
        <f t="array" ref="E577">IFERROR(IF(INDEX(Data!$D$2:$D$750,SMALL(Data!$S$2:$S$750,471))=0,"",INDEX(Data!$D$2:$D$750,SMALL(Data!$S$2:$S$750,471))),"")</f>
        <v>1</v>
      </c>
      <c r="F577" s="54">
        <f t="array" ref="F577">IFERROR(IF(INDEX(Data!$E$2:$E$750,SMALL(Data!$S$2:$S$750,471))=0,"",INDEX(Data!$E$2:$E$750,SMALL(Data!$S$2:$S$750,471))),"")</f>
        <v>2</v>
      </c>
      <c r="G577" s="54">
        <f t="array" ref="G577">IFERROR(INDEX(Data!$F$2:$F$750,SMALL(Data!$S$2:$S$750,471)),"")</f>
        <v>2</v>
      </c>
      <c r="H577" s="55">
        <f t="array" ref="H577">IFERROR(IF(INDEX(Data!$G$2:$G$750,SMALL(Data!$S$2:$S$750,471))=0,"",INDEX(Data!$G$2:$G$750,SMALL(Data!$S$2:$S$750,471))),"")</f>
        <v>46214</v>
      </c>
      <c r="I577" s="53">
        <f t="array" ref="I577">IFERROR(IF(INDEX(Data!$H$2:$H$750,SMALL(Data!$S$2:$S$750,471))=0,"",INDEX(Data!$H$2:$H$750,SMALL(Data!$S$2:$S$750,471))),"")</f>
        <v>13</v>
      </c>
      <c r="J577" s="55">
        <f t="array" ref="J577">IFERROR(INDEX(Data!$I$2:$I$750,SMALL(Data!$S$2:$S$750,471)),"")</f>
        <v>46305</v>
      </c>
      <c r="K577" s="53" t="str">
        <f t="array" ref="K577">IFERROR(INDEX(Data!$J$2:$J$750,SMALL(Data!$S$2:$S$750,471)),"")</f>
        <v>Not Paid</v>
      </c>
      <c r="L577" s="53" t="str">
        <f t="array" ref="L577">IFERROR(INDEX(Data!$K$2:$K$750,SMALL(Data!$S$2:$S$750,471)),"")</f>
        <v>Pending</v>
      </c>
      <c r="M577" s="48" t="s">
        <v>342</v>
      </c>
      <c r="N577" s="48">
        <f>SUMIFS(Data!D2:D750,Data!A2:A750,M577,Data!Q2:Q750,1)</f>
        <v>4</v>
      </c>
      <c r="O577" s="61">
        <f t="shared" si="1"/>
        <v>4.00000577</v>
      </c>
    </row>
    <row r="578" ht="15.75" customHeight="1">
      <c r="B578" s="56" t="str">
        <f t="array" ref="B578">IFERROR(INDEX(Data!$A$2:$A$750,SMALL(Data!$S$2:$S$750,472)),"")</f>
        <v> Hassan Allam properties (Little Venice)</v>
      </c>
      <c r="C578" s="56" t="str">
        <f t="array" ref="C578">IFERROR(IF(INDEX(Data!$B$2:$B$750,SMALL(Data!$S$2:$S$750,472))=0,"",INDEX(Data!$B$2:$B$750,SMALL(Data!$S$2:$S$750,472))),"")</f>
        <v/>
      </c>
      <c r="D578" s="56" t="str">
        <f t="array" ref="D578">IFERROR(INDEX(Data!$C$2:$C$750,SMALL(Data!$S$2:$S$750,472)),"")</f>
        <v>[RFID-1677-1] Destructive Windshield Tags</v>
      </c>
      <c r="E578" s="56">
        <f t="array" ref="E578">IFERROR(IF(INDEX(Data!$D$2:$D$750,SMALL(Data!$S$2:$S$750,472))=0,"",INDEX(Data!$D$2:$D$750,SMALL(Data!$S$2:$S$750,472))),"")</f>
        <v>500</v>
      </c>
      <c r="F578" s="57">
        <f t="array" ref="F578">IFERROR(IF(INDEX(Data!$E$2:$E$750,SMALL(Data!$S$2:$S$750,472))=0,"",INDEX(Data!$E$2:$E$750,SMALL(Data!$S$2:$S$750,472))),"")</f>
        <v>15</v>
      </c>
      <c r="G578" s="57">
        <f t="array" ref="G578">IFERROR(INDEX(Data!$F$2:$F$750,SMALL(Data!$S$2:$S$750,472)),"")</f>
        <v>7500</v>
      </c>
      <c r="H578" s="58">
        <f t="array" ref="H578">IFERROR(IF(INDEX(Data!$G$2:$G$750,SMALL(Data!$S$2:$S$750,472))=0,"",INDEX(Data!$G$2:$G$750,SMALL(Data!$S$2:$S$750,472))),"")</f>
        <v>46215</v>
      </c>
      <c r="I578" s="56">
        <f t="array" ref="I578">IFERROR(IF(INDEX(Data!$H$2:$H$750,SMALL(Data!$S$2:$S$750,472))=0,"",INDEX(Data!$H$2:$H$750,SMALL(Data!$S$2:$S$750,472))),"")</f>
        <v>19</v>
      </c>
      <c r="J578" s="58">
        <f t="array" ref="J578">IFERROR(INDEX(Data!$I$2:$I$750,SMALL(Data!$S$2:$S$750,472)),"")</f>
        <v>46348</v>
      </c>
      <c r="K578" s="56" t="str">
        <f t="array" ref="K578">IFERROR(INDEX(Data!$J$2:$J$750,SMALL(Data!$S$2:$S$750,472)),"")</f>
        <v>Not Paid</v>
      </c>
      <c r="L578" s="56" t="str">
        <f t="array" ref="L578">IFERROR(INDEX(Data!$K$2:$K$750,SMALL(Data!$S$2:$S$750,472)),"")</f>
        <v>Pending</v>
      </c>
      <c r="M578" s="48" t="s">
        <v>344</v>
      </c>
      <c r="N578" s="48">
        <f>SUMIFS(Data!D2:D750,Data!A2:A750,M578,Data!Q2:Q750,1)</f>
        <v>14</v>
      </c>
      <c r="O578" s="61">
        <f t="shared" si="1"/>
        <v>14.00000578</v>
      </c>
    </row>
    <row r="579" ht="15.75" customHeight="1">
      <c r="B579" s="53" t="str">
        <f t="array" ref="B579">IFERROR(INDEX(Data!$A$2:$A$750,SMALL(Data!$S$2:$S$750,473)),"")</f>
        <v> Hassan Allam properties (Little Venice)</v>
      </c>
      <c r="C579" s="53" t="str">
        <f t="array" ref="C579">IFERROR(IF(INDEX(Data!$B$2:$B$750,SMALL(Data!$S$2:$S$750,473))=0,"",INDEX(Data!$B$2:$B$750,SMALL(Data!$S$2:$S$750,473))),"")</f>
        <v/>
      </c>
      <c r="D579" s="53" t="str">
        <f t="array" ref="D579">IFERROR(INDEX(Data!$C$2:$C$750,SMALL(Data!$S$2:$S$750,473)),"")</f>
        <v>Aruba 124W Switch POE ARUBA - 8 Ports</v>
      </c>
      <c r="E579" s="53">
        <f t="array" ref="E579">IFERROR(IF(INDEX(Data!$D$2:$D$750,SMALL(Data!$S$2:$S$750,473))=0,"",INDEX(Data!$D$2:$D$750,SMALL(Data!$S$2:$S$750,473))),"")</f>
        <v>1</v>
      </c>
      <c r="F579" s="54">
        <f t="array" ref="F579">IFERROR(IF(INDEX(Data!$E$2:$E$750,SMALL(Data!$S$2:$S$750,473))=0,"",INDEX(Data!$E$2:$E$750,SMALL(Data!$S$2:$S$750,473))),"")</f>
        <v>45</v>
      </c>
      <c r="G579" s="54">
        <f t="array" ref="G579">IFERROR(INDEX(Data!$F$2:$F$750,SMALL(Data!$S$2:$S$750,473)),"")</f>
        <v>45</v>
      </c>
      <c r="H579" s="55">
        <f t="array" ref="H579">IFERROR(IF(INDEX(Data!$G$2:$G$750,SMALL(Data!$S$2:$S$750,473))=0,"",INDEX(Data!$G$2:$G$750,SMALL(Data!$S$2:$S$750,473))),"")</f>
        <v>46216</v>
      </c>
      <c r="I579" s="53">
        <f t="array" ref="I579">IFERROR(IF(INDEX(Data!$H$2:$H$750,SMALL(Data!$S$2:$S$750,473))=0,"",INDEX(Data!$H$2:$H$750,SMALL(Data!$S$2:$S$750,473))),"")</f>
        <v>17</v>
      </c>
      <c r="J579" s="55">
        <f t="array" ref="J579">IFERROR(INDEX(Data!$I$2:$I$750,SMALL(Data!$S$2:$S$750,473)),"")</f>
        <v>46335</v>
      </c>
      <c r="K579" s="53" t="str">
        <f t="array" ref="K579">IFERROR(INDEX(Data!$J$2:$J$750,SMALL(Data!$S$2:$S$750,473)),"")</f>
        <v>Not Paid</v>
      </c>
      <c r="L579" s="53" t="str">
        <f t="array" ref="L579">IFERROR(INDEX(Data!$K$2:$K$750,SMALL(Data!$S$2:$S$750,473)),"")</f>
        <v>Pending</v>
      </c>
      <c r="M579" s="48" t="s">
        <v>346</v>
      </c>
      <c r="N579" s="48">
        <f>SUMIFS(Data!D2:D750,Data!A2:A750,M579,Data!Q2:Q750,1)</f>
        <v>76</v>
      </c>
      <c r="O579" s="61">
        <f t="shared" si="1"/>
        <v>76.00000579</v>
      </c>
    </row>
    <row r="580" ht="15.75" customHeight="1">
      <c r="B580" s="56" t="str">
        <f t="array" ref="B580">IFERROR(INDEX(Data!$A$2:$A$750,SMALL(Data!$S$2:$S$750,474)),"")</f>
        <v> Hassan Allam properties (Little Venice)</v>
      </c>
      <c r="C580" s="56" t="str">
        <f t="array" ref="C580">IFERROR(IF(INDEX(Data!$B$2:$B$750,SMALL(Data!$S$2:$S$750,474))=0,"",INDEX(Data!$B$2:$B$750,SMALL(Data!$S$2:$S$750,474))),"")</f>
        <v/>
      </c>
      <c r="D580" s="56" t="str">
        <f t="array" ref="D580">IFERROR(INDEX(Data!$C$2:$C$750,SMALL(Data!$S$2:$S$750,474)),"")</f>
        <v>Dell OptiPlex 7020</v>
      </c>
      <c r="E580" s="56">
        <f t="array" ref="E580">IFERROR(IF(INDEX(Data!$D$2:$D$750,SMALL(Data!$S$2:$S$750,474))=0,"",INDEX(Data!$D$2:$D$750,SMALL(Data!$S$2:$S$750,474))),"")</f>
        <v>1</v>
      </c>
      <c r="F580" s="57">
        <f t="array" ref="F580">IFERROR(IF(INDEX(Data!$E$2:$E$750,SMALL(Data!$S$2:$S$750,474))=0,"",INDEX(Data!$E$2:$E$750,SMALL(Data!$S$2:$S$750,474))),"")</f>
        <v>24</v>
      </c>
      <c r="G580" s="57">
        <f t="array" ref="G580">IFERROR(INDEX(Data!$F$2:$F$750,SMALL(Data!$S$2:$S$750,474)),"")</f>
        <v>24</v>
      </c>
      <c r="H580" s="58">
        <f t="array" ref="H580">IFERROR(IF(INDEX(Data!$G$2:$G$750,SMALL(Data!$S$2:$S$750,474))=0,"",INDEX(Data!$G$2:$G$750,SMALL(Data!$S$2:$S$750,474))),"")</f>
        <v>46217</v>
      </c>
      <c r="I580" s="56">
        <f t="array" ref="I580">IFERROR(IF(INDEX(Data!$H$2:$H$750,SMALL(Data!$S$2:$S$750,474))=0,"",INDEX(Data!$H$2:$H$750,SMALL(Data!$S$2:$S$750,474))),"")</f>
        <v>19</v>
      </c>
      <c r="J580" s="58">
        <f t="array" ref="J580">IFERROR(INDEX(Data!$I$2:$I$750,SMALL(Data!$S$2:$S$750,474)),"")</f>
        <v>46350</v>
      </c>
      <c r="K580" s="56" t="str">
        <f t="array" ref="K580">IFERROR(INDEX(Data!$J$2:$J$750,SMALL(Data!$S$2:$S$750,474)),"")</f>
        <v>Not Paid</v>
      </c>
      <c r="L580" s="56" t="str">
        <f t="array" ref="L580">IFERROR(INDEX(Data!$K$2:$K$750,SMALL(Data!$S$2:$S$750,474)),"")</f>
        <v>Pending</v>
      </c>
      <c r="M580" s="48" t="s">
        <v>348</v>
      </c>
      <c r="N580" s="48">
        <f>SUMIFS(Data!D2:D750,Data!A2:A750,M580,Data!Q2:Q750,1)</f>
        <v>1</v>
      </c>
      <c r="O580" s="61">
        <f t="shared" si="1"/>
        <v>1.0000058</v>
      </c>
    </row>
    <row r="581" ht="15.75" customHeight="1">
      <c r="B581" s="53" t="str">
        <f t="array" ref="B581">IFERROR(INDEX(Data!$A$2:$A$750,SMALL(Data!$S$2:$S$750,475)),"")</f>
        <v> Hassan Allam properties (Little Venice)</v>
      </c>
      <c r="C581" s="53" t="str">
        <f t="array" ref="C581">IFERROR(IF(INDEX(Data!$B$2:$B$750,SMALL(Data!$S$2:$S$750,475))=0,"",INDEX(Data!$B$2:$B$750,SMALL(Data!$S$2:$S$750,475))),"")</f>
        <v/>
      </c>
      <c r="D581" s="53" t="str">
        <f t="array" ref="D581">IFERROR(INDEX(Data!$C$2:$C$750,SMALL(Data!$S$2:$S$750,475)),"")</f>
        <v>SKINPACK 615 BPR BARRIER - FAAC</v>
      </c>
      <c r="E581" s="53">
        <f t="array" ref="E581">IFERROR(IF(INDEX(Data!$D$2:$D$750,SMALL(Data!$S$2:$S$750,475))=0,"",INDEX(Data!$D$2:$D$750,SMALL(Data!$S$2:$S$750,475))),"")</f>
        <v>1</v>
      </c>
      <c r="F581" s="54">
        <f t="array" ref="F581">IFERROR(IF(INDEX(Data!$E$2:$E$750,SMALL(Data!$S$2:$S$750,475))=0,"",INDEX(Data!$E$2:$E$750,SMALL(Data!$S$2:$S$750,475))),"")</f>
        <v>25</v>
      </c>
      <c r="G581" s="54">
        <f t="array" ref="G581">IFERROR(INDEX(Data!$F$2:$F$750,SMALL(Data!$S$2:$S$750,475)),"")</f>
        <v>25</v>
      </c>
      <c r="H581" s="55">
        <f t="array" ref="H581">IFERROR(IF(INDEX(Data!$G$2:$G$750,SMALL(Data!$S$2:$S$750,475))=0,"",INDEX(Data!$G$2:$G$750,SMALL(Data!$S$2:$S$750,475))),"")</f>
        <v>46218</v>
      </c>
      <c r="I581" s="53">
        <f t="array" ref="I581">IFERROR(IF(INDEX(Data!$H$2:$H$750,SMALL(Data!$S$2:$S$750,475))=0,"",INDEX(Data!$H$2:$H$750,SMALL(Data!$S$2:$S$750,475))),"")</f>
        <v>21</v>
      </c>
      <c r="J581" s="55">
        <f t="array" ref="J581">IFERROR(INDEX(Data!$I$2:$I$750,SMALL(Data!$S$2:$S$750,475)),"")</f>
        <v>46365</v>
      </c>
      <c r="K581" s="53" t="str">
        <f t="array" ref="K581">IFERROR(INDEX(Data!$J$2:$J$750,SMALL(Data!$S$2:$S$750,475)),"")</f>
        <v>Not Paid</v>
      </c>
      <c r="L581" s="53" t="str">
        <f t="array" ref="L581">IFERROR(INDEX(Data!$K$2:$K$750,SMALL(Data!$S$2:$S$750,475)),"")</f>
        <v>Pending</v>
      </c>
      <c r="M581" s="48" t="s">
        <v>350</v>
      </c>
      <c r="N581" s="48">
        <f>SUMIFS(Data!D2:D750,Data!A2:A750,M581,Data!Q2:Q750,1)</f>
        <v>101</v>
      </c>
      <c r="O581" s="61">
        <f t="shared" si="1"/>
        <v>101.0000058</v>
      </c>
    </row>
    <row r="582" ht="15.75" customHeight="1">
      <c r="B582" s="56" t="str">
        <f t="array" ref="B582">IFERROR(INDEX(Data!$A$2:$A$750,SMALL(Data!$S$2:$S$750,476)),"")</f>
        <v>Ortho-House</v>
      </c>
      <c r="C582" s="56" t="str">
        <f t="array" ref="C582">IFERROR(IF(INDEX(Data!$B$2:$B$750,SMALL(Data!$S$2:$S$750,476))=0,"",INDEX(Data!$B$2:$B$750,SMALL(Data!$S$2:$S$750,476))),"")</f>
        <v/>
      </c>
      <c r="D582" s="56" t="str">
        <f t="array" ref="D582">IFERROR(INDEX(Data!$C$2:$C$750,SMALL(Data!$S$2:$S$750,476)),"")</f>
        <v>ATID RFID Handheld - AT909</v>
      </c>
      <c r="E582" s="56">
        <f t="array" ref="E582">IFERROR(IF(INDEX(Data!$D$2:$D$750,SMALL(Data!$S$2:$S$750,476))=0,"",INDEX(Data!$D$2:$D$750,SMALL(Data!$S$2:$S$750,476))),"")</f>
        <v>1</v>
      </c>
      <c r="F582" s="57">
        <f t="array" ref="F582">IFERROR(IF(INDEX(Data!$E$2:$E$750,SMALL(Data!$S$2:$S$750,476))=0,"",INDEX(Data!$E$2:$E$750,SMALL(Data!$S$2:$S$750,476))),"")</f>
        <v>36</v>
      </c>
      <c r="G582" s="57">
        <f t="array" ref="G582">IFERROR(INDEX(Data!$F$2:$F$750,SMALL(Data!$S$2:$S$750,476)),"")</f>
        <v>36</v>
      </c>
      <c r="H582" s="58">
        <f t="array" ref="H582">IFERROR(IF(INDEX(Data!$G$2:$G$750,SMALL(Data!$S$2:$S$750,476))=0,"",INDEX(Data!$G$2:$G$750,SMALL(Data!$S$2:$S$750,476))),"")</f>
        <v>46219</v>
      </c>
      <c r="I582" s="56">
        <f t="array" ref="I582">IFERROR(IF(INDEX(Data!$H$2:$H$750,SMALL(Data!$S$2:$S$750,476))=0,"",INDEX(Data!$H$2:$H$750,SMALL(Data!$S$2:$S$750,476))),"")</f>
        <v>20</v>
      </c>
      <c r="J582" s="58">
        <f t="array" ref="J582">IFERROR(INDEX(Data!$I$2:$I$750,SMALL(Data!$S$2:$S$750,476)),"")</f>
        <v>46359</v>
      </c>
      <c r="K582" s="56" t="str">
        <f t="array" ref="K582">IFERROR(INDEX(Data!$J$2:$J$750,SMALL(Data!$S$2:$S$750,476)),"")</f>
        <v>Not Paid</v>
      </c>
      <c r="L582" s="56" t="str">
        <f t="array" ref="L582">IFERROR(INDEX(Data!$K$2:$K$750,SMALL(Data!$S$2:$S$750,476)),"")</f>
        <v>Pending</v>
      </c>
      <c r="M582" s="48" t="s">
        <v>351</v>
      </c>
      <c r="N582" s="48">
        <f>SUMIFS(Data!D2:D750,Data!A2:A750,M582,Data!Q2:Q750,1)</f>
        <v>1</v>
      </c>
      <c r="O582" s="61">
        <f t="shared" si="1"/>
        <v>1.00000582</v>
      </c>
    </row>
    <row r="583" ht="15.75" customHeight="1">
      <c r="B583" s="53" t="str">
        <f t="array" ref="B583">IFERROR(INDEX(Data!$A$2:$A$750,SMALL(Data!$S$2:$S$750,477)),"")</f>
        <v>Ortho-House</v>
      </c>
      <c r="C583" s="53" t="str">
        <f t="array" ref="C583">IFERROR(IF(INDEX(Data!$B$2:$B$750,SMALL(Data!$S$2:$S$750,477))=0,"",INDEX(Data!$B$2:$B$750,SMALL(Data!$S$2:$S$750,477))),"")</f>
        <v/>
      </c>
      <c r="D583" s="53" t="str">
        <f t="array" ref="D583">IFERROR(INDEX(Data!$C$2:$C$750,SMALL(Data!$S$2:$S$750,477)),"")</f>
        <v>[OG-00215] M-Crown RFID Hard Tags</v>
      </c>
      <c r="E583" s="53">
        <f t="array" ref="E583">IFERROR(IF(INDEX(Data!$D$2:$D$750,SMALL(Data!$S$2:$S$750,477))=0,"",INDEX(Data!$D$2:$D$750,SMALL(Data!$S$2:$S$750,477))),"")</f>
        <v>1</v>
      </c>
      <c r="F583" s="54">
        <f t="array" ref="F583">IFERROR(IF(INDEX(Data!$E$2:$E$750,SMALL(Data!$S$2:$S$750,477))=0,"",INDEX(Data!$E$2:$E$750,SMALL(Data!$S$2:$S$750,477))),"")</f>
        <v>95</v>
      </c>
      <c r="G583" s="54">
        <f t="array" ref="G583">IFERROR(INDEX(Data!$F$2:$F$750,SMALL(Data!$S$2:$S$750,477)),"")</f>
        <v>95</v>
      </c>
      <c r="H583" s="55">
        <f t="array" ref="H583">IFERROR(IF(INDEX(Data!$G$2:$G$750,SMALL(Data!$S$2:$S$750,477))=0,"",INDEX(Data!$G$2:$G$750,SMALL(Data!$S$2:$S$750,477))),"")</f>
        <v>46220</v>
      </c>
      <c r="I583" s="53">
        <f t="array" ref="I583">IFERROR(IF(INDEX(Data!$H$2:$H$750,SMALL(Data!$S$2:$S$750,477))=0,"",INDEX(Data!$H$2:$H$750,SMALL(Data!$S$2:$S$750,477))),"")</f>
        <v>21</v>
      </c>
      <c r="J583" s="55">
        <f t="array" ref="J583">IFERROR(INDEX(Data!$I$2:$I$750,SMALL(Data!$S$2:$S$750,477)),"")</f>
        <v>46367</v>
      </c>
      <c r="K583" s="53" t="str">
        <f t="array" ref="K583">IFERROR(INDEX(Data!$J$2:$J$750,SMALL(Data!$S$2:$S$750,477)),"")</f>
        <v>Not Paid</v>
      </c>
      <c r="L583" s="53" t="str">
        <f t="array" ref="L583">IFERROR(INDEX(Data!$K$2:$K$750,SMALL(Data!$S$2:$S$750,477)),"")</f>
        <v>Pending</v>
      </c>
      <c r="M583" s="48" t="s">
        <v>353</v>
      </c>
      <c r="N583" s="48">
        <f>SUMIFS(Data!D2:D750,Data!A2:A750,M583,Data!Q2:Q750,1)</f>
        <v>10</v>
      </c>
      <c r="O583" s="61">
        <f t="shared" si="1"/>
        <v>10.00000583</v>
      </c>
    </row>
    <row r="584" ht="15.75" customHeight="1">
      <c r="B584" s="56" t="str">
        <f t="array" ref="B584">IFERROR(INDEX(Data!$A$2:$A$750,SMALL(Data!$S$2:$S$750,478)),"")</f>
        <v>Ortho-House</v>
      </c>
      <c r="C584" s="56" t="str">
        <f t="array" ref="C584">IFERROR(IF(INDEX(Data!$B$2:$B$750,SMALL(Data!$S$2:$S$750,478))=0,"",INDEX(Data!$B$2:$B$750,SMALL(Data!$S$2:$S$750,478))),"")</f>
        <v/>
      </c>
      <c r="D584" s="56" t="str">
        <f t="array" ref="D584">IFERROR(INDEX(Data!$C$2:$C$750,SMALL(Data!$S$2:$S$750,478)),"")</f>
        <v>UHF RFID Paper Tags (SHORTDIPOLE)</v>
      </c>
      <c r="E584" s="56">
        <f t="array" ref="E584">IFERROR(IF(INDEX(Data!$D$2:$D$750,SMALL(Data!$S$2:$S$750,478))=0,"",INDEX(Data!$D$2:$D$750,SMALL(Data!$S$2:$S$750,478))),"")</f>
        <v>7000</v>
      </c>
      <c r="F584" s="57">
        <f t="array" ref="F584">IFERROR(IF(INDEX(Data!$E$2:$E$750,SMALL(Data!$S$2:$S$750,478))=0,"",INDEX(Data!$E$2:$E$750,SMALL(Data!$S$2:$S$750,478))),"")</f>
        <v>574</v>
      </c>
      <c r="G584" s="57">
        <f t="array" ref="G584">IFERROR(INDEX(Data!$F$2:$F$750,SMALL(Data!$S$2:$S$750,478)),"")</f>
        <v>4018000</v>
      </c>
      <c r="H584" s="58">
        <f t="array" ref="H584">IFERROR(IF(INDEX(Data!$G$2:$G$750,SMALL(Data!$S$2:$S$750,478))=0,"",INDEX(Data!$G$2:$G$750,SMALL(Data!$S$2:$S$750,478))),"")</f>
        <v>46221</v>
      </c>
      <c r="I584" s="56">
        <f t="array" ref="I584">IFERROR(IF(INDEX(Data!$H$2:$H$750,SMALL(Data!$S$2:$S$750,478))=0,"",INDEX(Data!$H$2:$H$750,SMALL(Data!$S$2:$S$750,478))),"")</f>
        <v>18</v>
      </c>
      <c r="J584" s="58">
        <f t="array" ref="J584">IFERROR(INDEX(Data!$I$2:$I$750,SMALL(Data!$S$2:$S$750,478)),"")</f>
        <v>46347</v>
      </c>
      <c r="K584" s="56" t="str">
        <f t="array" ref="K584">IFERROR(INDEX(Data!$J$2:$J$750,SMALL(Data!$S$2:$S$750,478)),"")</f>
        <v>Not Paid</v>
      </c>
      <c r="L584" s="56" t="str">
        <f t="array" ref="L584">IFERROR(INDEX(Data!$K$2:$K$750,SMALL(Data!$S$2:$S$750,478)),"")</f>
        <v>Pending</v>
      </c>
      <c r="M584" s="48" t="s">
        <v>354</v>
      </c>
      <c r="N584" s="48">
        <f>SUMIFS(Data!D2:D750,Data!A2:A750,M584,Data!Q2:Q750,1)</f>
        <v>54</v>
      </c>
      <c r="O584" s="61">
        <f t="shared" si="1"/>
        <v>54.00000584</v>
      </c>
    </row>
    <row r="585" ht="15.75" customHeight="1">
      <c r="B585" s="53" t="str">
        <f t="array" ref="B585">IFERROR(INDEX(Data!$A$2:$A$750,SMALL(Data!$S$2:$S$750,479)),"")</f>
        <v>Fourtex, Sharabati Denim</v>
      </c>
      <c r="C585" s="53" t="str">
        <f t="array" ref="C585">IFERROR(IF(INDEX(Data!$B$2:$B$750,SMALL(Data!$S$2:$S$750,479))=0,"",INDEX(Data!$B$2:$B$750,SMALL(Data!$S$2:$S$750,479))),"")</f>
        <v>sato</v>
      </c>
      <c r="D585" s="53" t="str">
        <f t="array" ref="D585">IFERROR(INDEX(Data!$C$2:$C$750,SMALL(Data!$S$2:$S$750,479)),"")</f>
        <v>CL4NX Plus Barcode Printer</v>
      </c>
      <c r="E585" s="53">
        <f t="array" ref="E585">IFERROR(IF(INDEX(Data!$D$2:$D$750,SMALL(Data!$S$2:$S$750,479))=0,"",INDEX(Data!$D$2:$D$750,SMALL(Data!$S$2:$S$750,479))),"")</f>
        <v>3</v>
      </c>
      <c r="F585" s="54">
        <f t="array" ref="F585">IFERROR(IF(INDEX(Data!$E$2:$E$750,SMALL(Data!$S$2:$S$750,479))=0,"",INDEX(Data!$E$2:$E$750,SMALL(Data!$S$2:$S$750,479))),"")</f>
        <v>558</v>
      </c>
      <c r="G585" s="54">
        <f t="array" ref="G585">IFERROR(INDEX(Data!$F$2:$F$750,SMALL(Data!$S$2:$S$750,479)),"")</f>
        <v>1674</v>
      </c>
      <c r="H585" s="55">
        <f t="array" ref="H585">IFERROR(IF(INDEX(Data!$G$2:$G$750,SMALL(Data!$S$2:$S$750,479))=0,"",INDEX(Data!$G$2:$G$750,SMALL(Data!$S$2:$S$750,479))),"")</f>
        <v>46222</v>
      </c>
      <c r="I585" s="53">
        <f t="array" ref="I585">IFERROR(IF(INDEX(Data!$H$2:$H$750,SMALL(Data!$S$2:$S$750,479))=0,"",INDEX(Data!$H$2:$H$750,SMALL(Data!$S$2:$S$750,479))),"")</f>
        <v>17</v>
      </c>
      <c r="J585" s="55">
        <f t="array" ref="J585">IFERROR(INDEX(Data!$I$2:$I$750,SMALL(Data!$S$2:$S$750,479)),"")</f>
        <v>46341</v>
      </c>
      <c r="K585" s="53" t="str">
        <f t="array" ref="K585">IFERROR(INDEX(Data!$J$2:$J$750,SMALL(Data!$S$2:$S$750,479)),"")</f>
        <v>Not Paid</v>
      </c>
      <c r="L585" s="53" t="str">
        <f t="array" ref="L585">IFERROR(INDEX(Data!$K$2:$K$750,SMALL(Data!$S$2:$S$750,479)),"")</f>
        <v>Pending</v>
      </c>
      <c r="M585" s="48" t="s">
        <v>356</v>
      </c>
      <c r="N585" s="48">
        <f>SUMIFS(Data!D2:D750,Data!A2:A750,M585,Data!Q2:Q750,1)</f>
        <v>1</v>
      </c>
      <c r="O585" s="61">
        <f t="shared" si="1"/>
        <v>1.00000585</v>
      </c>
    </row>
    <row r="586" ht="15.75" customHeight="1">
      <c r="B586" s="56" t="str">
        <f t="array" ref="B586">IFERROR(INDEX(Data!$A$2:$A$750,SMALL(Data!$S$2:$S$750,480)),"")</f>
        <v>Fourtex, Sharabati Denim</v>
      </c>
      <c r="C586" s="56" t="str">
        <f t="array" ref="C586">IFERROR(IF(INDEX(Data!$B$2:$B$750,SMALL(Data!$S$2:$S$750,480))=0,"",INDEX(Data!$B$2:$B$750,SMALL(Data!$S$2:$S$750,480))),"")</f>
        <v/>
      </c>
      <c r="D586" s="56" t="str">
        <f t="array" ref="D586">IFERROR(INDEX(Data!$C$2:$C$750,SMALL(Data!$S$2:$S$750,480)),"")</f>
        <v>S84NX Sato Printer</v>
      </c>
      <c r="E586" s="56">
        <f t="array" ref="E586">IFERROR(IF(INDEX(Data!$D$2:$D$750,SMALL(Data!$S$2:$S$750,480))=0,"",INDEX(Data!$D$2:$D$750,SMALL(Data!$S$2:$S$750,480))),"")</f>
        <v>2</v>
      </c>
      <c r="F586" s="57">
        <f t="array" ref="F586">IFERROR(IF(INDEX(Data!$E$2:$E$750,SMALL(Data!$S$2:$S$750,480))=0,"",INDEX(Data!$E$2:$E$750,SMALL(Data!$S$2:$S$750,480))),"")</f>
        <v>2265</v>
      </c>
      <c r="G586" s="57">
        <f t="array" ref="G586">IFERROR(INDEX(Data!$F$2:$F$750,SMALL(Data!$S$2:$S$750,480)),"")</f>
        <v>4530</v>
      </c>
      <c r="H586" s="58">
        <f t="array" ref="H586">IFERROR(IF(INDEX(Data!$G$2:$G$750,SMALL(Data!$S$2:$S$750,480))=0,"",INDEX(Data!$G$2:$G$750,SMALL(Data!$S$2:$S$750,480))),"")</f>
        <v>46223</v>
      </c>
      <c r="I586" s="56">
        <f t="array" ref="I586">IFERROR(IF(INDEX(Data!$H$2:$H$750,SMALL(Data!$S$2:$S$750,480))=0,"",INDEX(Data!$H$2:$H$750,SMALL(Data!$S$2:$S$750,480))),"")</f>
        <v>20</v>
      </c>
      <c r="J586" s="58">
        <f t="array" ref="J586">IFERROR(INDEX(Data!$I$2:$I$750,SMALL(Data!$S$2:$S$750,480)),"")</f>
        <v>46363</v>
      </c>
      <c r="K586" s="56" t="str">
        <f t="array" ref="K586">IFERROR(INDEX(Data!$J$2:$J$750,SMALL(Data!$S$2:$S$750,480)),"")</f>
        <v>Not Paid</v>
      </c>
      <c r="L586" s="56" t="str">
        <f t="array" ref="L586">IFERROR(INDEX(Data!$K$2:$K$750,SMALL(Data!$S$2:$S$750,480)),"")</f>
        <v>Pending</v>
      </c>
      <c r="M586" s="48" t="s">
        <v>358</v>
      </c>
      <c r="N586" s="48">
        <f>SUMIFS(Data!D2:D750,Data!A2:A750,M586,Data!Q2:Q750,1)</f>
        <v>5</v>
      </c>
      <c r="O586" s="61">
        <f t="shared" si="1"/>
        <v>5.00000586</v>
      </c>
    </row>
    <row r="587" ht="15.75" customHeight="1">
      <c r="B587" s="53" t="str">
        <f t="array" ref="B587">IFERROR(INDEX(Data!$A$2:$A$750,SMALL(Data!$S$2:$S$750,481)),"")</f>
        <v>1076 - Nakhla Tobacco co- JTI</v>
      </c>
      <c r="C587" s="53" t="str">
        <f t="array" ref="C587">IFERROR(IF(INDEX(Data!$B$2:$B$750,SMALL(Data!$S$2:$S$750,481))=0,"",INDEX(Data!$B$2:$B$750,SMALL(Data!$S$2:$S$750,481))),"")</f>
        <v>ATID</v>
      </c>
      <c r="D587" s="53" t="str">
        <f t="array" ref="D587">IFERROR(INDEX(Data!$C$2:$C$750,SMALL(Data!$S$2:$S$750,481)),"")</f>
        <v>AT909</v>
      </c>
      <c r="E587" s="53">
        <f t="array" ref="E587">IFERROR(IF(INDEX(Data!$D$2:$D$750,SMALL(Data!$S$2:$S$750,481))=0,"",INDEX(Data!$D$2:$D$750,SMALL(Data!$S$2:$S$750,481))),"")</f>
        <v>1</v>
      </c>
      <c r="F587" s="54">
        <f t="array" ref="F587">IFERROR(IF(INDEX(Data!$E$2:$E$750,SMALL(Data!$S$2:$S$750,481))=0,"",INDEX(Data!$E$2:$E$750,SMALL(Data!$S$2:$S$750,481))),"")</f>
        <v>45</v>
      </c>
      <c r="G587" s="54">
        <f t="array" ref="G587">IFERROR(INDEX(Data!$F$2:$F$750,SMALL(Data!$S$2:$S$750,481)),"")</f>
        <v>45</v>
      </c>
      <c r="H587" s="55">
        <f t="array" ref="H587">IFERROR(IF(INDEX(Data!$G$2:$G$750,SMALL(Data!$S$2:$S$750,481))=0,"",INDEX(Data!$G$2:$G$750,SMALL(Data!$S$2:$S$750,481))),"")</f>
        <v>46224</v>
      </c>
      <c r="I587" s="53">
        <f t="array" ref="I587">IFERROR(IF(INDEX(Data!$H$2:$H$750,SMALL(Data!$S$2:$S$750,481))=0,"",INDEX(Data!$H$2:$H$750,SMALL(Data!$S$2:$S$750,481))),"")</f>
        <v>20</v>
      </c>
      <c r="J587" s="55">
        <f t="array" ref="J587">IFERROR(INDEX(Data!$I$2:$I$750,SMALL(Data!$S$2:$S$750,481)),"")</f>
        <v>46364</v>
      </c>
      <c r="K587" s="53" t="str">
        <f t="array" ref="K587">IFERROR(INDEX(Data!$J$2:$J$750,SMALL(Data!$S$2:$S$750,481)),"")</f>
        <v>Not Paid</v>
      </c>
      <c r="L587" s="53" t="str">
        <f t="array" ref="L587">IFERROR(INDEX(Data!$K$2:$K$750,SMALL(Data!$S$2:$S$750,481)),"")</f>
        <v>Pending</v>
      </c>
      <c r="M587" s="48" t="s">
        <v>360</v>
      </c>
      <c r="N587" s="48">
        <f>SUMIFS(Data!D2:D750,Data!A2:A750,M587,Data!Q2:Q750,1)</f>
        <v>1001</v>
      </c>
      <c r="O587" s="61">
        <f t="shared" si="1"/>
        <v>1001.000006</v>
      </c>
    </row>
    <row r="588" ht="15.75" customHeight="1">
      <c r="B588" s="56" t="str">
        <f t="array" ref="B588">IFERROR(INDEX(Data!$A$2:$A$750,SMALL(Data!$S$2:$S$750,482)),"")</f>
        <v>S02001 - 0882 - Diamond Palace</v>
      </c>
      <c r="C588" s="56" t="str">
        <f t="array" ref="C588">IFERROR(IF(INDEX(Data!$B$2:$B$750,SMALL(Data!$S$2:$S$750,482))=0,"",INDEX(Data!$B$2:$B$750,SMALL(Data!$S$2:$S$750,482))),"")</f>
        <v>zebra</v>
      </c>
      <c r="D588" s="56" t="str">
        <f t="array" ref="D588">IFERROR(INDEX(Data!$C$2:$C$750,SMALL(Data!$S$2:$S$750,482)),"")</f>
        <v>[Zebra Z-ULTIMATE 3000T] 3000T WHITE 82.55 x 37.3062 outside core Diameter 31.75, Labels per Roll 2000</v>
      </c>
      <c r="E588" s="56">
        <f t="array" ref="E588">IFERROR(IF(INDEX(Data!$D$2:$D$750,SMALL(Data!$S$2:$S$750,482))=0,"",INDEX(Data!$D$2:$D$750,SMALL(Data!$S$2:$S$750,482))),"")</f>
        <v>3</v>
      </c>
      <c r="F588" s="57">
        <f t="array" ref="F588">IFERROR(IF(INDEX(Data!$E$2:$E$750,SMALL(Data!$S$2:$S$750,482))=0,"",INDEX(Data!$E$2:$E$750,SMALL(Data!$S$2:$S$750,482))),"")</f>
        <v>5554</v>
      </c>
      <c r="G588" s="57">
        <f t="array" ref="G588">IFERROR(INDEX(Data!$F$2:$F$750,SMALL(Data!$S$2:$S$750,482)),"")</f>
        <v>16662</v>
      </c>
      <c r="H588" s="58">
        <f t="array" ref="H588">IFERROR(IF(INDEX(Data!$G$2:$G$750,SMALL(Data!$S$2:$S$750,482))=0,"",INDEX(Data!$G$2:$G$750,SMALL(Data!$S$2:$S$750,482))),"")</f>
        <v>46225</v>
      </c>
      <c r="I588" s="56">
        <f t="array" ref="I588">IFERROR(IF(INDEX(Data!$H$2:$H$750,SMALL(Data!$S$2:$S$750,482))=0,"",INDEX(Data!$H$2:$H$750,SMALL(Data!$S$2:$S$750,482))),"")</f>
        <v>23</v>
      </c>
      <c r="J588" s="58">
        <f t="array" ref="J588">IFERROR(INDEX(Data!$I$2:$I$750,SMALL(Data!$S$2:$S$750,482)),"")</f>
        <v>46386</v>
      </c>
      <c r="K588" s="56" t="str">
        <f t="array" ref="K588">IFERROR(INDEX(Data!$J$2:$J$750,SMALL(Data!$S$2:$S$750,482)),"")</f>
        <v>Not Paid</v>
      </c>
      <c r="L588" s="56" t="str">
        <f t="array" ref="L588">IFERROR(INDEX(Data!$K$2:$K$750,SMALL(Data!$S$2:$S$750,482)),"")</f>
        <v>Pending</v>
      </c>
      <c r="M588" s="48" t="s">
        <v>362</v>
      </c>
      <c r="N588" s="48">
        <f>SUMIFS(Data!D2:D750,Data!A2:A750,M588,Data!Q2:Q750,1)</f>
        <v>507</v>
      </c>
      <c r="O588" s="61">
        <f t="shared" si="1"/>
        <v>507.0000059</v>
      </c>
    </row>
    <row r="589" ht="15.75" customHeight="1">
      <c r="B589" s="53" t="str">
        <f t="array" ref="B589">IFERROR(INDEX(Data!$A$2:$A$750,SMALL(Data!$S$2:$S$750,483)),"")</f>
        <v>S02285 - 1356 - Venus Jewelry</v>
      </c>
      <c r="C589" s="53" t="str">
        <f t="array" ref="C589">IFERROR(IF(INDEX(Data!$B$2:$B$750,SMALL(Data!$S$2:$S$750,483))=0,"",INDEX(Data!$B$2:$B$750,SMALL(Data!$S$2:$S$750,483))),"")</f>
        <v>zebra</v>
      </c>
      <c r="D589" s="53" t="str">
        <f t="array" ref="D589">IFERROR(INDEX(Data!$C$2:$C$750,SMALL(Data!$S$2:$S$750,483)),"")</f>
        <v>Zebra DS2208 Handheld 2D Imager Scanner</v>
      </c>
      <c r="E589" s="53">
        <f t="array" ref="E589">IFERROR(IF(INDEX(Data!$D$2:$D$750,SMALL(Data!$S$2:$S$750,483))=0,"",INDEX(Data!$D$2:$D$750,SMALL(Data!$S$2:$S$750,483))),"")</f>
        <v>1</v>
      </c>
      <c r="F589" s="54">
        <f t="array" ref="F589">IFERROR(IF(INDEX(Data!$E$2:$E$750,SMALL(Data!$S$2:$S$750,483))=0,"",INDEX(Data!$E$2:$E$750,SMALL(Data!$S$2:$S$750,483))),"")</f>
        <v>41</v>
      </c>
      <c r="G589" s="54">
        <f t="array" ref="G589">IFERROR(INDEX(Data!$F$2:$F$750,SMALL(Data!$S$2:$S$750,483)),"")</f>
        <v>41</v>
      </c>
      <c r="H589" s="55">
        <f t="array" ref="H589">IFERROR(IF(INDEX(Data!$G$2:$G$750,SMALL(Data!$S$2:$S$750,483))=0,"",INDEX(Data!$G$2:$G$750,SMALL(Data!$S$2:$S$750,483))),"")</f>
        <v>46226</v>
      </c>
      <c r="I589" s="53">
        <f t="array" ref="I589">IFERROR(IF(INDEX(Data!$H$2:$H$750,SMALL(Data!$S$2:$S$750,483))=0,"",INDEX(Data!$H$2:$H$750,SMALL(Data!$S$2:$S$750,483))),"")</f>
        <v>24</v>
      </c>
      <c r="J589" s="55">
        <f t="array" ref="J589">IFERROR(INDEX(Data!$I$2:$I$750,SMALL(Data!$S$2:$S$750,483)),"")</f>
        <v>46394</v>
      </c>
      <c r="K589" s="53" t="str">
        <f t="array" ref="K589">IFERROR(INDEX(Data!$J$2:$J$750,SMALL(Data!$S$2:$S$750,483)),"")</f>
        <v>Not Paid</v>
      </c>
      <c r="L589" s="53" t="str">
        <f t="array" ref="L589">IFERROR(INDEX(Data!$K$2:$K$750,SMALL(Data!$S$2:$S$750,483)),"")</f>
        <v>Pending</v>
      </c>
      <c r="M589" s="48" t="s">
        <v>364</v>
      </c>
      <c r="N589" s="48">
        <f>SUMIFS(Data!D2:D750,Data!A2:A750,M589,Data!Q2:Q750,1)</f>
        <v>700</v>
      </c>
      <c r="O589" s="61">
        <f t="shared" si="1"/>
        <v>700.0000059</v>
      </c>
    </row>
    <row r="590" ht="15.75" customHeight="1">
      <c r="B590" s="56" t="str">
        <f t="array" ref="B590">IFERROR(INDEX(Data!$A$2:$A$750,SMALL(Data!$S$2:$S$750,484)),"")</f>
        <v>S02293 - 324-STELLA </v>
      </c>
      <c r="C590" s="56" t="str">
        <f t="array" ref="C590">IFERROR(IF(INDEX(Data!$B$2:$B$750,SMALL(Data!$S$2:$S$750,484))=0,"",INDEX(Data!$B$2:$B$750,SMALL(Data!$S$2:$S$750,484))),"")</f>
        <v/>
      </c>
      <c r="D590" s="56" t="str">
        <f t="array" ref="D590">IFERROR(INDEX(Data!$C$2:$C$750,SMALL(Data!$S$2:$S$750,484)),"")</f>
        <v>FAAC Barrier B614- 4 Meters                     </v>
      </c>
      <c r="E590" s="56">
        <f t="array" ref="E590">IFERROR(IF(INDEX(Data!$D$2:$D$750,SMALL(Data!$S$2:$S$750,484))=0,"",INDEX(Data!$D$2:$D$750,SMALL(Data!$S$2:$S$750,484))),"")</f>
        <v>5</v>
      </c>
      <c r="F590" s="57">
        <f t="array" ref="F590">IFERROR(IF(INDEX(Data!$E$2:$E$750,SMALL(Data!$S$2:$S$750,484))=0,"",INDEX(Data!$E$2:$E$750,SMALL(Data!$S$2:$S$750,484))),"")</f>
        <v>231</v>
      </c>
      <c r="G590" s="57">
        <f t="array" ref="G590">IFERROR(INDEX(Data!$F$2:$F$750,SMALL(Data!$S$2:$S$750,484)),"")</f>
        <v>1155</v>
      </c>
      <c r="H590" s="58">
        <f t="array" ref="H590">IFERROR(IF(INDEX(Data!$G$2:$G$750,SMALL(Data!$S$2:$S$750,484))=0,"",INDEX(Data!$G$2:$G$750,SMALL(Data!$S$2:$S$750,484))),"")</f>
        <v>46227</v>
      </c>
      <c r="I590" s="56">
        <f t="array" ref="I590">IFERROR(IF(INDEX(Data!$H$2:$H$750,SMALL(Data!$S$2:$S$750,484))=0,"",INDEX(Data!$H$2:$H$750,SMALL(Data!$S$2:$S$750,484))),"")</f>
        <v>23</v>
      </c>
      <c r="J590" s="58">
        <f t="array" ref="J590">IFERROR(INDEX(Data!$I$2:$I$750,SMALL(Data!$S$2:$S$750,484)),"")</f>
        <v>46388</v>
      </c>
      <c r="K590" s="56" t="str">
        <f t="array" ref="K590">IFERROR(INDEX(Data!$J$2:$J$750,SMALL(Data!$S$2:$S$750,484)),"")</f>
        <v>Not Paid</v>
      </c>
      <c r="L590" s="56" t="str">
        <f t="array" ref="L590">IFERROR(INDEX(Data!$K$2:$K$750,SMALL(Data!$S$2:$S$750,484)),"")</f>
        <v>Pending</v>
      </c>
      <c r="M590" s="48" t="s">
        <v>366</v>
      </c>
      <c r="N590" s="48">
        <f>SUMIFS(Data!D2:D750,Data!A2:A750,M590,Data!Q2:Q750,1)</f>
        <v>0</v>
      </c>
      <c r="O590" s="61">
        <f t="shared" si="1"/>
        <v>0.0000059</v>
      </c>
    </row>
    <row r="591" ht="15.75" customHeight="1">
      <c r="B591" s="53" t="str">
        <f t="array" ref="B591">IFERROR(INDEX(Data!$A$2:$A$750,SMALL(Data!$S$2:$S$750,485)),"")</f>
        <v>S02293 - 324-STELLA </v>
      </c>
      <c r="C591" s="53" t="str">
        <f t="array" ref="C591">IFERROR(IF(INDEX(Data!$B$2:$B$750,SMALL(Data!$S$2:$S$750,485))=0,"",INDEX(Data!$B$2:$B$750,SMALL(Data!$S$2:$S$750,485))),"")</f>
        <v/>
      </c>
      <c r="D591" s="53" t="str">
        <f t="array" ref="D591">IFERROR(INDEX(Data!$C$2:$C$750,SMALL(Data!$S$2:$S$750,485)),"")</f>
        <v>QR Scanner</v>
      </c>
      <c r="E591" s="53">
        <f t="array" ref="E591">IFERROR(IF(INDEX(Data!$D$2:$D$750,SMALL(Data!$S$2:$S$750,485))=0,"",INDEX(Data!$D$2:$D$750,SMALL(Data!$S$2:$S$750,485))),"")</f>
        <v>15</v>
      </c>
      <c r="F591" s="54">
        <f t="array" ref="F591">IFERROR(IF(INDEX(Data!$E$2:$E$750,SMALL(Data!$S$2:$S$750,485))=0,"",INDEX(Data!$E$2:$E$750,SMALL(Data!$S$2:$S$750,485))),"")</f>
        <v>25</v>
      </c>
      <c r="G591" s="54">
        <f t="array" ref="G591">IFERROR(INDEX(Data!$F$2:$F$750,SMALL(Data!$S$2:$S$750,485)),"")</f>
        <v>375</v>
      </c>
      <c r="H591" s="55">
        <f t="array" ref="H591">IFERROR(IF(INDEX(Data!$G$2:$G$750,SMALL(Data!$S$2:$S$750,485))=0,"",INDEX(Data!$G$2:$G$750,SMALL(Data!$S$2:$S$750,485))),"")</f>
        <v>46228</v>
      </c>
      <c r="I591" s="53">
        <f t="array" ref="I591">IFERROR(IF(INDEX(Data!$H$2:$H$750,SMALL(Data!$S$2:$S$750,485))=0,"",INDEX(Data!$H$2:$H$750,SMALL(Data!$S$2:$S$750,485))),"")</f>
        <v>21</v>
      </c>
      <c r="J591" s="55">
        <f t="array" ref="J591">IFERROR(INDEX(Data!$I$2:$I$750,SMALL(Data!$S$2:$S$750,485)),"")</f>
        <v>46375</v>
      </c>
      <c r="K591" s="53" t="str">
        <f t="array" ref="K591">IFERROR(INDEX(Data!$J$2:$J$750,SMALL(Data!$S$2:$S$750,485)),"")</f>
        <v>Not Paid</v>
      </c>
      <c r="L591" s="53" t="str">
        <f t="array" ref="L591">IFERROR(INDEX(Data!$K$2:$K$750,SMALL(Data!$S$2:$S$750,485)),"")</f>
        <v>Pending</v>
      </c>
      <c r="M591" s="48" t="s">
        <v>367</v>
      </c>
      <c r="N591" s="48">
        <f>SUMIFS(Data!D2:D750,Data!A2:A750,M591,Data!Q2:Q750,1)</f>
        <v>6</v>
      </c>
      <c r="O591" s="61">
        <f t="shared" si="1"/>
        <v>6.00000591</v>
      </c>
    </row>
    <row r="592" ht="15.75" customHeight="1">
      <c r="B592" s="56" t="str">
        <f t="array" ref="B592">IFERROR(INDEX(Data!$A$2:$A$750,SMALL(Data!$S$2:$S$750,486)),"")</f>
        <v>S02293 - 324-STELLA </v>
      </c>
      <c r="C592" s="56" t="str">
        <f t="array" ref="C592">IFERROR(IF(INDEX(Data!$B$2:$B$750,SMALL(Data!$S$2:$S$750,486))=0,"",INDEX(Data!$B$2:$B$750,SMALL(Data!$S$2:$S$750,486))),"")</f>
        <v/>
      </c>
      <c r="D592" s="56" t="str">
        <f t="array" ref="D592">IFERROR(INDEX(Data!$C$2:$C$750,SMALL(Data!$S$2:$S$750,486)),"")</f>
        <v>max 50.10</v>
      </c>
      <c r="E592" s="56">
        <f t="array" ref="E592">IFERROR(IF(INDEX(Data!$D$2:$D$750,SMALL(Data!$S$2:$S$750,486))=0,"",INDEX(Data!$D$2:$D$750,SMALL(Data!$S$2:$S$750,486))),"")</f>
        <v>2</v>
      </c>
      <c r="F592" s="57">
        <f t="array" ref="F592">IFERROR(IF(INDEX(Data!$E$2:$E$750,SMALL(Data!$S$2:$S$750,486))=0,"",INDEX(Data!$E$2:$E$750,SMALL(Data!$S$2:$S$750,486))),"")</f>
        <v>245</v>
      </c>
      <c r="G592" s="57">
        <f t="array" ref="G592">IFERROR(INDEX(Data!$F$2:$F$750,SMALL(Data!$S$2:$S$750,486)),"")</f>
        <v>490</v>
      </c>
      <c r="H592" s="58">
        <f t="array" ref="H592">IFERROR(IF(INDEX(Data!$G$2:$G$750,SMALL(Data!$S$2:$S$750,486))=0,"",INDEX(Data!$G$2:$G$750,SMALL(Data!$S$2:$S$750,486))),"")</f>
        <v>46229</v>
      </c>
      <c r="I592" s="56">
        <f t="array" ref="I592">IFERROR(IF(INDEX(Data!$H$2:$H$750,SMALL(Data!$S$2:$S$750,486))=0,"",INDEX(Data!$H$2:$H$750,SMALL(Data!$S$2:$S$750,486))),"")</f>
        <v>24</v>
      </c>
      <c r="J592" s="58">
        <f t="array" ref="J592">IFERROR(INDEX(Data!$I$2:$I$750,SMALL(Data!$S$2:$S$750,486)),"")</f>
        <v>46397</v>
      </c>
      <c r="K592" s="56" t="str">
        <f t="array" ref="K592">IFERROR(INDEX(Data!$J$2:$J$750,SMALL(Data!$S$2:$S$750,486)),"")</f>
        <v>Not Paid</v>
      </c>
      <c r="L592" s="56" t="str">
        <f t="array" ref="L592">IFERROR(INDEX(Data!$K$2:$K$750,SMALL(Data!$S$2:$S$750,486)),"")</f>
        <v>Pending</v>
      </c>
      <c r="M592" s="48" t="s">
        <v>369</v>
      </c>
      <c r="N592" s="48">
        <f>SUMIFS(Data!D2:D750,Data!A2:A750,M592,Data!Q2:Q750,1)</f>
        <v>11021</v>
      </c>
      <c r="O592" s="61">
        <f t="shared" si="1"/>
        <v>11021.00001</v>
      </c>
    </row>
    <row r="593" ht="15.75" customHeight="1">
      <c r="B593" s="53" t="str">
        <f t="array" ref="B593">IFERROR(INDEX(Data!$A$2:$A$750,SMALL(Data!$S$2:$S$750,487)),"")</f>
        <v>S02293 - 324-STELLA </v>
      </c>
      <c r="C593" s="53" t="str">
        <f t="array" ref="C593">IFERROR(IF(INDEX(Data!$B$2:$B$750,SMALL(Data!$S$2:$S$750,487))=0,"",INDEX(Data!$B$2:$B$750,SMALL(Data!$S$2:$S$750,487))),"")</f>
        <v/>
      </c>
      <c r="D593" s="53" t="str">
        <f t="array" ref="D593">IFERROR(INDEX(Data!$C$2:$C$750,SMALL(Data!$S$2:$S$750,487)),"")</f>
        <v>MEX-430 Magnetic lock &amp; braket</v>
      </c>
      <c r="E593" s="53">
        <f t="array" ref="E593">IFERROR(IF(INDEX(Data!$D$2:$D$750,SMALL(Data!$S$2:$S$750,487))=0,"",INDEX(Data!$D$2:$D$750,SMALL(Data!$S$2:$S$750,487))),"")</f>
        <v>3</v>
      </c>
      <c r="F593" s="54">
        <f t="array" ref="F593">IFERROR(IF(INDEX(Data!$E$2:$E$750,SMALL(Data!$S$2:$S$750,487))=0,"",INDEX(Data!$E$2:$E$750,SMALL(Data!$S$2:$S$750,487))),"")</f>
        <v>2555</v>
      </c>
      <c r="G593" s="54">
        <f t="array" ref="G593">IFERROR(INDEX(Data!$F$2:$F$750,SMALL(Data!$S$2:$S$750,487)),"")</f>
        <v>7665</v>
      </c>
      <c r="H593" s="55">
        <f t="array" ref="H593">IFERROR(IF(INDEX(Data!$G$2:$G$750,SMALL(Data!$S$2:$S$750,487))=0,"",INDEX(Data!$G$2:$G$750,SMALL(Data!$S$2:$S$750,487))),"")</f>
        <v>46230</v>
      </c>
      <c r="I593" s="53">
        <f t="array" ref="I593">IFERROR(IF(INDEX(Data!$H$2:$H$750,SMALL(Data!$S$2:$S$750,487))=0,"",INDEX(Data!$H$2:$H$750,SMALL(Data!$S$2:$S$750,487))),"")</f>
        <v>22</v>
      </c>
      <c r="J593" s="55">
        <f t="array" ref="J593">IFERROR(INDEX(Data!$I$2:$I$750,SMALL(Data!$S$2:$S$750,487)),"")</f>
        <v>46384</v>
      </c>
      <c r="K593" s="53" t="str">
        <f t="array" ref="K593">IFERROR(INDEX(Data!$J$2:$J$750,SMALL(Data!$S$2:$S$750,487)),"")</f>
        <v>Not Paid</v>
      </c>
      <c r="L593" s="53" t="str">
        <f t="array" ref="L593">IFERROR(INDEX(Data!$K$2:$K$750,SMALL(Data!$S$2:$S$750,487)),"")</f>
        <v>Pending</v>
      </c>
      <c r="M593" s="48" t="s">
        <v>370</v>
      </c>
      <c r="N593" s="48">
        <f>SUMIFS(Data!D2:D750,Data!A2:A750,M593,Data!Q2:Q750,1)</f>
        <v>11</v>
      </c>
      <c r="O593" s="61">
        <f t="shared" si="1"/>
        <v>11.00000593</v>
      </c>
    </row>
    <row r="594" ht="15.75" customHeight="1">
      <c r="B594" s="56" t="str">
        <f t="array" ref="B594">IFERROR(INDEX(Data!$A$2:$A$750,SMALL(Data!$S$2:$S$750,488)),"")</f>
        <v>S02293 - 324-STELLA </v>
      </c>
      <c r="C594" s="56" t="str">
        <f t="array" ref="C594">IFERROR(IF(INDEX(Data!$B$2:$B$750,SMALL(Data!$S$2:$S$750,488))=0,"",INDEX(Data!$B$2:$B$750,SMALL(Data!$S$2:$S$750,488))),"")</f>
        <v/>
      </c>
      <c r="D594" s="56" t="str">
        <f t="array" ref="D594">IFERROR(INDEX(Data!$C$2:$C$750,SMALL(Data!$S$2:$S$750,488)),"")</f>
        <v>HF card printed</v>
      </c>
      <c r="E594" s="56">
        <f t="array" ref="E594">IFERROR(IF(INDEX(Data!$D$2:$D$750,SMALL(Data!$S$2:$S$750,488))=0,"",INDEX(Data!$D$2:$D$750,SMALL(Data!$S$2:$S$750,488))),"")</f>
        <v>1</v>
      </c>
      <c r="F594" s="57">
        <f t="array" ref="F594">IFERROR(IF(INDEX(Data!$E$2:$E$750,SMALL(Data!$S$2:$S$750,488))=0,"",INDEX(Data!$E$2:$E$750,SMALL(Data!$S$2:$S$750,488))),"")</f>
        <v>255</v>
      </c>
      <c r="G594" s="57">
        <f t="array" ref="G594">IFERROR(INDEX(Data!$F$2:$F$750,SMALL(Data!$S$2:$S$750,488)),"")</f>
        <v>255</v>
      </c>
      <c r="H594" s="58">
        <f t="array" ref="H594">IFERROR(IF(INDEX(Data!$G$2:$G$750,SMALL(Data!$S$2:$S$750,488))=0,"",INDEX(Data!$G$2:$G$750,SMALL(Data!$S$2:$S$750,488))),"")</f>
        <v>46231</v>
      </c>
      <c r="I594" s="56">
        <f t="array" ref="I594">IFERROR(IF(INDEX(Data!$H$2:$H$750,SMALL(Data!$S$2:$S$750,488))=0,"",INDEX(Data!$H$2:$H$750,SMALL(Data!$S$2:$S$750,488))),"")</f>
        <v>23</v>
      </c>
      <c r="J594" s="58">
        <f t="array" ref="J594">IFERROR(INDEX(Data!$I$2:$I$750,SMALL(Data!$S$2:$S$750,488)),"")</f>
        <v>46392</v>
      </c>
      <c r="K594" s="56" t="str">
        <f t="array" ref="K594">IFERROR(INDEX(Data!$J$2:$J$750,SMALL(Data!$S$2:$S$750,488)),"")</f>
        <v>Not Paid</v>
      </c>
      <c r="L594" s="56" t="str">
        <f t="array" ref="L594">IFERROR(INDEX(Data!$K$2:$K$750,SMALL(Data!$S$2:$S$750,488)),"")</f>
        <v>Pending</v>
      </c>
      <c r="M594" s="48" t="s">
        <v>372</v>
      </c>
      <c r="N594" s="48">
        <f>SUMIFS(Data!D2:D750,Data!A2:A750,M594,Data!Q2:Q750,1)</f>
        <v>8500</v>
      </c>
      <c r="O594" s="61">
        <f t="shared" si="1"/>
        <v>8500.000006</v>
      </c>
    </row>
    <row r="595" ht="15.75" customHeight="1">
      <c r="B595" s="53" t="str">
        <f t="array" ref="B595">IFERROR(INDEX(Data!$A$2:$A$750,SMALL(Data!$S$2:$S$750,489)),"")</f>
        <v>S02309 - 1116-Nacita</v>
      </c>
      <c r="C595" s="53" t="str">
        <f t="array" ref="C595">IFERROR(IF(INDEX(Data!$B$2:$B$750,SMALL(Data!$S$2:$S$750,489))=0,"",INDEX(Data!$B$2:$B$750,SMALL(Data!$S$2:$S$750,489))),"")</f>
        <v/>
      </c>
      <c r="D595" s="53" t="str">
        <f t="array" ref="D595">IFERROR(INDEX(Data!$C$2:$C$750,SMALL(Data!$S$2:$S$750,489)),"")</f>
        <v>dogbone printed</v>
      </c>
      <c r="E595" s="53">
        <f t="array" ref="E595">IFERROR(IF(INDEX(Data!$D$2:$D$750,SMALL(Data!$S$2:$S$750,489))=0,"",INDEX(Data!$D$2:$D$750,SMALL(Data!$S$2:$S$750,489))),"")</f>
        <v>3700</v>
      </c>
      <c r="F595" s="54">
        <f t="array" ref="F595">IFERROR(IF(INDEX(Data!$E$2:$E$750,SMALL(Data!$S$2:$S$750,489))=0,"",INDEX(Data!$E$2:$E$750,SMALL(Data!$S$2:$S$750,489))),"")</f>
        <v>45</v>
      </c>
      <c r="G595" s="54">
        <f t="array" ref="G595">IFERROR(INDEX(Data!$F$2:$F$750,SMALL(Data!$S$2:$S$750,489)),"")</f>
        <v>166500</v>
      </c>
      <c r="H595" s="55">
        <f t="array" ref="H595">IFERROR(IF(INDEX(Data!$G$2:$G$750,SMALL(Data!$S$2:$S$750,489))=0,"",INDEX(Data!$G$2:$G$750,SMALL(Data!$S$2:$S$750,489))),"")</f>
        <v>46232</v>
      </c>
      <c r="I595" s="53">
        <f t="array" ref="I595">IFERROR(IF(INDEX(Data!$H$2:$H$750,SMALL(Data!$S$2:$S$750,489))=0,"",INDEX(Data!$H$2:$H$750,SMALL(Data!$S$2:$S$750,489))),"")</f>
        <v>21</v>
      </c>
      <c r="J595" s="55">
        <f t="array" ref="J595">IFERROR(INDEX(Data!$I$2:$I$750,SMALL(Data!$S$2:$S$750,489)),"")</f>
        <v>46379</v>
      </c>
      <c r="K595" s="53" t="str">
        <f t="array" ref="K595">IFERROR(INDEX(Data!$J$2:$J$750,SMALL(Data!$S$2:$S$750,489)),"")</f>
        <v>Not Paid</v>
      </c>
      <c r="L595" s="53" t="str">
        <f t="array" ref="L595">IFERROR(INDEX(Data!$K$2:$K$750,SMALL(Data!$S$2:$S$750,489)),"")</f>
        <v>Pending</v>
      </c>
      <c r="M595" s="48" t="s">
        <v>374</v>
      </c>
      <c r="N595" s="48">
        <f>SUMIFS(Data!D2:D750,Data!A2:A750,M595,Data!Q2:Q750,1)</f>
        <v>60019</v>
      </c>
      <c r="O595" s="61">
        <f t="shared" si="1"/>
        <v>60019.00001</v>
      </c>
    </row>
    <row r="596" ht="15.75" customHeight="1">
      <c r="B596" s="56" t="str">
        <f t="array" ref="B596">IFERROR(INDEX(Data!$A$2:$A$750,SMALL(Data!$S$2:$S$750,490)),"")</f>
        <v>S02309 - 1116-Nacita</v>
      </c>
      <c r="C596" s="56" t="str">
        <f t="array" ref="C596">IFERROR(IF(INDEX(Data!$B$2:$B$750,SMALL(Data!$S$2:$S$750,490))=0,"",INDEX(Data!$B$2:$B$750,SMALL(Data!$S$2:$S$750,490))),"")</f>
        <v/>
      </c>
      <c r="D596" s="56" t="str">
        <f t="array" ref="D596">IFERROR(INDEX(Data!$C$2:$C$750,SMALL(Data!$S$2:$S$750,490)),"")</f>
        <v>EU- Universal tags-blank</v>
      </c>
      <c r="E596" s="56">
        <f t="array" ref="E596">IFERROR(IF(INDEX(Data!$D$2:$D$750,SMALL(Data!$S$2:$S$750,490))=0,"",INDEX(Data!$D$2:$D$750,SMALL(Data!$S$2:$S$750,490))),"")</f>
        <v>1000</v>
      </c>
      <c r="F596" s="57">
        <f t="array" ref="F596">IFERROR(IF(INDEX(Data!$E$2:$E$750,SMALL(Data!$S$2:$S$750,490))=0,"",INDEX(Data!$E$2:$E$750,SMALL(Data!$S$2:$S$750,490))),"")</f>
        <v>36</v>
      </c>
      <c r="G596" s="57">
        <f t="array" ref="G596">IFERROR(INDEX(Data!$F$2:$F$750,SMALL(Data!$S$2:$S$750,490)),"")</f>
        <v>36000</v>
      </c>
      <c r="H596" s="58">
        <f t="array" ref="H596">IFERROR(IF(INDEX(Data!$G$2:$G$750,SMALL(Data!$S$2:$S$750,490))=0,"",INDEX(Data!$G$2:$G$750,SMALL(Data!$S$2:$S$750,490))),"")</f>
        <v>46233</v>
      </c>
      <c r="I596" s="56">
        <f t="array" ref="I596">IFERROR(IF(INDEX(Data!$H$2:$H$750,SMALL(Data!$S$2:$S$750,490))=0,"",INDEX(Data!$H$2:$H$750,SMALL(Data!$S$2:$S$750,490))),"")</f>
        <v>24</v>
      </c>
      <c r="J596" s="58">
        <f t="array" ref="J596">IFERROR(INDEX(Data!$I$2:$I$750,SMALL(Data!$S$2:$S$750,490)),"")</f>
        <v>46401</v>
      </c>
      <c r="K596" s="56" t="str">
        <f t="array" ref="K596">IFERROR(INDEX(Data!$J$2:$J$750,SMALL(Data!$S$2:$S$750,490)),"")</f>
        <v>Not Paid</v>
      </c>
      <c r="L596" s="56" t="str">
        <f t="array" ref="L596">IFERROR(INDEX(Data!$K$2:$K$750,SMALL(Data!$S$2:$S$750,490)),"")</f>
        <v>Pending</v>
      </c>
      <c r="M596" s="48" t="s">
        <v>376</v>
      </c>
      <c r="N596" s="48">
        <f>SUMIFS(Data!D2:D750,Data!A2:A750,M596,Data!Q2:Q750,1)</f>
        <v>122</v>
      </c>
      <c r="O596" s="61">
        <f t="shared" si="1"/>
        <v>122.000006</v>
      </c>
    </row>
    <row r="597" ht="15.75" customHeight="1">
      <c r="B597" s="53" t="str">
        <f t="array" ref="B597">IFERROR(INDEX(Data!$A$2:$A$750,SMALL(Data!$S$2:$S$750,491)),"")</f>
        <v>S02309 - 1116-Nacita</v>
      </c>
      <c r="C597" s="53" t="str">
        <f t="array" ref="C597">IFERROR(IF(INDEX(Data!$B$2:$B$750,SMALL(Data!$S$2:$S$750,491))=0,"",INDEX(Data!$B$2:$B$750,SMALL(Data!$S$2:$S$750,491))),"")</f>
        <v/>
      </c>
      <c r="D597" s="53" t="str">
        <f t="array" ref="D597">IFERROR(INDEX(Data!$C$2:$C$750,SMALL(Data!$S$2:$S$750,491)),"")</f>
        <v>M-Crown RFID Hard Tags</v>
      </c>
      <c r="E597" s="53">
        <f t="array" ref="E597">IFERROR(IF(INDEX(Data!$D$2:$D$750,SMALL(Data!$S$2:$S$750,491))=0,"",INDEX(Data!$D$2:$D$750,SMALL(Data!$S$2:$S$750,491))),"")</f>
        <v>300</v>
      </c>
      <c r="F597" s="54">
        <f t="array" ref="F597">IFERROR(IF(INDEX(Data!$E$2:$E$750,SMALL(Data!$S$2:$S$750,491))=0,"",INDEX(Data!$E$2:$E$750,SMALL(Data!$S$2:$S$750,491))),"")</f>
        <v>96</v>
      </c>
      <c r="G597" s="54">
        <f t="array" ref="G597">IFERROR(INDEX(Data!$F$2:$F$750,SMALL(Data!$S$2:$S$750,491)),"")</f>
        <v>28800</v>
      </c>
      <c r="H597" s="55">
        <f t="array" ref="H597">IFERROR(IF(INDEX(Data!$G$2:$G$750,SMALL(Data!$S$2:$S$750,491))=0,"",INDEX(Data!$G$2:$G$750,SMALL(Data!$S$2:$S$750,491))),"")</f>
        <v>46234</v>
      </c>
      <c r="I597" s="53">
        <f t="array" ref="I597">IFERROR(IF(INDEX(Data!$H$2:$H$750,SMALL(Data!$S$2:$S$750,491))=0,"",INDEX(Data!$H$2:$H$750,SMALL(Data!$S$2:$S$750,491))),"")</f>
        <v>20</v>
      </c>
      <c r="J597" s="55">
        <f t="array" ref="J597">IFERROR(INDEX(Data!$I$2:$I$750,SMALL(Data!$S$2:$S$750,491)),"")</f>
        <v>46374</v>
      </c>
      <c r="K597" s="53" t="str">
        <f t="array" ref="K597">IFERROR(INDEX(Data!$J$2:$J$750,SMALL(Data!$S$2:$S$750,491)),"")</f>
        <v>Not Paid</v>
      </c>
      <c r="L597" s="53" t="str">
        <f t="array" ref="L597">IFERROR(INDEX(Data!$K$2:$K$750,SMALL(Data!$S$2:$S$750,491)),"")</f>
        <v>Pending</v>
      </c>
      <c r="M597" s="48" t="s">
        <v>378</v>
      </c>
      <c r="N597" s="48">
        <f>SUMIFS(Data!D2:D750,Data!A2:A750,M597,Data!Q2:Q750,1)</f>
        <v>5</v>
      </c>
      <c r="O597" s="61">
        <f t="shared" si="1"/>
        <v>5.00000597</v>
      </c>
    </row>
    <row r="598" ht="15.75" customHeight="1">
      <c r="B598" s="56" t="str">
        <f t="array" ref="B598">IFERROR(INDEX(Data!$A$2:$A$750,SMALL(Data!$S$2:$S$750,492)),"")</f>
        <v>S02309 - 1116-Nacita</v>
      </c>
      <c r="C598" s="56" t="str">
        <f t="array" ref="C598">IFERROR(IF(INDEX(Data!$B$2:$B$750,SMALL(Data!$S$2:$S$750,492))=0,"",INDEX(Data!$B$2:$B$750,SMALL(Data!$S$2:$S$750,492))),"")</f>
        <v/>
      </c>
      <c r="D598" s="56" t="str">
        <f t="array" ref="D598">IFERROR(INDEX(Data!$C$2:$C$750,SMALL(Data!$S$2:$S$750,492)),"")</f>
        <v>AT 909-rent</v>
      </c>
      <c r="E598" s="56">
        <f t="array" ref="E598">IFERROR(IF(INDEX(Data!$D$2:$D$750,SMALL(Data!$S$2:$S$750,492))=0,"",INDEX(Data!$D$2:$D$750,SMALL(Data!$S$2:$S$750,492))),"")</f>
        <v>2</v>
      </c>
      <c r="F598" s="57">
        <f t="array" ref="F598">IFERROR(IF(INDEX(Data!$E$2:$E$750,SMALL(Data!$S$2:$S$750,492))=0,"",INDEX(Data!$E$2:$E$750,SMALL(Data!$S$2:$S$750,492))),"")</f>
        <v>8</v>
      </c>
      <c r="G598" s="57">
        <f t="array" ref="G598">IFERROR(INDEX(Data!$F$2:$F$750,SMALL(Data!$S$2:$S$750,492)),"")</f>
        <v>16</v>
      </c>
      <c r="H598" s="58">
        <f t="array" ref="H598">IFERROR(IF(INDEX(Data!$G$2:$G$750,SMALL(Data!$S$2:$S$750,492))=0,"",INDEX(Data!$G$2:$G$750,SMALL(Data!$S$2:$S$750,492))),"")</f>
        <v>46235</v>
      </c>
      <c r="I598" s="56">
        <f t="array" ref="I598">IFERROR(IF(INDEX(Data!$H$2:$H$750,SMALL(Data!$S$2:$S$750,492))=0,"",INDEX(Data!$H$2:$H$750,SMALL(Data!$S$2:$S$750,492))),"")</f>
        <v>16</v>
      </c>
      <c r="J598" s="58">
        <f t="array" ref="J598">IFERROR(INDEX(Data!$I$2:$I$750,SMALL(Data!$S$2:$S$750,492)),"")</f>
        <v>46347</v>
      </c>
      <c r="K598" s="56" t="str">
        <f t="array" ref="K598">IFERROR(INDEX(Data!$J$2:$J$750,SMALL(Data!$S$2:$S$750,492)),"")</f>
        <v>Not Paid</v>
      </c>
      <c r="L598" s="56" t="str">
        <f t="array" ref="L598">IFERROR(INDEX(Data!$K$2:$K$750,SMALL(Data!$S$2:$S$750,492)),"")</f>
        <v>Pending</v>
      </c>
      <c r="M598" s="48" t="s">
        <v>380</v>
      </c>
      <c r="N598" s="48">
        <f>SUMIFS(Data!D2:D750,Data!A2:A750,M598,Data!Q2:Q750,1)</f>
        <v>2000</v>
      </c>
      <c r="O598" s="61">
        <f t="shared" si="1"/>
        <v>2000.000006</v>
      </c>
    </row>
    <row r="599" ht="15.75" customHeight="1">
      <c r="B599" s="53" t="str">
        <f t="array" ref="B599">IFERROR(INDEX(Data!$A$2:$A$750,SMALL(Data!$S$2:$S$750,493)),"")</f>
        <v>S02140 - 1189 - Hassan Allam Properties (HQ)</v>
      </c>
      <c r="C599" s="53" t="str">
        <f t="array" ref="C599">IFERROR(IF(INDEX(Data!$B$2:$B$750,SMALL(Data!$S$2:$S$750,493))=0,"",INDEX(Data!$B$2:$B$750,SMALL(Data!$S$2:$S$750,493))),"")</f>
        <v/>
      </c>
      <c r="D599" s="53" t="str">
        <f t="array" ref="D599">IFERROR(INDEX(Data!$C$2:$C$750,SMALL(Data!$S$2:$S$750,493)),"")</f>
        <v>HF card- printed</v>
      </c>
      <c r="E599" s="53">
        <f t="array" ref="E599">IFERROR(IF(INDEX(Data!$D$2:$D$750,SMALL(Data!$S$2:$S$750,493))=0,"",INDEX(Data!$D$2:$D$750,SMALL(Data!$S$2:$S$750,493))),"")</f>
        <v>100</v>
      </c>
      <c r="F599" s="54">
        <f t="array" ref="F599">IFERROR(IF(INDEX(Data!$E$2:$E$750,SMALL(Data!$S$2:$S$750,493))=0,"",INDEX(Data!$E$2:$E$750,SMALL(Data!$S$2:$S$750,493))),"")</f>
        <v>5</v>
      </c>
      <c r="G599" s="54">
        <f t="array" ref="G599">IFERROR(INDEX(Data!$F$2:$F$750,SMALL(Data!$S$2:$S$750,493)),"")</f>
        <v>500</v>
      </c>
      <c r="H599" s="55">
        <f t="array" ref="H599">IFERROR(IF(INDEX(Data!$G$2:$G$750,SMALL(Data!$S$2:$S$750,493))=0,"",INDEX(Data!$G$2:$G$750,SMALL(Data!$S$2:$S$750,493))),"")</f>
        <v>46236</v>
      </c>
      <c r="I599" s="53">
        <f t="array" ref="I599">IFERROR(IF(INDEX(Data!$H$2:$H$750,SMALL(Data!$S$2:$S$750,493))=0,"",INDEX(Data!$H$2:$H$750,SMALL(Data!$S$2:$S$750,493))),"")</f>
        <v>16</v>
      </c>
      <c r="J599" s="55">
        <f t="array" ref="J599">IFERROR(INDEX(Data!$I$2:$I$750,SMALL(Data!$S$2:$S$750,493)),"")</f>
        <v>46348</v>
      </c>
      <c r="K599" s="53" t="str">
        <f t="array" ref="K599">IFERROR(INDEX(Data!$J$2:$J$750,SMALL(Data!$S$2:$S$750,493)),"")</f>
        <v>Not Paid</v>
      </c>
      <c r="L599" s="53" t="str">
        <f t="array" ref="L599">IFERROR(INDEX(Data!$K$2:$K$750,SMALL(Data!$S$2:$S$750,493)),"")</f>
        <v>Pending</v>
      </c>
      <c r="M599" s="48" t="s">
        <v>382</v>
      </c>
      <c r="N599" s="48">
        <f>SUMIFS(Data!D2:D750,Data!A2:A750,M599,Data!Q2:Q750,1)</f>
        <v>2</v>
      </c>
      <c r="O599" s="61">
        <f t="shared" si="1"/>
        <v>2.00000599</v>
      </c>
    </row>
    <row r="600" ht="15.75" customHeight="1">
      <c r="B600" s="56" t="str">
        <f t="array" ref="B600">IFERROR(INDEX(Data!$A$2:$A$750,SMALL(Data!$S$2:$S$750,494)),"")</f>
        <v>S01690 - 0279 - ElNakheel Compound</v>
      </c>
      <c r="C600" s="56" t="str">
        <f t="array" ref="C600">IFERROR(IF(INDEX(Data!$B$2:$B$750,SMALL(Data!$S$2:$S$750,494))=0,"",INDEX(Data!$B$2:$B$750,SMALL(Data!$S$2:$S$750,494))),"")</f>
        <v>Metalcraft</v>
      </c>
      <c r="D600" s="56" t="str">
        <f t="array" ref="D600">IFERROR(INDEX(Data!$C$2:$C$750,SMALL(Data!$S$2:$S$750,494)),"")</f>
        <v>Destructive Windshield Tags</v>
      </c>
      <c r="E600" s="56">
        <f t="array" ref="E600">IFERROR(IF(INDEX(Data!$D$2:$D$750,SMALL(Data!$S$2:$S$750,494))=0,"",INDEX(Data!$D$2:$D$750,SMALL(Data!$S$2:$S$750,494))),"")</f>
        <v>3000</v>
      </c>
      <c r="F600" s="57">
        <f t="array" ref="F600">IFERROR(IF(INDEX(Data!$E$2:$E$750,SMALL(Data!$S$2:$S$750,494))=0,"",INDEX(Data!$E$2:$E$750,SMALL(Data!$S$2:$S$750,494))),"")</f>
        <v>4</v>
      </c>
      <c r="G600" s="57">
        <f t="array" ref="G600">IFERROR(INDEX(Data!$F$2:$F$750,SMALL(Data!$S$2:$S$750,494)),"")</f>
        <v>12000</v>
      </c>
      <c r="H600" s="58">
        <f t="array" ref="H600">IFERROR(IF(INDEX(Data!$G$2:$G$750,SMALL(Data!$S$2:$S$750,494))=0,"",INDEX(Data!$G$2:$G$750,SMALL(Data!$S$2:$S$750,494))),"")</f>
        <v>46237</v>
      </c>
      <c r="I600" s="56">
        <f t="array" ref="I600">IFERROR(IF(INDEX(Data!$H$2:$H$750,SMALL(Data!$S$2:$S$750,494))=0,"",INDEX(Data!$H$2:$H$750,SMALL(Data!$S$2:$S$750,494))),"")</f>
        <v>19</v>
      </c>
      <c r="J600" s="58">
        <f t="array" ref="J600">IFERROR(INDEX(Data!$I$2:$I$750,SMALL(Data!$S$2:$S$750,494)),"")</f>
        <v>46370</v>
      </c>
      <c r="K600" s="56" t="str">
        <f t="array" ref="K600">IFERROR(INDEX(Data!$J$2:$J$750,SMALL(Data!$S$2:$S$750,494)),"")</f>
        <v>Not Paid</v>
      </c>
      <c r="L600" s="56" t="str">
        <f t="array" ref="L600">IFERROR(INDEX(Data!$K$2:$K$750,SMALL(Data!$S$2:$S$750,494)),"")</f>
        <v>Pending</v>
      </c>
      <c r="M600" s="48" t="s">
        <v>385</v>
      </c>
      <c r="N600" s="48">
        <f>SUMIFS(Data!D2:D750,Data!A2:A750,M600,Data!Q2:Q750,1)</f>
        <v>23</v>
      </c>
      <c r="O600" s="61">
        <f t="shared" si="1"/>
        <v>23.000006</v>
      </c>
    </row>
    <row r="601" ht="15.75" customHeight="1">
      <c r="B601" s="53" t="str">
        <f t="array" ref="B601">IFERROR(INDEX(Data!$A$2:$A$750,SMALL(Data!$S$2:$S$750,495)),"")</f>
        <v>S02331 - 1495 - Select Jewelry</v>
      </c>
      <c r="C601" s="53" t="str">
        <f t="array" ref="C601">IFERROR(IF(INDEX(Data!$B$2:$B$750,SMALL(Data!$S$2:$S$750,495))=0,"",INDEX(Data!$B$2:$B$750,SMALL(Data!$S$2:$S$750,495))),"")</f>
        <v/>
      </c>
      <c r="D601" s="53" t="str">
        <f t="array" ref="D601">IFERROR(INDEX(Data!$C$2:$C$750,SMALL(Data!$S$2:$S$750,495)),"")</f>
        <v>[RC9017-4] UHF jewelry tag with NXP Ucode 8</v>
      </c>
      <c r="E601" s="53">
        <f t="array" ref="E601">IFERROR(IF(INDEX(Data!$D$2:$D$750,SMALL(Data!$S$2:$S$750,495))=0,"",INDEX(Data!$D$2:$D$750,SMALL(Data!$S$2:$S$750,495))),"")</f>
        <v>5000</v>
      </c>
      <c r="F601" s="54">
        <f t="array" ref="F601">IFERROR(IF(INDEX(Data!$E$2:$E$750,SMALL(Data!$S$2:$S$750,495))=0,"",INDEX(Data!$E$2:$E$750,SMALL(Data!$S$2:$S$750,495))),"")</f>
        <v>2</v>
      </c>
      <c r="G601" s="54">
        <f t="array" ref="G601">IFERROR(INDEX(Data!$F$2:$F$750,SMALL(Data!$S$2:$S$750,495)),"")</f>
        <v>10000</v>
      </c>
      <c r="H601" s="55">
        <f t="array" ref="H601">IFERROR(IF(INDEX(Data!$G$2:$G$750,SMALL(Data!$S$2:$S$750,495))=0,"",INDEX(Data!$G$2:$G$750,SMALL(Data!$S$2:$S$750,495))),"")</f>
        <v>46238</v>
      </c>
      <c r="I601" s="53">
        <f t="array" ref="I601">IFERROR(IF(INDEX(Data!$H$2:$H$750,SMALL(Data!$S$2:$S$750,495))=0,"",INDEX(Data!$H$2:$H$750,SMALL(Data!$S$2:$S$750,495))),"")</f>
        <v>20</v>
      </c>
      <c r="J601" s="55">
        <f t="array" ref="J601">IFERROR(INDEX(Data!$I$2:$I$750,SMALL(Data!$S$2:$S$750,495)),"")</f>
        <v>46378</v>
      </c>
      <c r="K601" s="53" t="str">
        <f t="array" ref="K601">IFERROR(INDEX(Data!$J$2:$J$750,SMALL(Data!$S$2:$S$750,495)),"")</f>
        <v>Not Paid</v>
      </c>
      <c r="L601" s="53" t="str">
        <f t="array" ref="L601">IFERROR(INDEX(Data!$K$2:$K$750,SMALL(Data!$S$2:$S$750,495)),"")</f>
        <v>Pending</v>
      </c>
      <c r="M601" s="48" t="s">
        <v>387</v>
      </c>
      <c r="N601" s="48">
        <f>SUMIFS(Data!D2:D750,Data!A2:A750,M601,Data!Q2:Q750,1)</f>
        <v>135717</v>
      </c>
      <c r="O601" s="61">
        <f t="shared" si="1"/>
        <v>135717</v>
      </c>
    </row>
    <row r="602" ht="15.75" customHeight="1">
      <c r="B602" s="56" t="str">
        <f t="array" ref="B602">IFERROR(INDEX(Data!$A$2:$A$750,SMALL(Data!$S$2:$S$750,496)),"")</f>
        <v>S02315 - 0359 - Egyptian Steel</v>
      </c>
      <c r="C602" s="56" t="str">
        <f t="array" ref="C602">IFERROR(IF(INDEX(Data!$B$2:$B$750,SMALL(Data!$S$2:$S$750,496))=0,"",INDEX(Data!$B$2:$B$750,SMALL(Data!$S$2:$S$750,496))),"")</f>
        <v/>
      </c>
      <c r="D602" s="56" t="str">
        <f t="array" ref="D602">IFERROR(INDEX(Data!$C$2:$C$750,SMALL(Data!$S$2:$S$750,496)),"")</f>
        <v>HF card-printed-one sided</v>
      </c>
      <c r="E602" s="56">
        <f t="array" ref="E602">IFERROR(IF(INDEX(Data!$D$2:$D$750,SMALL(Data!$S$2:$S$750,496))=0,"",INDEX(Data!$D$2:$D$750,SMALL(Data!$S$2:$S$750,496))),"")</f>
        <v>150</v>
      </c>
      <c r="F602" s="57">
        <f t="array" ref="F602">IFERROR(IF(INDEX(Data!$E$2:$E$750,SMALL(Data!$S$2:$S$750,496))=0,"",INDEX(Data!$E$2:$E$750,SMALL(Data!$S$2:$S$750,496))),"")</f>
        <v>36</v>
      </c>
      <c r="G602" s="57">
        <f t="array" ref="G602">IFERROR(INDEX(Data!$F$2:$F$750,SMALL(Data!$S$2:$S$750,496)),"")</f>
        <v>5400</v>
      </c>
      <c r="H602" s="58">
        <f t="array" ref="H602">IFERROR(IF(INDEX(Data!$G$2:$G$750,SMALL(Data!$S$2:$S$750,496))=0,"",INDEX(Data!$G$2:$G$750,SMALL(Data!$S$2:$S$750,496))),"")</f>
        <v>46239</v>
      </c>
      <c r="I602" s="56">
        <f t="array" ref="I602">IFERROR(IF(INDEX(Data!$H$2:$H$750,SMALL(Data!$S$2:$S$750,496))=0,"",INDEX(Data!$H$2:$H$750,SMALL(Data!$S$2:$S$750,496))),"")</f>
        <v>17</v>
      </c>
      <c r="J602" s="58">
        <f t="array" ref="J602">IFERROR(INDEX(Data!$I$2:$I$750,SMALL(Data!$S$2:$S$750,496)),"")</f>
        <v>46358</v>
      </c>
      <c r="K602" s="56" t="str">
        <f t="array" ref="K602">IFERROR(INDEX(Data!$J$2:$J$750,SMALL(Data!$S$2:$S$750,496)),"")</f>
        <v>Not Paid</v>
      </c>
      <c r="L602" s="56" t="str">
        <f t="array" ref="L602">IFERROR(INDEX(Data!$K$2:$K$750,SMALL(Data!$S$2:$S$750,496)),"")</f>
        <v>Pending</v>
      </c>
      <c r="M602" s="48" t="s">
        <v>390</v>
      </c>
      <c r="N602" s="48">
        <f>SUMIFS(Data!D2:D750,Data!A2:A750,M602,Data!Q2:Q750,1)</f>
        <v>2500</v>
      </c>
      <c r="O602" s="61">
        <f t="shared" si="1"/>
        <v>2500.000006</v>
      </c>
    </row>
    <row r="603" ht="15.75" customHeight="1">
      <c r="B603" s="53" t="str">
        <f t="array" ref="B603">IFERROR(INDEX(Data!$A$2:$A$750,SMALL(Data!$S$2:$S$750,497)),"")</f>
        <v>S02346 - 1189 - Hassan Allam properties (SLN)</v>
      </c>
      <c r="C603" s="53" t="str">
        <f t="array" ref="C603">IFERROR(IF(INDEX(Data!$B$2:$B$750,SMALL(Data!$S$2:$S$750,497))=0,"",INDEX(Data!$B$2:$B$750,SMALL(Data!$S$2:$S$750,497))),"")</f>
        <v>Metalcraft</v>
      </c>
      <c r="D603" s="53" t="str">
        <f t="array" ref="D603">IFERROR(INDEX(Data!$C$2:$C$750,SMALL(Data!$S$2:$S$750,497)),"")</f>
        <v>[RFID-1677-1] Destructive Windshield Tags</v>
      </c>
      <c r="E603" s="53">
        <f t="array" ref="E603">IFERROR(IF(INDEX(Data!$D$2:$D$750,SMALL(Data!$S$2:$S$750,497))=0,"",INDEX(Data!$D$2:$D$750,SMALL(Data!$S$2:$S$750,497))),"")</f>
        <v>250</v>
      </c>
      <c r="F603" s="54">
        <f t="array" ref="F603">IFERROR(IF(INDEX(Data!$E$2:$E$750,SMALL(Data!$S$2:$S$750,497))=0,"",INDEX(Data!$E$2:$E$750,SMALL(Data!$S$2:$S$750,497))),"")</f>
        <v>2</v>
      </c>
      <c r="G603" s="54">
        <f t="array" ref="G603">IFERROR(INDEX(Data!$F$2:$F$750,SMALL(Data!$S$2:$S$750,497)),"")</f>
        <v>500</v>
      </c>
      <c r="H603" s="55">
        <f t="array" ref="H603">IFERROR(IF(INDEX(Data!$G$2:$G$750,SMALL(Data!$S$2:$S$750,497))=0,"",INDEX(Data!$G$2:$G$750,SMALL(Data!$S$2:$S$750,497))),"")</f>
        <v>46240</v>
      </c>
      <c r="I603" s="53">
        <f t="array" ref="I603">IFERROR(IF(INDEX(Data!$H$2:$H$750,SMALL(Data!$S$2:$S$750,497))=0,"",INDEX(Data!$H$2:$H$750,SMALL(Data!$S$2:$S$750,497))),"")</f>
        <v>20</v>
      </c>
      <c r="J603" s="55">
        <f t="array" ref="J603">IFERROR(INDEX(Data!$I$2:$I$750,SMALL(Data!$S$2:$S$750,497)),"")</f>
        <v>46380</v>
      </c>
      <c r="K603" s="53" t="str">
        <f t="array" ref="K603">IFERROR(INDEX(Data!$J$2:$J$750,SMALL(Data!$S$2:$S$750,497)),"")</f>
        <v>Not Paid</v>
      </c>
      <c r="L603" s="53" t="str">
        <f t="array" ref="L603">IFERROR(INDEX(Data!$K$2:$K$750,SMALL(Data!$S$2:$S$750,497)),"")</f>
        <v>Pending</v>
      </c>
      <c r="M603" s="48" t="s">
        <v>393</v>
      </c>
      <c r="N603" s="48">
        <f>SUMIFS(Data!D2:D750,Data!A2:A750,M603,Data!Q2:Q750,1)</f>
        <v>15</v>
      </c>
      <c r="O603" s="61">
        <f t="shared" si="1"/>
        <v>15.00000603</v>
      </c>
    </row>
    <row r="604" ht="15.75" customHeight="1">
      <c r="B604" s="56" t="str">
        <f t="array" ref="B604">IFERROR(INDEX(Data!$A$2:$A$750,SMALL(Data!$S$2:$S$750,498)),"")</f>
        <v>S02376 - 0430 - Marina</v>
      </c>
      <c r="C604" s="56" t="str">
        <f t="array" ref="C604">IFERROR(IF(INDEX(Data!$B$2:$B$750,SMALL(Data!$S$2:$S$750,498))=0,"",INDEX(Data!$B$2:$B$750,SMALL(Data!$S$2:$S$750,498))),"")</f>
        <v/>
      </c>
      <c r="D604" s="56" t="str">
        <f t="array" ref="D604">IFERROR(INDEX(Data!$C$2:$C$750,SMALL(Data!$S$2:$S$750,498)),"")</f>
        <v>[OG-00170] UHF cards- printed</v>
      </c>
      <c r="E604" s="56">
        <f t="array" ref="E604">IFERROR(IF(INDEX(Data!$D$2:$D$750,SMALL(Data!$S$2:$S$750,498))=0,"",INDEX(Data!$D$2:$D$750,SMALL(Data!$S$2:$S$750,498))),"")</f>
        <v>2700</v>
      </c>
      <c r="F604" s="57">
        <f t="array" ref="F604">IFERROR(IF(INDEX(Data!$E$2:$E$750,SMALL(Data!$S$2:$S$750,498))=0,"",INDEX(Data!$E$2:$E$750,SMALL(Data!$S$2:$S$750,498))),"")</f>
        <v>5</v>
      </c>
      <c r="G604" s="57">
        <f t="array" ref="G604">IFERROR(INDEX(Data!$F$2:$F$750,SMALL(Data!$S$2:$S$750,498)),"")</f>
        <v>13500</v>
      </c>
      <c r="H604" s="58">
        <f t="array" ref="H604">IFERROR(IF(INDEX(Data!$G$2:$G$750,SMALL(Data!$S$2:$S$750,498))=0,"",INDEX(Data!$G$2:$G$750,SMALL(Data!$S$2:$S$750,498))),"")</f>
        <v>46241</v>
      </c>
      <c r="I604" s="56">
        <f t="array" ref="I604">IFERROR(IF(INDEX(Data!$H$2:$H$750,SMALL(Data!$S$2:$S$750,498))=0,"",INDEX(Data!$H$2:$H$750,SMALL(Data!$S$2:$S$750,498))),"")</f>
        <v>18</v>
      </c>
      <c r="J604" s="58">
        <f t="array" ref="J604">IFERROR(INDEX(Data!$I$2:$I$750,SMALL(Data!$S$2:$S$750,498)),"")</f>
        <v>46367</v>
      </c>
      <c r="K604" s="56" t="str">
        <f t="array" ref="K604">IFERROR(INDEX(Data!$J$2:$J$750,SMALL(Data!$S$2:$S$750,498)),"")</f>
        <v>Not Paid</v>
      </c>
      <c r="L604" s="56" t="str">
        <f t="array" ref="L604">IFERROR(INDEX(Data!$K$2:$K$750,SMALL(Data!$S$2:$S$750,498)),"")</f>
        <v>Pending</v>
      </c>
      <c r="M604" s="48" t="s">
        <v>396</v>
      </c>
      <c r="N604" s="48">
        <f>SUMIFS(Data!D2:D750,Data!A2:A750,M604,Data!Q2:Q750,1)</f>
        <v>7</v>
      </c>
      <c r="O604" s="61">
        <f t="shared" si="1"/>
        <v>7.00000604</v>
      </c>
    </row>
    <row r="605" ht="15.75" customHeight="1">
      <c r="B605" s="53" t="str">
        <f t="array" ref="B605">IFERROR(INDEX(Data!$A$2:$A$750,SMALL(Data!$S$2:$S$750,499)),"")</f>
        <v>S02382 - 0030 - La Vista</v>
      </c>
      <c r="C605" s="53" t="str">
        <f t="array" ref="C605">IFERROR(IF(INDEX(Data!$B$2:$B$750,SMALL(Data!$S$2:$S$750,499))=0,"",INDEX(Data!$B$2:$B$750,SMALL(Data!$S$2:$S$750,499))),"")</f>
        <v/>
      </c>
      <c r="D605" s="53" t="str">
        <f t="array" ref="D605">IFERROR(INDEX(Data!$C$2:$C$750,SMALL(Data!$S$2:$S$750,499)),"")</f>
        <v>Magnetic Access Pro Barrier</v>
      </c>
      <c r="E605" s="53">
        <f t="array" ref="E605">IFERROR(IF(INDEX(Data!$D$2:$D$750,SMALL(Data!$S$2:$S$750,499))=0,"",INDEX(Data!$D$2:$D$750,SMALL(Data!$S$2:$S$750,499))),"")</f>
        <v>6</v>
      </c>
      <c r="F605" s="54">
        <f t="array" ref="F605">IFERROR(IF(INDEX(Data!$E$2:$E$750,SMALL(Data!$S$2:$S$750,499))=0,"",INDEX(Data!$E$2:$E$750,SMALL(Data!$S$2:$S$750,499))),"")</f>
        <v>6</v>
      </c>
      <c r="G605" s="54">
        <f t="array" ref="G605">IFERROR(INDEX(Data!$F$2:$F$750,SMALL(Data!$S$2:$S$750,499)),"")</f>
        <v>36</v>
      </c>
      <c r="H605" s="55">
        <f t="array" ref="H605">IFERROR(IF(INDEX(Data!$G$2:$G$750,SMALL(Data!$S$2:$S$750,499))=0,"",INDEX(Data!$G$2:$G$750,SMALL(Data!$S$2:$S$750,499))),"")</f>
        <v>46242</v>
      </c>
      <c r="I605" s="53">
        <f t="array" ref="I605">IFERROR(IF(INDEX(Data!$H$2:$H$750,SMALL(Data!$S$2:$S$750,499))=0,"",INDEX(Data!$H$2:$H$750,SMALL(Data!$S$2:$S$750,499))),"")</f>
        <v>20</v>
      </c>
      <c r="J605" s="55">
        <f t="array" ref="J605">IFERROR(INDEX(Data!$I$2:$I$750,SMALL(Data!$S$2:$S$750,499)),"")</f>
        <v>46382</v>
      </c>
      <c r="K605" s="53" t="str">
        <f t="array" ref="K605">IFERROR(INDEX(Data!$J$2:$J$750,SMALL(Data!$S$2:$S$750,499)),"")</f>
        <v>Not Paid</v>
      </c>
      <c r="L605" s="53" t="str">
        <f t="array" ref="L605">IFERROR(INDEX(Data!$K$2:$K$750,SMALL(Data!$S$2:$S$750,499)),"")</f>
        <v>Pending</v>
      </c>
      <c r="M605" s="48">
        <v>57357.0</v>
      </c>
      <c r="N605" s="48">
        <f>SUMIFS(Data!D2:D750,Data!A2:A750,M605,Data!Q2:Q750,1)</f>
        <v>12534</v>
      </c>
      <c r="O605" s="61">
        <f t="shared" si="1"/>
        <v>12534.00001</v>
      </c>
    </row>
    <row r="606" ht="15.75" customHeight="1">
      <c r="B606" s="56" t="str">
        <f t="array" ref="B606">IFERROR(INDEX(Data!$A$2:$A$750,SMALL(Data!$S$2:$S$750,500)),"")</f>
        <v>S02382 - 0030 - La Vista</v>
      </c>
      <c r="C606" s="56" t="str">
        <f t="array" ref="C606">IFERROR(IF(INDEX(Data!$B$2:$B$750,SMALL(Data!$S$2:$S$750,500))=0,"",INDEX(Data!$B$2:$B$750,SMALL(Data!$S$2:$S$750,500))),"")</f>
        <v/>
      </c>
      <c r="D606" s="56" t="str">
        <f t="array" ref="D606">IFERROR(INDEX(Data!$C$2:$C$750,SMALL(Data!$S$2:$S$750,500)),"")</f>
        <v>LRU4000 UHF Reader with 2 Antennas Kit</v>
      </c>
      <c r="E606" s="56">
        <f t="array" ref="E606">IFERROR(IF(INDEX(Data!$D$2:$D$750,SMALL(Data!$S$2:$S$750,500))=0,"",INDEX(Data!$D$2:$D$750,SMALL(Data!$S$2:$S$750,500))),"")</f>
        <v>3</v>
      </c>
      <c r="F606" s="57">
        <f t="array" ref="F606">IFERROR(IF(INDEX(Data!$E$2:$E$750,SMALL(Data!$S$2:$S$750,500))=0,"",INDEX(Data!$E$2:$E$750,SMALL(Data!$S$2:$S$750,500))),"")</f>
        <v>7</v>
      </c>
      <c r="G606" s="57">
        <f t="array" ref="G606">IFERROR(INDEX(Data!$F$2:$F$750,SMALL(Data!$S$2:$S$750,500)),"")</f>
        <v>21</v>
      </c>
      <c r="H606" s="58">
        <f t="array" ref="H606">IFERROR(IF(INDEX(Data!$G$2:$G$750,SMALL(Data!$S$2:$S$750,500))=0,"",INDEX(Data!$G$2:$G$750,SMALL(Data!$S$2:$S$750,500))),"")</f>
        <v>46243</v>
      </c>
      <c r="I606" s="56">
        <f t="array" ref="I606">IFERROR(IF(INDEX(Data!$H$2:$H$750,SMALL(Data!$S$2:$S$750,500))=0,"",INDEX(Data!$H$2:$H$750,SMALL(Data!$S$2:$S$750,500))),"")</f>
        <v>19</v>
      </c>
      <c r="J606" s="58">
        <f t="array" ref="J606">IFERROR(INDEX(Data!$I$2:$I$750,SMALL(Data!$S$2:$S$750,500)),"")</f>
        <v>46376</v>
      </c>
      <c r="K606" s="56" t="str">
        <f t="array" ref="K606">IFERROR(INDEX(Data!$J$2:$J$750,SMALL(Data!$S$2:$S$750,500)),"")</f>
        <v>Not Paid</v>
      </c>
      <c r="L606" s="56" t="str">
        <f t="array" ref="L606">IFERROR(INDEX(Data!$K$2:$K$750,SMALL(Data!$S$2:$S$750,500)),"")</f>
        <v>Pending</v>
      </c>
      <c r="M606" s="48" t="s">
        <v>400</v>
      </c>
      <c r="N606" s="48">
        <f>SUMIFS(Data!D2:D750,Data!A2:A750,M606,Data!Q2:Q750,1)</f>
        <v>2000</v>
      </c>
      <c r="O606" s="61">
        <f t="shared" si="1"/>
        <v>2000.000006</v>
      </c>
    </row>
    <row r="607" ht="15.75" customHeight="1">
      <c r="B607" s="53" t="str">
        <f t="array" ref="B607">IFERROR(INDEX(Data!$A$2:$A$750,SMALL(Data!$S$2:$S$750,501)),"")</f>
        <v>S02382 - 0030 - La Vista</v>
      </c>
      <c r="C607" s="53" t="str">
        <f t="array" ref="C607">IFERROR(IF(INDEX(Data!$B$2:$B$750,SMALL(Data!$S$2:$S$750,501))=0,"",INDEX(Data!$B$2:$B$750,SMALL(Data!$S$2:$S$750,501))),"")</f>
        <v/>
      </c>
      <c r="D607" s="53" t="str">
        <f t="array" ref="D607">IFERROR(INDEX(Data!$C$2:$C$750,SMALL(Data!$S$2:$S$750,501)),"")</f>
        <v>[RFID-1677-1] Destructive Windshield Tags</v>
      </c>
      <c r="E607" s="53">
        <f t="array" ref="E607">IFERROR(IF(INDEX(Data!$D$2:$D$750,SMALL(Data!$S$2:$S$750,501))=0,"",INDEX(Data!$D$2:$D$750,SMALL(Data!$S$2:$S$750,501))),"")</f>
        <v>5000</v>
      </c>
      <c r="F607" s="54">
        <f t="array" ref="F607">IFERROR(IF(INDEX(Data!$E$2:$E$750,SMALL(Data!$S$2:$S$750,501))=0,"",INDEX(Data!$E$2:$E$750,SMALL(Data!$S$2:$S$750,501))),"")</f>
        <v>8</v>
      </c>
      <c r="G607" s="54">
        <f t="array" ref="G607">IFERROR(INDEX(Data!$F$2:$F$750,SMALL(Data!$S$2:$S$750,501)),"")</f>
        <v>40000</v>
      </c>
      <c r="H607" s="55">
        <f t="array" ref="H607">IFERROR(IF(INDEX(Data!$G$2:$G$750,SMALL(Data!$S$2:$S$750,501))=0,"",INDEX(Data!$G$2:$G$750,SMALL(Data!$S$2:$S$750,501))),"")</f>
        <v>46244</v>
      </c>
      <c r="I607" s="53">
        <f t="array" ref="I607">IFERROR(IF(INDEX(Data!$H$2:$H$750,SMALL(Data!$S$2:$S$750,501))=0,"",INDEX(Data!$H$2:$H$750,SMALL(Data!$S$2:$S$750,501))),"")</f>
        <v>19</v>
      </c>
      <c r="J607" s="55">
        <f t="array" ref="J607">IFERROR(INDEX(Data!$I$2:$I$750,SMALL(Data!$S$2:$S$750,501)),"")</f>
        <v>46377</v>
      </c>
      <c r="K607" s="53" t="str">
        <f t="array" ref="K607">IFERROR(INDEX(Data!$J$2:$J$750,SMALL(Data!$S$2:$S$750,501)),"")</f>
        <v>Not Paid</v>
      </c>
      <c r="L607" s="53" t="str">
        <f t="array" ref="L607">IFERROR(INDEX(Data!$K$2:$K$750,SMALL(Data!$S$2:$S$750,501)),"")</f>
        <v>Pending</v>
      </c>
      <c r="M607" s="48" t="s">
        <v>403</v>
      </c>
      <c r="N607" s="48">
        <f>SUMIFS(Data!D2:D750,Data!A2:A750,M607,Data!Q2:Q750,1)</f>
        <v>15005</v>
      </c>
      <c r="O607" s="61">
        <f t="shared" si="1"/>
        <v>15005.00001</v>
      </c>
    </row>
    <row r="608" ht="15.75" customHeight="1">
      <c r="B608" s="56" t="str">
        <f t="array" ref="B608">IFERROR(INDEX(Data!$A$2:$A$750,SMALL(Data!$S$2:$S$750,502)),"")</f>
        <v>S02332 - 1377 - Premiere Casing Services</v>
      </c>
      <c r="C608" s="56" t="str">
        <f t="array" ref="C608">IFERROR(IF(INDEX(Data!$B$2:$B$750,SMALL(Data!$S$2:$S$750,502))=0,"",INDEX(Data!$B$2:$B$750,SMALL(Data!$S$2:$S$750,502))),"")</f>
        <v/>
      </c>
      <c r="D608" s="56" t="str">
        <f t="array" ref="D608">IFERROR(INDEX(Data!$C$2:$C$750,SMALL(Data!$S$2:$S$750,502)),"")</f>
        <v>MAX 50.10</v>
      </c>
      <c r="E608" s="56">
        <f t="array" ref="E608">IFERROR(IF(INDEX(Data!$D$2:$D$750,SMALL(Data!$S$2:$S$750,502))=0,"",INDEX(Data!$D$2:$D$750,SMALL(Data!$S$2:$S$750,502))),"")</f>
        <v>2</v>
      </c>
      <c r="F608" s="57">
        <f t="array" ref="F608">IFERROR(IF(INDEX(Data!$E$2:$E$750,SMALL(Data!$S$2:$S$750,502))=0,"",INDEX(Data!$E$2:$E$750,SMALL(Data!$S$2:$S$750,502))),"")</f>
        <v>2</v>
      </c>
      <c r="G608" s="57">
        <f t="array" ref="G608">IFERROR(INDEX(Data!$F$2:$F$750,SMALL(Data!$S$2:$S$750,502)),"")</f>
        <v>4</v>
      </c>
      <c r="H608" s="58">
        <f t="array" ref="H608">IFERROR(IF(INDEX(Data!$G$2:$G$750,SMALL(Data!$S$2:$S$750,502))=0,"",INDEX(Data!$G$2:$G$750,SMALL(Data!$S$2:$S$750,502))),"")</f>
        <v>46245</v>
      </c>
      <c r="I608" s="56">
        <f t="array" ref="I608">IFERROR(IF(INDEX(Data!$H$2:$H$750,SMALL(Data!$S$2:$S$750,502))=0,"",INDEX(Data!$H$2:$H$750,SMALL(Data!$S$2:$S$750,502))),"")</f>
        <v>20</v>
      </c>
      <c r="J608" s="58">
        <f t="array" ref="J608">IFERROR(INDEX(Data!$I$2:$I$750,SMALL(Data!$S$2:$S$750,502)),"")</f>
        <v>46385</v>
      </c>
      <c r="K608" s="56" t="str">
        <f t="array" ref="K608">IFERROR(INDEX(Data!$J$2:$J$750,SMALL(Data!$S$2:$S$750,502)),"")</f>
        <v>Not Paid</v>
      </c>
      <c r="L608" s="56" t="str">
        <f t="array" ref="L608">IFERROR(INDEX(Data!$K$2:$K$750,SMALL(Data!$S$2:$S$750,502)),"")</f>
        <v>Pending</v>
      </c>
      <c r="M608" s="48" t="s">
        <v>405</v>
      </c>
      <c r="N608" s="48">
        <f>SUMIFS(Data!D2:D750,Data!A2:A750,M608,Data!Q2:Q750,1)</f>
        <v>45050</v>
      </c>
      <c r="O608" s="61">
        <f t="shared" si="1"/>
        <v>45050.00001</v>
      </c>
    </row>
    <row r="609" ht="15.75" customHeight="1">
      <c r="B609" s="53" t="str">
        <f t="array" ref="B609">IFERROR(INDEX(Data!$A$2:$A$750,SMALL(Data!$S$2:$S$750,503)),"")</f>
        <v>S02332 - 1377 - Premiere Casing Services</v>
      </c>
      <c r="C609" s="53" t="str">
        <f t="array" ref="C609">IFERROR(IF(INDEX(Data!$B$2:$B$750,SMALL(Data!$S$2:$S$750,503))=0,"",INDEX(Data!$B$2:$B$750,SMALL(Data!$S$2:$S$750,503))),"")</f>
        <v/>
      </c>
      <c r="D609" s="53" t="str">
        <f t="array" ref="D609">IFERROR(INDEX(Data!$C$2:$C$750,SMALL(Data!$S$2:$S$750,503)),"")</f>
        <v>Push button</v>
      </c>
      <c r="E609" s="53">
        <f t="array" ref="E609">IFERROR(IF(INDEX(Data!$D$2:$D$750,SMALL(Data!$S$2:$S$750,503))=0,"",INDEX(Data!$D$2:$D$750,SMALL(Data!$S$2:$S$750,503))),"")</f>
        <v>1</v>
      </c>
      <c r="F609" s="54">
        <f t="array" ref="F609">IFERROR(IF(INDEX(Data!$E$2:$E$750,SMALL(Data!$S$2:$S$750,503))=0,"",INDEX(Data!$E$2:$E$750,SMALL(Data!$S$2:$S$750,503))),"")</f>
        <v>15</v>
      </c>
      <c r="G609" s="54">
        <f t="array" ref="G609">IFERROR(INDEX(Data!$F$2:$F$750,SMALL(Data!$S$2:$S$750,503)),"")</f>
        <v>15</v>
      </c>
      <c r="H609" s="55">
        <f t="array" ref="H609">IFERROR(IF(INDEX(Data!$G$2:$G$750,SMALL(Data!$S$2:$S$750,503))=0,"",INDEX(Data!$G$2:$G$750,SMALL(Data!$S$2:$S$750,503))),"")</f>
        <v>46246</v>
      </c>
      <c r="I609" s="53">
        <f t="array" ref="I609">IFERROR(IF(INDEX(Data!$H$2:$H$750,SMALL(Data!$S$2:$S$750,503))=0,"",INDEX(Data!$H$2:$H$750,SMALL(Data!$S$2:$S$750,503))),"")</f>
        <v>21</v>
      </c>
      <c r="J609" s="55">
        <f t="array" ref="J609">IFERROR(INDEX(Data!$I$2:$I$750,SMALL(Data!$S$2:$S$750,503)),"")</f>
        <v>46393</v>
      </c>
      <c r="K609" s="53" t="str">
        <f t="array" ref="K609">IFERROR(INDEX(Data!$J$2:$J$750,SMALL(Data!$S$2:$S$750,503)),"")</f>
        <v>Not Paid</v>
      </c>
      <c r="L609" s="53" t="str">
        <f t="array" ref="L609">IFERROR(INDEX(Data!$K$2:$K$750,SMALL(Data!$S$2:$S$750,503)),"")</f>
        <v>Pending</v>
      </c>
      <c r="M609" s="48" t="s">
        <v>407</v>
      </c>
      <c r="N609" s="48">
        <f>SUMIFS(Data!D2:D750,Data!A2:A750,M609,Data!Q2:Q750,1)</f>
        <v>3</v>
      </c>
      <c r="O609" s="61">
        <f t="shared" si="1"/>
        <v>3.00000609</v>
      </c>
    </row>
    <row r="610" ht="15.75" customHeight="1">
      <c r="B610" s="56" t="str">
        <f t="array" ref="B610">IFERROR(INDEX(Data!$A$2:$A$750,SMALL(Data!$S$2:$S$750,504)),"")</f>
        <v>S02332 - 1377 - Premiere Casing Services</v>
      </c>
      <c r="C610" s="56" t="str">
        <f t="array" ref="C610">IFERROR(IF(INDEX(Data!$B$2:$B$750,SMALL(Data!$S$2:$S$750,504))=0,"",INDEX(Data!$B$2:$B$750,SMALL(Data!$S$2:$S$750,504))),"")</f>
        <v/>
      </c>
      <c r="D610" s="56" t="str">
        <f t="array" ref="D610">IFERROR(INDEX(Data!$C$2:$C$750,SMALL(Data!$S$2:$S$750,504)),"")</f>
        <v>MEX-430 Magnetic lock </v>
      </c>
      <c r="E610" s="56">
        <f t="array" ref="E610">IFERROR(IF(INDEX(Data!$D$2:$D$750,SMALL(Data!$S$2:$S$750,504))=0,"",INDEX(Data!$D$2:$D$750,SMALL(Data!$S$2:$S$750,504))),"")</f>
        <v>2</v>
      </c>
      <c r="F610" s="57">
        <f t="array" ref="F610">IFERROR(IF(INDEX(Data!$E$2:$E$750,SMALL(Data!$S$2:$S$750,504))=0,"",INDEX(Data!$E$2:$E$750,SMALL(Data!$S$2:$S$750,504))),"")</f>
        <v>45</v>
      </c>
      <c r="G610" s="57">
        <f t="array" ref="G610">IFERROR(INDEX(Data!$F$2:$F$750,SMALL(Data!$S$2:$S$750,504)),"")</f>
        <v>90</v>
      </c>
      <c r="H610" s="58">
        <f t="array" ref="H610">IFERROR(IF(INDEX(Data!$G$2:$G$750,SMALL(Data!$S$2:$S$750,504))=0,"",INDEX(Data!$G$2:$G$750,SMALL(Data!$S$2:$S$750,504))),"")</f>
        <v>46247</v>
      </c>
      <c r="I610" s="56">
        <f t="array" ref="I610">IFERROR(IF(INDEX(Data!$H$2:$H$750,SMALL(Data!$S$2:$S$750,504))=0,"",INDEX(Data!$H$2:$H$750,SMALL(Data!$S$2:$S$750,504))),"")</f>
        <v>24</v>
      </c>
      <c r="J610" s="58">
        <f t="array" ref="J610">IFERROR(INDEX(Data!$I$2:$I$750,SMALL(Data!$S$2:$S$750,504)),"")</f>
        <v>46415</v>
      </c>
      <c r="K610" s="56" t="str">
        <f t="array" ref="K610">IFERROR(INDEX(Data!$J$2:$J$750,SMALL(Data!$S$2:$S$750,504)),"")</f>
        <v>Not Paid</v>
      </c>
      <c r="L610" s="56" t="str">
        <f t="array" ref="L610">IFERROR(INDEX(Data!$K$2:$K$750,SMALL(Data!$S$2:$S$750,504)),"")</f>
        <v>Pending</v>
      </c>
      <c r="M610" s="48" t="s">
        <v>409</v>
      </c>
      <c r="N610" s="48">
        <f>SUMIFS(Data!D2:D750,Data!A2:A750,M610,Data!Q2:Q750,1)</f>
        <v>2001</v>
      </c>
      <c r="O610" s="61">
        <f t="shared" si="1"/>
        <v>2001.000006</v>
      </c>
    </row>
    <row r="611" ht="15.75" customHeight="1">
      <c r="B611" s="53" t="str">
        <f t="array" ref="B611">IFERROR(INDEX(Data!$A$2:$A$750,SMALL(Data!$S$2:$S$750,505)),"")</f>
        <v>S02332 - 1377 - Premiere Casing Services</v>
      </c>
      <c r="C611" s="53" t="str">
        <f t="array" ref="C611">IFERROR(IF(INDEX(Data!$B$2:$B$750,SMALL(Data!$S$2:$S$750,505))=0,"",INDEX(Data!$B$2:$B$750,SMALL(Data!$S$2:$S$750,505))),"")</f>
        <v/>
      </c>
      <c r="D611" s="53" t="str">
        <f t="array" ref="D611">IFERROR(INDEX(Data!$C$2:$C$750,SMALL(Data!$S$2:$S$750,505)),"")</f>
        <v>HF card-printed</v>
      </c>
      <c r="E611" s="53">
        <f t="array" ref="E611">IFERROR(IF(INDEX(Data!$D$2:$D$750,SMALL(Data!$S$2:$S$750,505))=0,"",INDEX(Data!$D$2:$D$750,SMALL(Data!$S$2:$S$750,505))),"")</f>
        <v>30</v>
      </c>
      <c r="F611" s="54">
        <f t="array" ref="F611">IFERROR(IF(INDEX(Data!$E$2:$E$750,SMALL(Data!$S$2:$S$750,505))=0,"",INDEX(Data!$E$2:$E$750,SMALL(Data!$S$2:$S$750,505))),"")</f>
        <v>24</v>
      </c>
      <c r="G611" s="54">
        <f t="array" ref="G611">IFERROR(INDEX(Data!$F$2:$F$750,SMALL(Data!$S$2:$S$750,505)),"")</f>
        <v>720</v>
      </c>
      <c r="H611" s="55">
        <f t="array" ref="H611">IFERROR(IF(INDEX(Data!$G$2:$G$750,SMALL(Data!$S$2:$S$750,505))=0,"",INDEX(Data!$G$2:$G$750,SMALL(Data!$S$2:$S$750,505))),"")</f>
        <v>46248</v>
      </c>
      <c r="I611" s="53">
        <f t="array" ref="I611">IFERROR(IF(INDEX(Data!$H$2:$H$750,SMALL(Data!$S$2:$S$750,505))=0,"",INDEX(Data!$H$2:$H$750,SMALL(Data!$S$2:$S$750,505))),"")</f>
        <v>24</v>
      </c>
      <c r="J611" s="55">
        <f t="array" ref="J611">IFERROR(INDEX(Data!$I$2:$I$750,SMALL(Data!$S$2:$S$750,505)),"")</f>
        <v>46416</v>
      </c>
      <c r="K611" s="53" t="str">
        <f t="array" ref="K611">IFERROR(INDEX(Data!$J$2:$J$750,SMALL(Data!$S$2:$S$750,505)),"")</f>
        <v>Not Paid</v>
      </c>
      <c r="L611" s="53" t="str">
        <f t="array" ref="L611">IFERROR(INDEX(Data!$K$2:$K$750,SMALL(Data!$S$2:$S$750,505)),"")</f>
        <v>Pending</v>
      </c>
      <c r="M611" s="48" t="s">
        <v>412</v>
      </c>
      <c r="N611" s="48">
        <f>SUMIFS(Data!D2:D750,Data!A2:A750,M611,Data!Q2:Q750,1)</f>
        <v>2</v>
      </c>
      <c r="O611" s="61">
        <f t="shared" si="1"/>
        <v>2.00000611</v>
      </c>
    </row>
    <row r="612" ht="15.75" customHeight="1">
      <c r="B612" s="56" t="str">
        <f t="array" ref="B612">IFERROR(INDEX(Data!$A$2:$A$750,SMALL(Data!$S$2:$S$750,506)),"")</f>
        <v>S02331 - 1495 - Select Jewelry</v>
      </c>
      <c r="C612" s="56" t="str">
        <f t="array" ref="C612">IFERROR(IF(INDEX(Data!$B$2:$B$750,SMALL(Data!$S$2:$S$750,506))=0,"",INDEX(Data!$B$2:$B$750,SMALL(Data!$S$2:$S$750,506))),"")</f>
        <v>Rich</v>
      </c>
      <c r="D612" s="56" t="str">
        <f t="array" ref="D612">IFERROR(INDEX(Data!$C$2:$C$750,SMALL(Data!$S$2:$S$750,506)),"")</f>
        <v>UHF jewelry tag with NXP Ucode 8</v>
      </c>
      <c r="E612" s="56">
        <f t="array" ref="E612">IFERROR(IF(INDEX(Data!$D$2:$D$750,SMALL(Data!$S$2:$S$750,506))=0,"",INDEX(Data!$D$2:$D$750,SMALL(Data!$S$2:$S$750,506))),"")</f>
        <v>5000</v>
      </c>
      <c r="F612" s="57">
        <f t="array" ref="F612">IFERROR(IF(INDEX(Data!$E$2:$E$750,SMALL(Data!$S$2:$S$750,506))=0,"",INDEX(Data!$E$2:$E$750,SMALL(Data!$S$2:$S$750,506))),"")</f>
        <v>25</v>
      </c>
      <c r="G612" s="57">
        <f t="array" ref="G612">IFERROR(INDEX(Data!$F$2:$F$750,SMALL(Data!$S$2:$S$750,506)),"")</f>
        <v>125000</v>
      </c>
      <c r="H612" s="58">
        <f t="array" ref="H612">IFERROR(IF(INDEX(Data!$G$2:$G$750,SMALL(Data!$S$2:$S$750,506))=0,"",INDEX(Data!$G$2:$G$750,SMALL(Data!$S$2:$S$750,506))),"")</f>
        <v>46249</v>
      </c>
      <c r="I612" s="56">
        <f t="array" ref="I612">IFERROR(IF(INDEX(Data!$H$2:$H$750,SMALL(Data!$S$2:$S$750,506))=0,"",INDEX(Data!$H$2:$H$750,SMALL(Data!$S$2:$S$750,506))),"")</f>
        <v>24</v>
      </c>
      <c r="J612" s="58">
        <f t="array" ref="J612">IFERROR(INDEX(Data!$I$2:$I$750,SMALL(Data!$S$2:$S$750,506)),"")</f>
        <v>46417</v>
      </c>
      <c r="K612" s="56" t="str">
        <f t="array" ref="K612">IFERROR(INDEX(Data!$J$2:$J$750,SMALL(Data!$S$2:$S$750,506)),"")</f>
        <v>Not Paid</v>
      </c>
      <c r="L612" s="56" t="str">
        <f t="array" ref="L612">IFERROR(INDEX(Data!$K$2:$K$750,SMALL(Data!$S$2:$S$750,506)),"")</f>
        <v>Pending</v>
      </c>
      <c r="M612" s="48" t="s">
        <v>415</v>
      </c>
      <c r="N612" s="48">
        <f>SUMIFS(Data!D2:D750,Data!A2:A750,M612,Data!Q2:Q750,1)</f>
        <v>0</v>
      </c>
      <c r="O612" s="61">
        <f t="shared" si="1"/>
        <v>0.00000612</v>
      </c>
    </row>
    <row r="613" ht="15.75" customHeight="1">
      <c r="B613" s="53" t="str">
        <f t="array" ref="B613">IFERROR(INDEX(Data!$A$2:$A$750,SMALL(Data!$S$2:$S$750,507)),"")</f>
        <v>S02381 - 1832 - Ballah Resort</v>
      </c>
      <c r="C613" s="53" t="str">
        <f t="array" ref="C613">IFERROR(IF(INDEX(Data!$B$2:$B$750,SMALL(Data!$S$2:$S$750,507))=0,"",INDEX(Data!$B$2:$B$750,SMALL(Data!$S$2:$S$750,507))),"")</f>
        <v/>
      </c>
      <c r="D613" s="53" t="str">
        <f t="array" ref="D613">IFERROR(INDEX(Data!$C$2:$C$750,SMALL(Data!$S$2:$S$750,507)),"")</f>
        <v>ZKTeco SpeedFace M4</v>
      </c>
      <c r="E613" s="53">
        <f t="array" ref="E613">IFERROR(IF(INDEX(Data!$D$2:$D$750,SMALL(Data!$S$2:$S$750,507))=0,"",INDEX(Data!$D$2:$D$750,SMALL(Data!$S$2:$S$750,507))),"")</f>
        <v>2</v>
      </c>
      <c r="F613" s="54">
        <f t="array" ref="F613">IFERROR(IF(INDEX(Data!$E$2:$E$750,SMALL(Data!$S$2:$S$750,507))=0,"",INDEX(Data!$E$2:$E$750,SMALL(Data!$S$2:$S$750,507))),"")</f>
        <v>36</v>
      </c>
      <c r="G613" s="54">
        <f t="array" ref="G613">IFERROR(INDEX(Data!$F$2:$F$750,SMALL(Data!$S$2:$S$750,507)),"")</f>
        <v>72</v>
      </c>
      <c r="H613" s="55">
        <f t="array" ref="H613">IFERROR(IF(INDEX(Data!$G$2:$G$750,SMALL(Data!$S$2:$S$750,507))=0,"",INDEX(Data!$G$2:$G$750,SMALL(Data!$S$2:$S$750,507))),"")</f>
        <v>46250</v>
      </c>
      <c r="I613" s="53">
        <f t="array" ref="I613">IFERROR(IF(INDEX(Data!$H$2:$H$750,SMALL(Data!$S$2:$S$750,507))=0,"",INDEX(Data!$H$2:$H$750,SMALL(Data!$S$2:$S$750,507))),"")</f>
        <v>21</v>
      </c>
      <c r="J613" s="55">
        <f t="array" ref="J613">IFERROR(INDEX(Data!$I$2:$I$750,SMALL(Data!$S$2:$S$750,507)),"")</f>
        <v>46397</v>
      </c>
      <c r="K613" s="53" t="str">
        <f t="array" ref="K613">IFERROR(INDEX(Data!$J$2:$J$750,SMALL(Data!$S$2:$S$750,507)),"")</f>
        <v>Not Paid</v>
      </c>
      <c r="L613" s="53" t="str">
        <f t="array" ref="L613">IFERROR(INDEX(Data!$K$2:$K$750,SMALL(Data!$S$2:$S$750,507)),"")</f>
        <v>Pending</v>
      </c>
      <c r="M613" s="48" t="s">
        <v>418</v>
      </c>
      <c r="N613" s="48">
        <f>SUMIFS(Data!D2:D750,Data!A2:A750,M613,Data!Q2:Q750,1)</f>
        <v>4</v>
      </c>
      <c r="O613" s="61">
        <f t="shared" si="1"/>
        <v>4.00000613</v>
      </c>
    </row>
    <row r="614" ht="15.75" customHeight="1">
      <c r="B614" s="56" t="str">
        <f t="array" ref="B614">IFERROR(INDEX(Data!$A$2:$A$750,SMALL(Data!$S$2:$S$750,508)),"")</f>
        <v>S02384 - 0285 - Dreamland</v>
      </c>
      <c r="C614" s="56" t="str">
        <f t="array" ref="C614">IFERROR(IF(INDEX(Data!$B$2:$B$750,SMALL(Data!$S$2:$S$750,508))=0,"",INDEX(Data!$B$2:$B$750,SMALL(Data!$S$2:$S$750,508))),"")</f>
        <v/>
      </c>
      <c r="D614" s="56" t="str">
        <f t="array" ref="D614">IFERROR(INDEX(Data!$C$2:$C$750,SMALL(Data!$S$2:$S$750,508)),"")</f>
        <v>AT909</v>
      </c>
      <c r="E614" s="56">
        <f t="array" ref="E614">IFERROR(IF(INDEX(Data!$D$2:$D$750,SMALL(Data!$S$2:$S$750,508))=0,"",INDEX(Data!$D$2:$D$750,SMALL(Data!$S$2:$S$750,508))),"")</f>
        <v>1</v>
      </c>
      <c r="F614" s="57">
        <f t="array" ref="F614">IFERROR(IF(INDEX(Data!$E$2:$E$750,SMALL(Data!$S$2:$S$750,508))=0,"",INDEX(Data!$E$2:$E$750,SMALL(Data!$S$2:$S$750,508))),"")</f>
        <v>95</v>
      </c>
      <c r="G614" s="57">
        <f t="array" ref="G614">IFERROR(INDEX(Data!$F$2:$F$750,SMALL(Data!$S$2:$S$750,508)),"")</f>
        <v>95</v>
      </c>
      <c r="H614" s="58">
        <f t="array" ref="H614">IFERROR(IF(INDEX(Data!$G$2:$G$750,SMALL(Data!$S$2:$S$750,508))=0,"",INDEX(Data!$G$2:$G$750,SMALL(Data!$S$2:$S$750,508))),"")</f>
        <v>46251</v>
      </c>
      <c r="I614" s="56">
        <f t="array" ref="I614">IFERROR(IF(INDEX(Data!$H$2:$H$750,SMALL(Data!$S$2:$S$750,508))=0,"",INDEX(Data!$H$2:$H$750,SMALL(Data!$S$2:$S$750,508))),"")</f>
        <v>20</v>
      </c>
      <c r="J614" s="58">
        <f t="array" ref="J614">IFERROR(INDEX(Data!$I$2:$I$750,SMALL(Data!$S$2:$S$750,508)),"")</f>
        <v>46391</v>
      </c>
      <c r="K614" s="56" t="str">
        <f t="array" ref="K614">IFERROR(INDEX(Data!$J$2:$J$750,SMALL(Data!$S$2:$S$750,508)),"")</f>
        <v>Not Paid</v>
      </c>
      <c r="L614" s="56" t="str">
        <f t="array" ref="L614">IFERROR(INDEX(Data!$K$2:$K$750,SMALL(Data!$S$2:$S$750,508)),"")</f>
        <v>Pending</v>
      </c>
      <c r="M614" s="48" t="s">
        <v>421</v>
      </c>
      <c r="N614" s="48">
        <f>SUMIFS(Data!D2:D750,Data!A2:A750,M614,Data!Q2:Q750,1)</f>
        <v>45050</v>
      </c>
      <c r="O614" s="61">
        <f t="shared" si="1"/>
        <v>45050.00001</v>
      </c>
    </row>
    <row r="615" ht="15.75" customHeight="1">
      <c r="B615" s="53" t="str">
        <f t="array" ref="B615">IFERROR(INDEX(Data!$A$2:$A$750,SMALL(Data!$S$2:$S$750,509)),"")</f>
        <v>S02397 - 324-STELLA DI MARE SIDI ABDEL RAHMAN RESORT</v>
      </c>
      <c r="C615" s="53" t="str">
        <f t="array" ref="C615">IFERROR(IF(INDEX(Data!$B$2:$B$750,SMALL(Data!$S$2:$S$750,509))=0,"",INDEX(Data!$B$2:$B$750,SMALL(Data!$S$2:$S$750,509))),"")</f>
        <v>zebra</v>
      </c>
      <c r="D615" s="53" t="str">
        <f t="array" ref="D615">IFERROR(INDEX(Data!$C$2:$C$750,SMALL(Data!$S$2:$S$750,509)),"")</f>
        <v>ZC300 Card Printer - Single Sided</v>
      </c>
      <c r="E615" s="53">
        <f t="array" ref="E615">IFERROR(IF(INDEX(Data!$D$2:$D$750,SMALL(Data!$S$2:$S$750,509))=0,"",INDEX(Data!$D$2:$D$750,SMALL(Data!$S$2:$S$750,509))),"")</f>
        <v>1</v>
      </c>
      <c r="F615" s="54">
        <f t="array" ref="F615">IFERROR(IF(INDEX(Data!$E$2:$E$750,SMALL(Data!$S$2:$S$750,509))=0,"",INDEX(Data!$E$2:$E$750,SMALL(Data!$S$2:$S$750,509))),"")</f>
        <v>574</v>
      </c>
      <c r="G615" s="54">
        <f t="array" ref="G615">IFERROR(INDEX(Data!$F$2:$F$750,SMALL(Data!$S$2:$S$750,509)),"")</f>
        <v>574</v>
      </c>
      <c r="H615" s="55">
        <f t="array" ref="H615">IFERROR(IF(INDEX(Data!$G$2:$G$750,SMALL(Data!$S$2:$S$750,509))=0,"",INDEX(Data!$G$2:$G$750,SMALL(Data!$S$2:$S$750,509))),"")</f>
        <v>46252</v>
      </c>
      <c r="I615" s="53">
        <f t="array" ref="I615">IFERROR(IF(INDEX(Data!$H$2:$H$750,SMALL(Data!$S$2:$S$750,509))=0,"",INDEX(Data!$H$2:$H$750,SMALL(Data!$S$2:$S$750,509))),"")</f>
        <v>20</v>
      </c>
      <c r="J615" s="55">
        <f t="array" ref="J615">IFERROR(INDEX(Data!$I$2:$I$750,SMALL(Data!$S$2:$S$750,509)),"")</f>
        <v>46392</v>
      </c>
      <c r="K615" s="53" t="str">
        <f t="array" ref="K615">IFERROR(INDEX(Data!$J$2:$J$750,SMALL(Data!$S$2:$S$750,509)),"")</f>
        <v>Not Paid</v>
      </c>
      <c r="L615" s="53" t="str">
        <f t="array" ref="L615">IFERROR(INDEX(Data!$K$2:$K$750,SMALL(Data!$S$2:$S$750,509)),"")</f>
        <v>Pending</v>
      </c>
      <c r="M615" s="48" t="s">
        <v>424</v>
      </c>
      <c r="N615" s="48">
        <f>SUMIFS(Data!D2:D750,Data!A2:A750,M615,Data!Q2:Q750,1)</f>
        <v>20</v>
      </c>
      <c r="O615" s="61">
        <f t="shared" si="1"/>
        <v>20.00000615</v>
      </c>
    </row>
    <row r="616" ht="15.75" customHeight="1">
      <c r="B616" s="56" t="str">
        <f t="array" ref="B616">IFERROR(INDEX(Data!$A$2:$A$750,SMALL(Data!$S$2:$S$750,510)),"")</f>
        <v>S02397 - 324-STELLA DI MARE SIDI ABDEL RAHMAN RESORT</v>
      </c>
      <c r="C616" s="56" t="str">
        <f t="array" ref="C616">IFERROR(IF(INDEX(Data!$B$2:$B$750,SMALL(Data!$S$2:$S$750,510))=0,"",INDEX(Data!$B$2:$B$750,SMALL(Data!$S$2:$S$750,510))),"")</f>
        <v>zebra</v>
      </c>
      <c r="D616" s="56" t="str">
        <f t="array" ref="D616">IFERROR(INDEX(Data!$C$2:$C$750,SMALL(Data!$S$2:$S$750,510)),"")</f>
        <v>ZC300 Card Ribbon - YMCKOK</v>
      </c>
      <c r="E616" s="56">
        <f t="array" ref="E616">IFERROR(IF(INDEX(Data!$D$2:$D$750,SMALL(Data!$S$2:$S$750,510))=0,"",INDEX(Data!$D$2:$D$750,SMALL(Data!$S$2:$S$750,510))),"")</f>
        <v>2</v>
      </c>
      <c r="F616" s="57">
        <f t="array" ref="F616">IFERROR(IF(INDEX(Data!$E$2:$E$750,SMALL(Data!$S$2:$S$750,510))=0,"",INDEX(Data!$E$2:$E$750,SMALL(Data!$S$2:$S$750,510))),"")</f>
        <v>558</v>
      </c>
      <c r="G616" s="57">
        <f t="array" ref="G616">IFERROR(INDEX(Data!$F$2:$F$750,SMALL(Data!$S$2:$S$750,510)),"")</f>
        <v>1116</v>
      </c>
      <c r="H616" s="58">
        <f t="array" ref="H616">IFERROR(IF(INDEX(Data!$G$2:$G$750,SMALL(Data!$S$2:$S$750,510))=0,"",INDEX(Data!$G$2:$G$750,SMALL(Data!$S$2:$S$750,510))),"")</f>
        <v>46253</v>
      </c>
      <c r="I616" s="56">
        <f t="array" ref="I616">IFERROR(IF(INDEX(Data!$H$2:$H$750,SMALL(Data!$S$2:$S$750,510))=0,"",INDEX(Data!$H$2:$H$750,SMALL(Data!$S$2:$S$750,510))),"")</f>
        <v>21</v>
      </c>
      <c r="J616" s="58">
        <f t="array" ref="J616">IFERROR(INDEX(Data!$I$2:$I$750,SMALL(Data!$S$2:$S$750,510)),"")</f>
        <v>46400</v>
      </c>
      <c r="K616" s="56" t="str">
        <f t="array" ref="K616">IFERROR(INDEX(Data!$J$2:$J$750,SMALL(Data!$S$2:$S$750,510)),"")</f>
        <v>Not Paid</v>
      </c>
      <c r="L616" s="56" t="str">
        <f t="array" ref="L616">IFERROR(INDEX(Data!$K$2:$K$750,SMALL(Data!$S$2:$S$750,510)),"")</f>
        <v>Pending</v>
      </c>
      <c r="M616" s="48" t="s">
        <v>426</v>
      </c>
      <c r="N616" s="48">
        <f>SUMIFS(Data!D2:D750,Data!A2:A750,M616,Data!Q2:Q750,1)</f>
        <v>21</v>
      </c>
      <c r="O616" s="61">
        <f t="shared" si="1"/>
        <v>21.00000616</v>
      </c>
    </row>
    <row r="617" ht="15.75" customHeight="1">
      <c r="B617" s="53" t="str">
        <f t="array" ref="B617">IFERROR(INDEX(Data!$A$2:$A$750,SMALL(Data!$S$2:$S$750,511)),"")</f>
        <v>S02432 - 0800 - Cairo University</v>
      </c>
      <c r="C617" s="53" t="str">
        <f t="array" ref="C617">IFERROR(IF(INDEX(Data!$B$2:$B$750,SMALL(Data!$S$2:$S$750,511))=0,"",INDEX(Data!$B$2:$B$750,SMALL(Data!$S$2:$S$750,511))),"")</f>
        <v>Smartrac</v>
      </c>
      <c r="D617" s="53" t="str">
        <f t="array" ref="D617">IFERROR(INDEX(Data!$C$2:$C$750,SMALL(Data!$S$2:$S$750,511)),"")</f>
        <v>UHF RFID Paper Tags (SHORTDIPOLE)</v>
      </c>
      <c r="E617" s="53">
        <f t="array" ref="E617">IFERROR(IF(INDEX(Data!$D$2:$D$750,SMALL(Data!$S$2:$S$750,511))=0,"",INDEX(Data!$D$2:$D$750,SMALL(Data!$S$2:$S$750,511))),"")</f>
        <v>121000</v>
      </c>
      <c r="F617" s="54">
        <f t="array" ref="F617">IFERROR(IF(INDEX(Data!$E$2:$E$750,SMALL(Data!$S$2:$S$750,511))=0,"",INDEX(Data!$E$2:$E$750,SMALL(Data!$S$2:$S$750,511))),"")</f>
        <v>2265</v>
      </c>
      <c r="G617" s="54">
        <f t="array" ref="G617">IFERROR(INDEX(Data!$F$2:$F$750,SMALL(Data!$S$2:$S$750,511)),"")</f>
        <v>274065000</v>
      </c>
      <c r="H617" s="55">
        <f t="array" ref="H617">IFERROR(IF(INDEX(Data!$G$2:$G$750,SMALL(Data!$S$2:$S$750,511))=0,"",INDEX(Data!$G$2:$G$750,SMALL(Data!$S$2:$S$750,511))),"")</f>
        <v>46254</v>
      </c>
      <c r="I617" s="53">
        <f t="array" ref="I617">IFERROR(IF(INDEX(Data!$H$2:$H$750,SMALL(Data!$S$2:$S$750,511))=0,"",INDEX(Data!$H$2:$H$750,SMALL(Data!$S$2:$S$750,511))),"")</f>
        <v>21</v>
      </c>
      <c r="J617" s="55">
        <f t="array" ref="J617">IFERROR(INDEX(Data!$I$2:$I$750,SMALL(Data!$S$2:$S$750,511)),"")</f>
        <v>46401</v>
      </c>
      <c r="K617" s="53" t="str">
        <f t="array" ref="K617">IFERROR(INDEX(Data!$J$2:$J$750,SMALL(Data!$S$2:$S$750,511)),"")</f>
        <v>Not Paid</v>
      </c>
      <c r="L617" s="53" t="str">
        <f t="array" ref="L617">IFERROR(INDEX(Data!$K$2:$K$750,SMALL(Data!$S$2:$S$750,511)),"")</f>
        <v>Pending</v>
      </c>
      <c r="M617" s="48" t="s">
        <v>428</v>
      </c>
      <c r="N617" s="48">
        <f>SUMIFS(Data!D2:D750,Data!A2:A750,M617,Data!Q2:Q750,1)</f>
        <v>1</v>
      </c>
      <c r="O617" s="61">
        <f t="shared" si="1"/>
        <v>1.00000617</v>
      </c>
    </row>
    <row r="618" ht="15.75" customHeight="1">
      <c r="B618" s="56" t="str">
        <f t="array" ref="B618">IFERROR(INDEX(Data!$A$2:$A$750,SMALL(Data!$S$2:$S$750,512)),"")</f>
        <v>S02432 - 0800 - Cairo University</v>
      </c>
      <c r="C618" s="56" t="str">
        <f t="array" ref="C618">IFERROR(IF(INDEX(Data!$B$2:$B$750,SMALL(Data!$S$2:$S$750,512))=0,"",INDEX(Data!$B$2:$B$750,SMALL(Data!$S$2:$S$750,512))),"")</f>
        <v>Avery Dennison/Dipole</v>
      </c>
      <c r="D618" s="56" t="str">
        <f t="array" ref="D618">IFERROR(INDEX(Data!$C$2:$C$750,SMALL(Data!$S$2:$S$750,512)),"")</f>
        <v>Paper tags (Dogbone) Blank</v>
      </c>
      <c r="E618" s="56">
        <f t="array" ref="E618">IFERROR(IF(INDEX(Data!$D$2:$D$750,SMALL(Data!$S$2:$S$750,512))=0,"",INDEX(Data!$D$2:$D$750,SMALL(Data!$S$2:$S$750,512))),"")</f>
        <v>9000</v>
      </c>
      <c r="F618" s="57">
        <f t="array" ref="F618">IFERROR(IF(INDEX(Data!$E$2:$E$750,SMALL(Data!$S$2:$S$750,512))=0,"",INDEX(Data!$E$2:$E$750,SMALL(Data!$S$2:$S$750,512))),"")</f>
        <v>45</v>
      </c>
      <c r="G618" s="57">
        <f t="array" ref="G618">IFERROR(INDEX(Data!$F$2:$F$750,SMALL(Data!$S$2:$S$750,512)),"")</f>
        <v>405000</v>
      </c>
      <c r="H618" s="58">
        <f t="array" ref="H618">IFERROR(IF(INDEX(Data!$G$2:$G$750,SMALL(Data!$S$2:$S$750,512))=0,"",INDEX(Data!$G$2:$G$750,SMALL(Data!$S$2:$S$750,512))),"")</f>
        <v>46255</v>
      </c>
      <c r="I618" s="56">
        <f t="array" ref="I618">IFERROR(IF(INDEX(Data!$H$2:$H$750,SMALL(Data!$S$2:$S$750,512))=0,"",INDEX(Data!$H$2:$H$750,SMALL(Data!$S$2:$S$750,512))),"")</f>
        <v>14</v>
      </c>
      <c r="J618" s="58">
        <f t="array" ref="J618">IFERROR(INDEX(Data!$I$2:$I$750,SMALL(Data!$S$2:$S$750,512)),"")</f>
        <v>46353</v>
      </c>
      <c r="K618" s="56" t="str">
        <f t="array" ref="K618">IFERROR(INDEX(Data!$J$2:$J$750,SMALL(Data!$S$2:$S$750,512)),"")</f>
        <v>Not Paid</v>
      </c>
      <c r="L618" s="56" t="str">
        <f t="array" ref="L618">IFERROR(INDEX(Data!$K$2:$K$750,SMALL(Data!$S$2:$S$750,512)),"")</f>
        <v>Pending</v>
      </c>
      <c r="M618" s="48" t="s">
        <v>429</v>
      </c>
      <c r="N618" s="48">
        <f>SUMIFS(Data!D2:D750,Data!A2:A750,M618,Data!Q2:Q750,1)</f>
        <v>20000</v>
      </c>
      <c r="O618" s="61">
        <f t="shared" si="1"/>
        <v>20000.00001</v>
      </c>
    </row>
    <row r="619" ht="15.75" customHeight="1">
      <c r="B619" s="53" t="str">
        <f t="array" ref="B619">IFERROR(INDEX(Data!$A$2:$A$750,SMALL(Data!$S$2:$S$750,513)),"")</f>
        <v>S02432 - 0800 - Cairo University</v>
      </c>
      <c r="C619" s="53" t="str">
        <f t="array" ref="C619">IFERROR(IF(INDEX(Data!$B$2:$B$750,SMALL(Data!$S$2:$S$750,513))=0,"",INDEX(Data!$B$2:$B$750,SMALL(Data!$S$2:$S$750,513))),"")</f>
        <v/>
      </c>
      <c r="D619" s="53" t="str">
        <f t="array" ref="D619">IFERROR(INDEX(Data!$C$2:$C$750,SMALL(Data!$S$2:$S$750,513)),"")</f>
        <v>HF cards- printed</v>
      </c>
      <c r="E619" s="53">
        <f t="array" ref="E619">IFERROR(IF(INDEX(Data!$D$2:$D$750,SMALL(Data!$S$2:$S$750,513))=0,"",INDEX(Data!$D$2:$D$750,SMALL(Data!$S$2:$S$750,513))),"")</f>
        <v>1000</v>
      </c>
      <c r="F619" s="54">
        <f t="array" ref="F619">IFERROR(IF(INDEX(Data!$E$2:$E$750,SMALL(Data!$S$2:$S$750,513))=0,"",INDEX(Data!$E$2:$E$750,SMALL(Data!$S$2:$S$750,513))),"")</f>
        <v>5554</v>
      </c>
      <c r="G619" s="54">
        <f t="array" ref="G619">IFERROR(INDEX(Data!$F$2:$F$750,SMALL(Data!$S$2:$S$750,513)),"")</f>
        <v>5554000</v>
      </c>
      <c r="H619" s="55">
        <f t="array" ref="H619">IFERROR(IF(INDEX(Data!$G$2:$G$750,SMALL(Data!$S$2:$S$750,513))=0,"",INDEX(Data!$G$2:$G$750,SMALL(Data!$S$2:$S$750,513))),"")</f>
        <v>46256</v>
      </c>
      <c r="I619" s="53">
        <f t="array" ref="I619">IFERROR(IF(INDEX(Data!$H$2:$H$750,SMALL(Data!$S$2:$S$750,513))=0,"",INDEX(Data!$H$2:$H$750,SMALL(Data!$S$2:$S$750,513))),"")</f>
        <v>14</v>
      </c>
      <c r="J619" s="55">
        <f t="array" ref="J619">IFERROR(INDEX(Data!$I$2:$I$750,SMALL(Data!$S$2:$S$750,513)),"")</f>
        <v>46354</v>
      </c>
      <c r="K619" s="53" t="str">
        <f t="array" ref="K619">IFERROR(INDEX(Data!$J$2:$J$750,SMALL(Data!$S$2:$S$750,513)),"")</f>
        <v>Not Paid</v>
      </c>
      <c r="L619" s="53" t="str">
        <f t="array" ref="L619">IFERROR(INDEX(Data!$K$2:$K$750,SMALL(Data!$S$2:$S$750,513)),"")</f>
        <v>Pending</v>
      </c>
      <c r="M619" s="48" t="s">
        <v>431</v>
      </c>
      <c r="N619" s="48">
        <f>SUMIFS(Data!D2:D750,Data!A2:A750,M619,Data!Q2:Q750,1)</f>
        <v>1</v>
      </c>
      <c r="O619" s="61">
        <f t="shared" si="1"/>
        <v>1.00000619</v>
      </c>
    </row>
    <row r="620" ht="15.75" customHeight="1">
      <c r="B620" s="56" t="str">
        <f t="array" ref="B620">IFERROR(INDEX(Data!$A$2:$A$750,SMALL(Data!$S$2:$S$750,514)),"")</f>
        <v>S02432 - 0800 - Cairo University</v>
      </c>
      <c r="C620" s="56" t="str">
        <f t="array" ref="C620">IFERROR(IF(INDEX(Data!$B$2:$B$750,SMALL(Data!$S$2:$S$750,514))=0,"",INDEX(Data!$B$2:$B$750,SMALL(Data!$S$2:$S$750,514))),"")</f>
        <v>FEIG</v>
      </c>
      <c r="D620" s="56" t="str">
        <f t="array" ref="D620">IFERROR(INDEX(Data!$C$2:$C$750,SMALL(Data!$S$2:$S$750,514)),"")</f>
        <v>ID SPAD.U-USB-EU UHF Shielded Pad Reader</v>
      </c>
      <c r="E620" s="56">
        <f t="array" ref="E620">IFERROR(IF(INDEX(Data!$D$2:$D$750,SMALL(Data!$S$2:$S$750,514))=0,"",INDEX(Data!$D$2:$D$750,SMALL(Data!$S$2:$S$750,514))),"")</f>
        <v>3</v>
      </c>
      <c r="F620" s="57">
        <f t="array" ref="F620">IFERROR(IF(INDEX(Data!$E$2:$E$750,SMALL(Data!$S$2:$S$750,514))=0,"",INDEX(Data!$E$2:$E$750,SMALL(Data!$S$2:$S$750,514))),"")</f>
        <v>41</v>
      </c>
      <c r="G620" s="57">
        <f t="array" ref="G620">IFERROR(INDEX(Data!$F$2:$F$750,SMALL(Data!$S$2:$S$750,514)),"")</f>
        <v>123</v>
      </c>
      <c r="H620" s="58">
        <f t="array" ref="H620">IFERROR(IF(INDEX(Data!$G$2:$G$750,SMALL(Data!$S$2:$S$750,514))=0,"",INDEX(Data!$G$2:$G$750,SMALL(Data!$S$2:$S$750,514))),"")</f>
        <v>46257</v>
      </c>
      <c r="I620" s="56">
        <f t="array" ref="I620">IFERROR(IF(INDEX(Data!$H$2:$H$750,SMALL(Data!$S$2:$S$750,514))=0,"",INDEX(Data!$H$2:$H$750,SMALL(Data!$S$2:$S$750,514))),"")</f>
        <v>12</v>
      </c>
      <c r="J620" s="58">
        <f t="array" ref="J620">IFERROR(INDEX(Data!$I$2:$I$750,SMALL(Data!$S$2:$S$750,514)),"")</f>
        <v>46341</v>
      </c>
      <c r="K620" s="56" t="str">
        <f t="array" ref="K620">IFERROR(INDEX(Data!$J$2:$J$750,SMALL(Data!$S$2:$S$750,514)),"")</f>
        <v>Not Paid</v>
      </c>
      <c r="L620" s="56" t="str">
        <f t="array" ref="L620">IFERROR(INDEX(Data!$K$2:$K$750,SMALL(Data!$S$2:$S$750,514)),"")</f>
        <v>Pending</v>
      </c>
      <c r="M620" s="48" t="s">
        <v>433</v>
      </c>
      <c r="N620" s="48">
        <f>SUMIFS(Data!D2:D750,Data!A2:A750,M620,Data!Q2:Q750,1)</f>
        <v>4</v>
      </c>
      <c r="O620" s="61">
        <f t="shared" si="1"/>
        <v>4.0000062</v>
      </c>
    </row>
    <row r="621" ht="15.75" customHeight="1">
      <c r="B621" s="53" t="str">
        <f t="array" ref="B621">IFERROR(INDEX(Data!$A$2:$A$750,SMALL(Data!$S$2:$S$750,515)),"")</f>
        <v>S02432 - 0800 - Cairo University</v>
      </c>
      <c r="C621" s="53" t="str">
        <f t="array" ref="C621">IFERROR(IF(INDEX(Data!$B$2:$B$750,SMALL(Data!$S$2:$S$750,515))=0,"",INDEX(Data!$B$2:$B$750,SMALL(Data!$S$2:$S$750,515))),"")</f>
        <v/>
      </c>
      <c r="D621" s="53" t="str">
        <f t="array" ref="D621">IFERROR(INDEX(Data!$C$2:$C$750,SMALL(Data!$S$2:$S$750,515)),"")</f>
        <v>LRU4000 UHF Reader with 4 Antennas Kit</v>
      </c>
      <c r="E621" s="53">
        <f t="array" ref="E621">IFERROR(IF(INDEX(Data!$D$2:$D$750,SMALL(Data!$S$2:$S$750,515))=0,"",INDEX(Data!$D$2:$D$750,SMALL(Data!$S$2:$S$750,515))),"")</f>
        <v>3</v>
      </c>
      <c r="F621" s="54">
        <f t="array" ref="F621">IFERROR(IF(INDEX(Data!$E$2:$E$750,SMALL(Data!$S$2:$S$750,515))=0,"",INDEX(Data!$E$2:$E$750,SMALL(Data!$S$2:$S$750,515))),"")</f>
        <v>231</v>
      </c>
      <c r="G621" s="54">
        <f t="array" ref="G621">IFERROR(INDEX(Data!$F$2:$F$750,SMALL(Data!$S$2:$S$750,515)),"")</f>
        <v>693</v>
      </c>
      <c r="H621" s="55">
        <f t="array" ref="H621">IFERROR(IF(INDEX(Data!$G$2:$G$750,SMALL(Data!$S$2:$S$750,515))=0,"",INDEX(Data!$G$2:$G$750,SMALL(Data!$S$2:$S$750,515))),"")</f>
        <v>46258</v>
      </c>
      <c r="I621" s="53">
        <f t="array" ref="I621">IFERROR(IF(INDEX(Data!$H$2:$H$750,SMALL(Data!$S$2:$S$750,515))=0,"",INDEX(Data!$H$2:$H$750,SMALL(Data!$S$2:$S$750,515))),"")</f>
        <v>11</v>
      </c>
      <c r="J621" s="55">
        <f t="array" ref="J621">IFERROR(INDEX(Data!$I$2:$I$750,SMALL(Data!$S$2:$S$750,515)),"")</f>
        <v>46335</v>
      </c>
      <c r="K621" s="53" t="str">
        <f t="array" ref="K621">IFERROR(INDEX(Data!$J$2:$J$750,SMALL(Data!$S$2:$S$750,515)),"")</f>
        <v>Not Paid</v>
      </c>
      <c r="L621" s="53" t="str">
        <f t="array" ref="L621">IFERROR(INDEX(Data!$K$2:$K$750,SMALL(Data!$S$2:$S$750,515)),"")</f>
        <v>Pending</v>
      </c>
      <c r="M621" s="48" t="s">
        <v>435</v>
      </c>
      <c r="N621" s="48">
        <f>SUMIFS(Data!D2:D750,Data!A2:A750,M621,Data!Q2:Q750,1)</f>
        <v>4080</v>
      </c>
      <c r="O621" s="61">
        <f t="shared" si="1"/>
        <v>4080.000006</v>
      </c>
    </row>
    <row r="622" ht="15.75" customHeight="1">
      <c r="B622" s="56" t="str">
        <f t="array" ref="B622">IFERROR(INDEX(Data!$A$2:$A$750,SMALL(Data!$S$2:$S$750,516)),"")</f>
        <v>S02432 - 0800 - Cairo University</v>
      </c>
      <c r="C622" s="56" t="str">
        <f t="array" ref="C622">IFERROR(IF(INDEX(Data!$B$2:$B$750,SMALL(Data!$S$2:$S$750,516))=0,"",INDEX(Data!$B$2:$B$750,SMALL(Data!$S$2:$S$750,516))),"")</f>
        <v>ATID</v>
      </c>
      <c r="D622" s="56" t="str">
        <f t="array" ref="D622">IFERROR(INDEX(Data!$C$2:$C$750,SMALL(Data!$S$2:$S$750,516)),"")</f>
        <v>ATID RFID Handheld - AT909</v>
      </c>
      <c r="E622" s="56">
        <f t="array" ref="E622">IFERROR(IF(INDEX(Data!$D$2:$D$750,SMALL(Data!$S$2:$S$750,516))=0,"",INDEX(Data!$D$2:$D$750,SMALL(Data!$S$2:$S$750,516))),"")</f>
        <v>3</v>
      </c>
      <c r="F622" s="57">
        <f t="array" ref="F622">IFERROR(IF(INDEX(Data!$E$2:$E$750,SMALL(Data!$S$2:$S$750,516))=0,"",INDEX(Data!$E$2:$E$750,SMALL(Data!$S$2:$S$750,516))),"")</f>
        <v>25</v>
      </c>
      <c r="G622" s="57">
        <f t="array" ref="G622">IFERROR(INDEX(Data!$F$2:$F$750,SMALL(Data!$S$2:$S$750,516)),"")</f>
        <v>75</v>
      </c>
      <c r="H622" s="58">
        <f t="array" ref="H622">IFERROR(IF(INDEX(Data!$G$2:$G$750,SMALL(Data!$S$2:$S$750,516))=0,"",INDEX(Data!$G$2:$G$750,SMALL(Data!$S$2:$S$750,516))),"")</f>
        <v>46259</v>
      </c>
      <c r="I622" s="56">
        <f t="array" ref="I622">IFERROR(IF(INDEX(Data!$H$2:$H$750,SMALL(Data!$S$2:$S$750,516))=0,"",INDEX(Data!$H$2:$H$750,SMALL(Data!$S$2:$S$750,516))),"")</f>
        <v>15</v>
      </c>
      <c r="J622" s="58">
        <f t="array" ref="J622">IFERROR(INDEX(Data!$I$2:$I$750,SMALL(Data!$S$2:$S$750,516)),"")</f>
        <v>46364</v>
      </c>
      <c r="K622" s="56" t="str">
        <f t="array" ref="K622">IFERROR(INDEX(Data!$J$2:$J$750,SMALL(Data!$S$2:$S$750,516)),"")</f>
        <v>Not Paid</v>
      </c>
      <c r="L622" s="56" t="str">
        <f t="array" ref="L622">IFERROR(INDEX(Data!$K$2:$K$750,SMALL(Data!$S$2:$S$750,516)),"")</f>
        <v>Pending</v>
      </c>
      <c r="M622" s="48" t="s">
        <v>437</v>
      </c>
      <c r="N622" s="48">
        <f>SUMIFS(Data!D2:D750,Data!A2:A750,M622,Data!Q2:Q750,1)</f>
        <v>10023</v>
      </c>
      <c r="O622" s="61">
        <f t="shared" si="1"/>
        <v>10023.00001</v>
      </c>
    </row>
    <row r="623" ht="15.75" customHeight="1">
      <c r="B623" s="53" t="str">
        <f t="array" ref="B623">IFERROR(INDEX(Data!$A$2:$A$750,SMALL(Data!$S$2:$S$750,517)),"")</f>
        <v>S02432 - 0800 - Cairo University</v>
      </c>
      <c r="C623" s="53" t="str">
        <f t="array" ref="C623">IFERROR(IF(INDEX(Data!$B$2:$B$750,SMALL(Data!$S$2:$S$750,517))=0,"",INDEX(Data!$B$2:$B$750,SMALL(Data!$S$2:$S$750,517))),"")</f>
        <v>TANSA</v>
      </c>
      <c r="D623" s="53" t="str">
        <f t="array" ref="D623">IFERROR(INDEX(Data!$C$2:$C$750,SMALL(Data!$S$2:$S$750,517)),"")</f>
        <v>Handicap Turnstile - Tansa</v>
      </c>
      <c r="E623" s="53">
        <f t="array" ref="E623">IFERROR(IF(INDEX(Data!$D$2:$D$750,SMALL(Data!$S$2:$S$750,517))=0,"",INDEX(Data!$D$2:$D$750,SMALL(Data!$S$2:$S$750,517))),"")</f>
        <v>1</v>
      </c>
      <c r="F623" s="54">
        <f t="array" ref="F623">IFERROR(IF(INDEX(Data!$E$2:$E$750,SMALL(Data!$S$2:$S$750,517))=0,"",INDEX(Data!$E$2:$E$750,SMALL(Data!$S$2:$S$750,517))),"")</f>
        <v>245</v>
      </c>
      <c r="G623" s="54">
        <f t="array" ref="G623">IFERROR(INDEX(Data!$F$2:$F$750,SMALL(Data!$S$2:$S$750,517)),"")</f>
        <v>245</v>
      </c>
      <c r="H623" s="55">
        <f t="array" ref="H623">IFERROR(IF(INDEX(Data!$G$2:$G$750,SMALL(Data!$S$2:$S$750,517))=0,"",INDEX(Data!$G$2:$G$750,SMALL(Data!$S$2:$S$750,517))),"")</f>
        <v>46260</v>
      </c>
      <c r="I623" s="53">
        <f t="array" ref="I623">IFERROR(IF(INDEX(Data!$H$2:$H$750,SMALL(Data!$S$2:$S$750,517))=0,"",INDEX(Data!$H$2:$H$750,SMALL(Data!$S$2:$S$750,517))),"")</f>
        <v>12</v>
      </c>
      <c r="J623" s="55">
        <f t="array" ref="J623">IFERROR(INDEX(Data!$I$2:$I$750,SMALL(Data!$S$2:$S$750,517)),"")</f>
        <v>46344</v>
      </c>
      <c r="K623" s="53" t="str">
        <f t="array" ref="K623">IFERROR(INDEX(Data!$J$2:$J$750,SMALL(Data!$S$2:$S$750,517)),"")</f>
        <v>Not Paid</v>
      </c>
      <c r="L623" s="53" t="str">
        <f t="array" ref="L623">IFERROR(INDEX(Data!$K$2:$K$750,SMALL(Data!$S$2:$S$750,517)),"")</f>
        <v>Pending</v>
      </c>
      <c r="M623" s="48" t="s">
        <v>439</v>
      </c>
      <c r="N623" s="48">
        <f>SUMIFS(Data!D2:D750,Data!A2:A750,M623,Data!Q2:Q750,1)</f>
        <v>21</v>
      </c>
      <c r="O623" s="61">
        <f t="shared" si="1"/>
        <v>21.00000623</v>
      </c>
    </row>
    <row r="624" ht="15.75" customHeight="1">
      <c r="B624" s="56" t="str">
        <f t="array" ref="B624">IFERROR(INDEX(Data!$A$2:$A$750,SMALL(Data!$S$2:$S$750,518)),"")</f>
        <v>S02432 - 0800 - Cairo University</v>
      </c>
      <c r="C624" s="56" t="str">
        <f t="array" ref="C624">IFERROR(IF(INDEX(Data!$B$2:$B$750,SMALL(Data!$S$2:$S$750,518))=0,"",INDEX(Data!$B$2:$B$750,SMALL(Data!$S$2:$S$750,518))),"")</f>
        <v>Perkotek</v>
      </c>
      <c r="D624" s="56" t="str">
        <f t="array" ref="D624">IFERROR(INDEX(Data!$C$2:$C$750,SMALL(Data!$S$2:$S$750,518)),"")</f>
        <v>S150 Tripod Drop Arm Turnstile - Perkotek </v>
      </c>
      <c r="E624" s="56">
        <f t="array" ref="E624">IFERROR(IF(INDEX(Data!$D$2:$D$750,SMALL(Data!$S$2:$S$750,518))=0,"",INDEX(Data!$D$2:$D$750,SMALL(Data!$S$2:$S$750,518))),"")</f>
        <v>6</v>
      </c>
      <c r="F624" s="57">
        <f t="array" ref="F624">IFERROR(IF(INDEX(Data!$E$2:$E$750,SMALL(Data!$S$2:$S$750,518))=0,"",INDEX(Data!$E$2:$E$750,SMALL(Data!$S$2:$S$750,518))),"")</f>
        <v>2555</v>
      </c>
      <c r="G624" s="57">
        <f t="array" ref="G624">IFERROR(INDEX(Data!$F$2:$F$750,SMALL(Data!$S$2:$S$750,518)),"")</f>
        <v>15330</v>
      </c>
      <c r="H624" s="58">
        <f t="array" ref="H624">IFERROR(IF(INDEX(Data!$G$2:$G$750,SMALL(Data!$S$2:$S$750,518))=0,"",INDEX(Data!$G$2:$G$750,SMALL(Data!$S$2:$S$750,518))),"")</f>
        <v>46261</v>
      </c>
      <c r="I624" s="56">
        <f t="array" ref="I624">IFERROR(IF(INDEX(Data!$H$2:$H$750,SMALL(Data!$S$2:$S$750,518))=0,"",INDEX(Data!$H$2:$H$750,SMALL(Data!$S$2:$S$750,518))),"")</f>
        <v>13</v>
      </c>
      <c r="J624" s="58">
        <f t="array" ref="J624">IFERROR(INDEX(Data!$I$2:$I$750,SMALL(Data!$S$2:$S$750,518)),"")</f>
        <v>46352</v>
      </c>
      <c r="K624" s="56" t="str">
        <f t="array" ref="K624">IFERROR(INDEX(Data!$J$2:$J$750,SMALL(Data!$S$2:$S$750,518)),"")</f>
        <v>Not Paid</v>
      </c>
      <c r="L624" s="56" t="str">
        <f t="array" ref="L624">IFERROR(INDEX(Data!$K$2:$K$750,SMALL(Data!$S$2:$S$750,518)),"")</f>
        <v>Pending</v>
      </c>
      <c r="M624" s="48" t="s">
        <v>442</v>
      </c>
      <c r="N624" s="48">
        <f>SUMIFS(Data!D2:D750,Data!A2:A750,M624,Data!Q2:Q750,1)</f>
        <v>5</v>
      </c>
      <c r="O624" s="61">
        <f t="shared" si="1"/>
        <v>5.00000624</v>
      </c>
    </row>
    <row r="625" ht="15.75" customHeight="1">
      <c r="B625" s="53" t="str">
        <f t="array" ref="B625">IFERROR(INDEX(Data!$A$2:$A$750,SMALL(Data!$S$2:$S$750,519)),"")</f>
        <v>S02432 - 0800 - Cairo University</v>
      </c>
      <c r="C625" s="53" t="str">
        <f t="array" ref="C625">IFERROR(IF(INDEX(Data!$B$2:$B$750,SMALL(Data!$S$2:$S$750,519))=0,"",INDEX(Data!$B$2:$B$750,SMALL(Data!$S$2:$S$750,519))),"")</f>
        <v>FEIG</v>
      </c>
      <c r="D625" s="53" t="str">
        <f t="array" ref="D625">IFERROR(INDEX(Data!$C$2:$C$750,SMALL(Data!$S$2:$S$750,519)),"")</f>
        <v>ID MAX50.10-RE with Relay</v>
      </c>
      <c r="E625" s="53">
        <f t="array" ref="E625">IFERROR(IF(INDEX(Data!$D$2:$D$750,SMALL(Data!$S$2:$S$750,519))=0,"",INDEX(Data!$D$2:$D$750,SMALL(Data!$S$2:$S$750,519))),"")</f>
        <v>10</v>
      </c>
      <c r="F625" s="54">
        <f t="array" ref="F625">IFERROR(IF(INDEX(Data!$E$2:$E$750,SMALL(Data!$S$2:$S$750,519))=0,"",INDEX(Data!$E$2:$E$750,SMALL(Data!$S$2:$S$750,519))),"")</f>
        <v>255</v>
      </c>
      <c r="G625" s="54">
        <f t="array" ref="G625">IFERROR(INDEX(Data!$F$2:$F$750,SMALL(Data!$S$2:$S$750,519)),"")</f>
        <v>2550</v>
      </c>
      <c r="H625" s="55">
        <f t="array" ref="H625">IFERROR(IF(INDEX(Data!$G$2:$G$750,SMALL(Data!$S$2:$S$750,519))=0,"",INDEX(Data!$G$2:$G$750,SMALL(Data!$S$2:$S$750,519))),"")</f>
        <v>46262</v>
      </c>
      <c r="I625" s="53">
        <f t="array" ref="I625">IFERROR(IF(INDEX(Data!$H$2:$H$750,SMALL(Data!$S$2:$S$750,519))=0,"",INDEX(Data!$H$2:$H$750,SMALL(Data!$S$2:$S$750,519))),"")</f>
        <v>11</v>
      </c>
      <c r="J625" s="55">
        <f t="array" ref="J625">IFERROR(INDEX(Data!$I$2:$I$750,SMALL(Data!$S$2:$S$750,519)),"")</f>
        <v>46339</v>
      </c>
      <c r="K625" s="53" t="str">
        <f t="array" ref="K625">IFERROR(INDEX(Data!$J$2:$J$750,SMALL(Data!$S$2:$S$750,519)),"")</f>
        <v>Not Paid</v>
      </c>
      <c r="L625" s="53" t="str">
        <f t="array" ref="L625">IFERROR(INDEX(Data!$K$2:$K$750,SMALL(Data!$S$2:$S$750,519)),"")</f>
        <v>Pending</v>
      </c>
      <c r="M625" s="48" t="s">
        <v>444</v>
      </c>
      <c r="N625" s="48">
        <f>SUMIFS(Data!D2:D750,Data!A2:A750,M625,Data!Q2:Q750,1)</f>
        <v>514</v>
      </c>
      <c r="O625" s="61">
        <f t="shared" si="1"/>
        <v>514.0000063</v>
      </c>
    </row>
    <row r="626" ht="15.75" customHeight="1">
      <c r="B626" s="56" t="str">
        <f t="array" ref="B626">IFERROR(INDEX(Data!$A$2:$A$750,SMALL(Data!$S$2:$S$750,520)),"")</f>
        <v>S02452 - 1116-Nacita</v>
      </c>
      <c r="C626" s="56" t="str">
        <f t="array" ref="C626">IFERROR(IF(INDEX(Data!$B$2:$B$750,SMALL(Data!$S$2:$S$750,520))=0,"",INDEX(Data!$B$2:$B$750,SMALL(Data!$S$2:$S$750,520))),"")</f>
        <v>Metalcraft/ Thabet</v>
      </c>
      <c r="D626" s="56" t="str">
        <f t="array" ref="D626">IFERROR(INDEX(Data!$C$2:$C$750,SMALL(Data!$S$2:$S$750,520)),"")</f>
        <v>EU-Universal Tags (On Metal Tags)</v>
      </c>
      <c r="E626" s="56">
        <f t="array" ref="E626">IFERROR(IF(INDEX(Data!$D$2:$D$750,SMALL(Data!$S$2:$S$750,520))=0,"",INDEX(Data!$D$2:$D$750,SMALL(Data!$S$2:$S$750,520))),"")</f>
        <v>800</v>
      </c>
      <c r="F626" s="57">
        <f t="array" ref="F626">IFERROR(IF(INDEX(Data!$E$2:$E$750,SMALL(Data!$S$2:$S$750,520))=0,"",INDEX(Data!$E$2:$E$750,SMALL(Data!$S$2:$S$750,520))),"")</f>
        <v>45</v>
      </c>
      <c r="G626" s="57">
        <f t="array" ref="G626">IFERROR(INDEX(Data!$F$2:$F$750,SMALL(Data!$S$2:$S$750,520)),"")</f>
        <v>36000</v>
      </c>
      <c r="H626" s="58">
        <f t="array" ref="H626">IFERROR(IF(INDEX(Data!$G$2:$G$750,SMALL(Data!$S$2:$S$750,520))=0,"",INDEX(Data!$G$2:$G$750,SMALL(Data!$S$2:$S$750,520))),"")</f>
        <v>46263</v>
      </c>
      <c r="I626" s="56">
        <f t="array" ref="I626">IFERROR(IF(INDEX(Data!$H$2:$H$750,SMALL(Data!$S$2:$S$750,520))=0,"",INDEX(Data!$H$2:$H$750,SMALL(Data!$S$2:$S$750,520))),"")</f>
        <v>11</v>
      </c>
      <c r="J626" s="58">
        <f t="array" ref="J626">IFERROR(INDEX(Data!$I$2:$I$750,SMALL(Data!$S$2:$S$750,520)),"")</f>
        <v>46340</v>
      </c>
      <c r="K626" s="56" t="str">
        <f t="array" ref="K626">IFERROR(INDEX(Data!$J$2:$J$750,SMALL(Data!$S$2:$S$750,520)),"")</f>
        <v>Not Paid</v>
      </c>
      <c r="L626" s="56" t="str">
        <f t="array" ref="L626">IFERROR(INDEX(Data!$K$2:$K$750,SMALL(Data!$S$2:$S$750,520)),"")</f>
        <v>Pending</v>
      </c>
      <c r="M626" s="48" t="s">
        <v>447</v>
      </c>
      <c r="N626" s="48">
        <f>SUMIFS(Data!D2:D750,Data!A2:A750,M626,Data!Q2:Q750,1)</f>
        <v>506</v>
      </c>
      <c r="O626" s="61">
        <f t="shared" si="1"/>
        <v>506.0000063</v>
      </c>
    </row>
    <row r="627" ht="15.75" customHeight="1">
      <c r="B627" s="53" t="str">
        <f t="array" ref="B627">IFERROR(INDEX(Data!$A$2:$A$750,SMALL(Data!$S$2:$S$750,521)),"")</f>
        <v>S02467 - 0913 - Sidc - Orascom</v>
      </c>
      <c r="C627" s="53" t="str">
        <f t="array" ref="C627">IFERROR(IF(INDEX(Data!$B$2:$B$750,SMALL(Data!$S$2:$S$750,521))=0,"",INDEX(Data!$B$2:$B$750,SMALL(Data!$S$2:$S$750,521))),"")</f>
        <v/>
      </c>
      <c r="D627" s="53" t="str">
        <f t="array" ref="D627">IFERROR(INDEX(Data!$C$2:$C$750,SMALL(Data!$S$2:$S$750,521)),"")</f>
        <v>loop cable</v>
      </c>
      <c r="E627" s="53">
        <f t="array" ref="E627">IFERROR(IF(INDEX(Data!$D$2:$D$750,SMALL(Data!$S$2:$S$750,521))=0,"",INDEX(Data!$D$2:$D$750,SMALL(Data!$S$2:$S$750,521))),"")</f>
        <v>1</v>
      </c>
      <c r="F627" s="54">
        <f t="array" ref="F627">IFERROR(IF(INDEX(Data!$E$2:$E$750,SMALL(Data!$S$2:$S$750,521))=0,"",INDEX(Data!$E$2:$E$750,SMALL(Data!$S$2:$S$750,521))),"")</f>
        <v>36</v>
      </c>
      <c r="G627" s="54">
        <f t="array" ref="G627">IFERROR(INDEX(Data!$F$2:$F$750,SMALL(Data!$S$2:$S$750,521)),"")</f>
        <v>36</v>
      </c>
      <c r="H627" s="55">
        <f t="array" ref="H627">IFERROR(IF(INDEX(Data!$G$2:$G$750,SMALL(Data!$S$2:$S$750,521))=0,"",INDEX(Data!$G$2:$G$750,SMALL(Data!$S$2:$S$750,521))),"")</f>
        <v>46264</v>
      </c>
      <c r="I627" s="53">
        <f t="array" ref="I627">IFERROR(IF(INDEX(Data!$H$2:$H$750,SMALL(Data!$S$2:$S$750,521))=0,"",INDEX(Data!$H$2:$H$750,SMALL(Data!$S$2:$S$750,521))),"")</f>
        <v>12</v>
      </c>
      <c r="J627" s="55">
        <f t="array" ref="J627">IFERROR(INDEX(Data!$I$2:$I$750,SMALL(Data!$S$2:$S$750,521)),"")</f>
        <v>46348</v>
      </c>
      <c r="K627" s="53" t="str">
        <f t="array" ref="K627">IFERROR(INDEX(Data!$J$2:$J$750,SMALL(Data!$S$2:$S$750,521)),"")</f>
        <v>Not Paid</v>
      </c>
      <c r="L627" s="53" t="str">
        <f t="array" ref="L627">IFERROR(INDEX(Data!$K$2:$K$750,SMALL(Data!$S$2:$S$750,521)),"")</f>
        <v>Pending</v>
      </c>
      <c r="M627" s="48" t="s">
        <v>449</v>
      </c>
      <c r="N627" s="48">
        <f>SUMIFS(Data!D2:D750,Data!A2:A750,M627,Data!Q2:Q750,1)</f>
        <v>7002</v>
      </c>
      <c r="O627" s="61">
        <f t="shared" si="1"/>
        <v>7002.000006</v>
      </c>
    </row>
    <row r="628" ht="15.75" customHeight="1">
      <c r="B628" s="56" t="str">
        <f t="array" ref="B628">IFERROR(INDEX(Data!$A$2:$A$750,SMALL(Data!$S$2:$S$750,522)),"")</f>
        <v>S02490 - 1799-EIM Group</v>
      </c>
      <c r="C628" s="56" t="str">
        <f t="array" ref="C628">IFERROR(IF(INDEX(Data!$B$2:$B$750,SMALL(Data!$S$2:$S$750,522))=0,"",INDEX(Data!$B$2:$B$750,SMALL(Data!$S$2:$S$750,522))),"")</f>
        <v>Rich</v>
      </c>
      <c r="D628" s="56" t="str">
        <f t="array" ref="D628">IFERROR(INDEX(Data!$C$2:$C$750,SMALL(Data!$S$2:$S$750,522)),"")</f>
        <v>Rich tags (RCO7012) Printed </v>
      </c>
      <c r="E628" s="56">
        <f t="array" ref="E628">IFERROR(IF(INDEX(Data!$D$2:$D$750,SMALL(Data!$S$2:$S$750,522))=0,"",INDEX(Data!$D$2:$D$750,SMALL(Data!$S$2:$S$750,522))),"")</f>
        <v>2510</v>
      </c>
      <c r="F628" s="57">
        <f t="array" ref="F628">IFERROR(IF(INDEX(Data!$E$2:$E$750,SMALL(Data!$S$2:$S$750,522))=0,"",INDEX(Data!$E$2:$E$750,SMALL(Data!$S$2:$S$750,522))),"")</f>
        <v>96</v>
      </c>
      <c r="G628" s="57">
        <f t="array" ref="G628">IFERROR(INDEX(Data!$F$2:$F$750,SMALL(Data!$S$2:$S$750,522)),"")</f>
        <v>240960</v>
      </c>
      <c r="H628" s="58">
        <f t="array" ref="H628">IFERROR(IF(INDEX(Data!$G$2:$G$750,SMALL(Data!$S$2:$S$750,522))=0,"",INDEX(Data!$G$2:$G$750,SMALL(Data!$S$2:$S$750,522))),"")</f>
        <v>46265</v>
      </c>
      <c r="I628" s="56">
        <f t="array" ref="I628">IFERROR(IF(INDEX(Data!$H$2:$H$750,SMALL(Data!$S$2:$S$750,522))=0,"",INDEX(Data!$H$2:$H$750,SMALL(Data!$S$2:$S$750,522))),"")</f>
        <v>16</v>
      </c>
      <c r="J628" s="58">
        <f t="array" ref="J628">IFERROR(INDEX(Data!$I$2:$I$750,SMALL(Data!$S$2:$S$750,522)),"")</f>
        <v>46377</v>
      </c>
      <c r="K628" s="56" t="str">
        <f t="array" ref="K628">IFERROR(INDEX(Data!$J$2:$J$750,SMALL(Data!$S$2:$S$750,522)),"")</f>
        <v>Not Paid</v>
      </c>
      <c r="L628" s="56" t="str">
        <f t="array" ref="L628">IFERROR(INDEX(Data!$K$2:$K$750,SMALL(Data!$S$2:$S$750,522)),"")</f>
        <v>Pending</v>
      </c>
      <c r="M628" s="48" t="s">
        <v>451</v>
      </c>
      <c r="N628" s="48">
        <f>SUMIFS(Data!D2:D750,Data!A2:A750,M628,Data!Q2:Q750,1)</f>
        <v>5</v>
      </c>
      <c r="O628" s="61">
        <f t="shared" si="1"/>
        <v>5.00000628</v>
      </c>
    </row>
    <row r="629" ht="15.75" customHeight="1">
      <c r="B629" s="53" t="str">
        <f t="array" ref="B629">IFERROR(INDEX(Data!$A$2:$A$750,SMALL(Data!$S$2:$S$750,523)),"")</f>
        <v>S02504 - 0195 - Roya Group</v>
      </c>
      <c r="C629" s="53" t="str">
        <f t="array" ref="C629">IFERROR(IF(INDEX(Data!$B$2:$B$750,SMALL(Data!$S$2:$S$750,523))=0,"",INDEX(Data!$B$2:$B$750,SMALL(Data!$S$2:$S$750,523))),"")</f>
        <v>koodle</v>
      </c>
      <c r="D629" s="53" t="str">
        <f t="array" ref="D629">IFERROR(INDEX(Data!$C$2:$C$750,SMALL(Data!$S$2:$S$750,523)),"")</f>
        <v>[OG-00382] MET QR Code Scanner</v>
      </c>
      <c r="E629" s="53">
        <f t="array" ref="E629">IFERROR(IF(INDEX(Data!$D$2:$D$750,SMALL(Data!$S$2:$S$750,523))=0,"",INDEX(Data!$D$2:$D$750,SMALL(Data!$S$2:$S$750,523))),"")</f>
        <v>2</v>
      </c>
      <c r="F629" s="54">
        <f t="array" ref="F629">IFERROR(IF(INDEX(Data!$E$2:$E$750,SMALL(Data!$S$2:$S$750,523))=0,"",INDEX(Data!$E$2:$E$750,SMALL(Data!$S$2:$S$750,523))),"")</f>
        <v>8</v>
      </c>
      <c r="G629" s="54">
        <f t="array" ref="G629">IFERROR(INDEX(Data!$F$2:$F$750,SMALL(Data!$S$2:$S$750,523)),"")</f>
        <v>16</v>
      </c>
      <c r="H629" s="55">
        <f t="array" ref="H629">IFERROR(IF(INDEX(Data!$G$2:$G$750,SMALL(Data!$S$2:$S$750,523))=0,"",INDEX(Data!$G$2:$G$750,SMALL(Data!$S$2:$S$750,523))),"")</f>
        <v>46266</v>
      </c>
      <c r="I629" s="53">
        <f t="array" ref="I629">IFERROR(IF(INDEX(Data!$H$2:$H$750,SMALL(Data!$S$2:$S$750,523))=0,"",INDEX(Data!$H$2:$H$750,SMALL(Data!$S$2:$S$750,523))),"")</f>
        <v>17</v>
      </c>
      <c r="J629" s="55">
        <f t="array" ref="J629">IFERROR(INDEX(Data!$I$2:$I$750,SMALL(Data!$S$2:$S$750,523)),"")</f>
        <v>46385</v>
      </c>
      <c r="K629" s="53" t="str">
        <f t="array" ref="K629">IFERROR(INDEX(Data!$J$2:$J$750,SMALL(Data!$S$2:$S$750,523)),"")</f>
        <v>Not Paid</v>
      </c>
      <c r="L629" s="53" t="str">
        <f t="array" ref="L629">IFERROR(INDEX(Data!$K$2:$K$750,SMALL(Data!$S$2:$S$750,523)),"")</f>
        <v>Pending</v>
      </c>
      <c r="M629" s="48" t="s">
        <v>453</v>
      </c>
      <c r="N629" s="48">
        <f>SUMIFS(Data!D2:D750,Data!A2:A750,M629,Data!Q2:Q750,1)</f>
        <v>1</v>
      </c>
      <c r="O629" s="61">
        <f t="shared" si="1"/>
        <v>1.00000629</v>
      </c>
    </row>
    <row r="630" ht="15.75" customHeight="1">
      <c r="B630" s="56" t="str">
        <f t="array" ref="B630">IFERROR(INDEX(Data!$A$2:$A$750,SMALL(Data!$S$2:$S$750,524)),"")</f>
        <v>S02516 - 0195 - Roya Group</v>
      </c>
      <c r="C630" s="56" t="str">
        <f t="array" ref="C630">IFERROR(IF(INDEX(Data!$B$2:$B$750,SMALL(Data!$S$2:$S$750,524))=0,"",INDEX(Data!$B$2:$B$750,SMALL(Data!$S$2:$S$750,524))),"")</f>
        <v/>
      </c>
      <c r="D630" s="56" t="str">
        <f t="array" ref="D630">IFERROR(INDEX(Data!$C$2:$C$750,SMALL(Data!$S$2:$S$750,524)),"")</f>
        <v>HF Cards- Blank</v>
      </c>
      <c r="E630" s="56">
        <f t="array" ref="E630">IFERROR(IF(INDEX(Data!$D$2:$D$750,SMALL(Data!$S$2:$S$750,524))=0,"",INDEX(Data!$D$2:$D$750,SMALL(Data!$S$2:$S$750,524))),"")</f>
        <v>200</v>
      </c>
      <c r="F630" s="57">
        <f t="array" ref="F630">IFERROR(IF(INDEX(Data!$E$2:$E$750,SMALL(Data!$S$2:$S$750,524))=0,"",INDEX(Data!$E$2:$E$750,SMALL(Data!$S$2:$S$750,524))),"")</f>
        <v>5</v>
      </c>
      <c r="G630" s="57">
        <f t="array" ref="G630">IFERROR(INDEX(Data!$F$2:$F$750,SMALL(Data!$S$2:$S$750,524)),"")</f>
        <v>1000</v>
      </c>
      <c r="H630" s="58">
        <f t="array" ref="H630">IFERROR(IF(INDEX(Data!$G$2:$G$750,SMALL(Data!$S$2:$S$750,524))=0,"",INDEX(Data!$G$2:$G$750,SMALL(Data!$S$2:$S$750,524))),"")</f>
        <v>46267</v>
      </c>
      <c r="I630" s="56">
        <f t="array" ref="I630">IFERROR(IF(INDEX(Data!$H$2:$H$750,SMALL(Data!$S$2:$S$750,524))=0,"",INDEX(Data!$H$2:$H$750,SMALL(Data!$S$2:$S$750,524))),"")</f>
        <v>16</v>
      </c>
      <c r="J630" s="58">
        <f t="array" ref="J630">IFERROR(INDEX(Data!$I$2:$I$750,SMALL(Data!$S$2:$S$750,524)),"")</f>
        <v>46379</v>
      </c>
      <c r="K630" s="56" t="str">
        <f t="array" ref="K630">IFERROR(INDEX(Data!$J$2:$J$750,SMALL(Data!$S$2:$S$750,524)),"")</f>
        <v>Not Paid</v>
      </c>
      <c r="L630" s="56" t="str">
        <f t="array" ref="L630">IFERROR(INDEX(Data!$K$2:$K$750,SMALL(Data!$S$2:$S$750,524)),"")</f>
        <v>Pending</v>
      </c>
      <c r="M630" s="48" t="s">
        <v>455</v>
      </c>
      <c r="N630" s="48">
        <f>SUMIFS(Data!D2:D750,Data!A2:A750,M630,Data!Q2:Q750,1)</f>
        <v>3</v>
      </c>
      <c r="O630" s="61">
        <f t="shared" si="1"/>
        <v>3.0000063</v>
      </c>
    </row>
    <row r="631" ht="15.75" customHeight="1">
      <c r="B631" s="53" t="str">
        <f t="array" ref="B631">IFERROR(INDEX(Data!$A$2:$A$750,SMALL(Data!$S$2:$S$750,525)),"")</f>
        <v>S02207 - 0195 - Roya Group</v>
      </c>
      <c r="C631" s="53" t="str">
        <f t="array" ref="C631">IFERROR(IF(INDEX(Data!$B$2:$B$750,SMALL(Data!$S$2:$S$750,525))=0,"",INDEX(Data!$B$2:$B$750,SMALL(Data!$S$2:$S$750,525))),"")</f>
        <v>Metalcraft</v>
      </c>
      <c r="D631" s="53" t="str">
        <f t="array" ref="D631">IFERROR(INDEX(Data!$C$2:$C$750,SMALL(Data!$S$2:$S$750,525)),"")</f>
        <v>Destructive Windshield Tags</v>
      </c>
      <c r="E631" s="53">
        <f t="array" ref="E631">IFERROR(IF(INDEX(Data!$D$2:$D$750,SMALL(Data!$S$2:$S$750,525))=0,"",INDEX(Data!$D$2:$D$750,SMALL(Data!$S$2:$S$750,525))),"")</f>
        <v>2000</v>
      </c>
      <c r="F631" s="54">
        <f t="array" ref="F631">IFERROR(IF(INDEX(Data!$E$2:$E$750,SMALL(Data!$S$2:$S$750,525))=0,"",INDEX(Data!$E$2:$E$750,SMALL(Data!$S$2:$S$750,525))),"")</f>
        <v>4</v>
      </c>
      <c r="G631" s="54">
        <f t="array" ref="G631">IFERROR(INDEX(Data!$F$2:$F$750,SMALL(Data!$S$2:$S$750,525)),"")</f>
        <v>8000</v>
      </c>
      <c r="H631" s="55">
        <f t="array" ref="H631">IFERROR(IF(INDEX(Data!$G$2:$G$750,SMALL(Data!$S$2:$S$750,525))=0,"",INDEX(Data!$G$2:$G$750,SMALL(Data!$S$2:$S$750,525))),"")</f>
        <v>46268</v>
      </c>
      <c r="I631" s="53">
        <f t="array" ref="I631">IFERROR(IF(INDEX(Data!$H$2:$H$750,SMALL(Data!$S$2:$S$750,525))=0,"",INDEX(Data!$H$2:$H$750,SMALL(Data!$S$2:$S$750,525))),"")</f>
        <v>16</v>
      </c>
      <c r="J631" s="55">
        <f t="array" ref="J631">IFERROR(INDEX(Data!$I$2:$I$750,SMALL(Data!$S$2:$S$750,525)),"")</f>
        <v>46380</v>
      </c>
      <c r="K631" s="53" t="str">
        <f t="array" ref="K631">IFERROR(INDEX(Data!$J$2:$J$750,SMALL(Data!$S$2:$S$750,525)),"")</f>
        <v>Not Paid</v>
      </c>
      <c r="L631" s="53" t="str">
        <f t="array" ref="L631">IFERROR(INDEX(Data!$K$2:$K$750,SMALL(Data!$S$2:$S$750,525)),"")</f>
        <v>Pending</v>
      </c>
      <c r="M631" s="48" t="s">
        <v>456</v>
      </c>
      <c r="N631" s="48">
        <f>SUMIFS(Data!D2:D750,Data!A2:A750,M631,Data!Q2:Q750,1)</f>
        <v>1</v>
      </c>
      <c r="O631" s="61">
        <f t="shared" si="1"/>
        <v>1.00000631</v>
      </c>
    </row>
    <row r="632" ht="15.75" customHeight="1">
      <c r="B632" s="56" t="str">
        <f t="array" ref="B632">IFERROR(INDEX(Data!$A$2:$A$750,SMALL(Data!$S$2:$S$750,526)),"")</f>
        <v>S02447 - 0430 - Marina</v>
      </c>
      <c r="C632" s="56" t="str">
        <f t="array" ref="C632">IFERROR(IF(INDEX(Data!$B$2:$B$750,SMALL(Data!$S$2:$S$750,526))=0,"",INDEX(Data!$B$2:$B$750,SMALL(Data!$S$2:$S$750,526))),"")</f>
        <v/>
      </c>
      <c r="D632" s="56" t="str">
        <f t="array" ref="D632">IFERROR(INDEX(Data!$C$2:$C$750,SMALL(Data!$S$2:$S$750,526)),"")</f>
        <v>Control board for Magnetic Toll</v>
      </c>
      <c r="E632" s="56">
        <f t="array" ref="E632">IFERROR(IF(INDEX(Data!$D$2:$D$750,SMALL(Data!$S$2:$S$750,526))=0,"",INDEX(Data!$D$2:$D$750,SMALL(Data!$S$2:$S$750,526))),"")</f>
        <v>2</v>
      </c>
      <c r="F632" s="57">
        <f t="array" ref="F632">IFERROR(IF(INDEX(Data!$E$2:$E$750,SMALL(Data!$S$2:$S$750,526))=0,"",INDEX(Data!$E$2:$E$750,SMALL(Data!$S$2:$S$750,526))),"")</f>
        <v>2</v>
      </c>
      <c r="G632" s="57">
        <f t="array" ref="G632">IFERROR(INDEX(Data!$F$2:$F$750,SMALL(Data!$S$2:$S$750,526)),"")</f>
        <v>4</v>
      </c>
      <c r="H632" s="58">
        <f t="array" ref="H632">IFERROR(IF(INDEX(Data!$G$2:$G$750,SMALL(Data!$S$2:$S$750,526))=0,"",INDEX(Data!$G$2:$G$750,SMALL(Data!$S$2:$S$750,526))),"")</f>
        <v>46269</v>
      </c>
      <c r="I632" s="56">
        <f t="array" ref="I632">IFERROR(IF(INDEX(Data!$H$2:$H$750,SMALL(Data!$S$2:$S$750,526))=0,"",INDEX(Data!$H$2:$H$750,SMALL(Data!$S$2:$S$750,526))),"")</f>
        <v>16</v>
      </c>
      <c r="J632" s="58">
        <f t="array" ref="J632">IFERROR(INDEX(Data!$I$2:$I$750,SMALL(Data!$S$2:$S$750,526)),"")</f>
        <v>46381</v>
      </c>
      <c r="K632" s="56" t="str">
        <f t="array" ref="K632">IFERROR(INDEX(Data!$J$2:$J$750,SMALL(Data!$S$2:$S$750,526)),"")</f>
        <v>Not Paid</v>
      </c>
      <c r="L632" s="56" t="str">
        <f t="array" ref="L632">IFERROR(INDEX(Data!$K$2:$K$750,SMALL(Data!$S$2:$S$750,526)),"")</f>
        <v>Pending</v>
      </c>
      <c r="M632" s="48" t="s">
        <v>458</v>
      </c>
      <c r="N632" s="48">
        <f>SUMIFS(Data!D2:D750,Data!A2:A750,M632,Data!Q2:Q750,1)</f>
        <v>26</v>
      </c>
      <c r="O632" s="61">
        <f t="shared" si="1"/>
        <v>26.00000632</v>
      </c>
    </row>
    <row r="633" ht="15.75" customHeight="1">
      <c r="B633" s="53" t="str">
        <f t="array" ref="B633">IFERROR(INDEX(Data!$A$2:$A$750,SMALL(Data!$S$2:$S$750,527)),"")</f>
        <v>S02447 - 0430 - Marina</v>
      </c>
      <c r="C633" s="53" t="str">
        <f t="array" ref="C633">IFERROR(IF(INDEX(Data!$B$2:$B$750,SMALL(Data!$S$2:$S$750,527))=0,"",INDEX(Data!$B$2:$B$750,SMALL(Data!$S$2:$S$750,527))),"")</f>
        <v/>
      </c>
      <c r="D633" s="53" t="str">
        <f t="array" ref="D633">IFERROR(INDEX(Data!$C$2:$C$750,SMALL(Data!$S$2:$S$750,527)),"")</f>
        <v>power supply for magnetic toll</v>
      </c>
      <c r="E633" s="53">
        <f t="array" ref="E633">IFERROR(IF(INDEX(Data!$D$2:$D$750,SMALL(Data!$S$2:$S$750,527))=0,"",INDEX(Data!$D$2:$D$750,SMALL(Data!$S$2:$S$750,527))),"")</f>
        <v>2</v>
      </c>
      <c r="F633" s="54">
        <f t="array" ref="F633">IFERROR(IF(INDEX(Data!$E$2:$E$750,SMALL(Data!$S$2:$S$750,527))=0,"",INDEX(Data!$E$2:$E$750,SMALL(Data!$S$2:$S$750,527))),"")</f>
        <v>36</v>
      </c>
      <c r="G633" s="54">
        <f t="array" ref="G633">IFERROR(INDEX(Data!$F$2:$F$750,SMALL(Data!$S$2:$S$750,527)),"")</f>
        <v>72</v>
      </c>
      <c r="H633" s="55">
        <f t="array" ref="H633">IFERROR(IF(INDEX(Data!$G$2:$G$750,SMALL(Data!$S$2:$S$750,527))=0,"",INDEX(Data!$G$2:$G$750,SMALL(Data!$S$2:$S$750,527))),"")</f>
        <v>46270</v>
      </c>
      <c r="I633" s="53">
        <f t="array" ref="I633">IFERROR(IF(INDEX(Data!$H$2:$H$750,SMALL(Data!$S$2:$S$750,527))=0,"",INDEX(Data!$H$2:$H$750,SMALL(Data!$S$2:$S$750,527))),"")</f>
        <v>16</v>
      </c>
      <c r="J633" s="55">
        <f t="array" ref="J633">IFERROR(INDEX(Data!$I$2:$I$750,SMALL(Data!$S$2:$S$750,527)),"")</f>
        <v>46382</v>
      </c>
      <c r="K633" s="53" t="str">
        <f t="array" ref="K633">IFERROR(INDEX(Data!$J$2:$J$750,SMALL(Data!$S$2:$S$750,527)),"")</f>
        <v>Not Paid</v>
      </c>
      <c r="L633" s="53" t="str">
        <f t="array" ref="L633">IFERROR(INDEX(Data!$K$2:$K$750,SMALL(Data!$S$2:$S$750,527)),"")</f>
        <v>Pending</v>
      </c>
      <c r="M633" s="48" t="s">
        <v>459</v>
      </c>
      <c r="N633" s="48">
        <f>SUMIFS(Data!D2:D750,Data!A2:A750,M633,Data!Q2:Q750,1)</f>
        <v>5002</v>
      </c>
      <c r="O633" s="61">
        <f t="shared" si="1"/>
        <v>5002.000006</v>
      </c>
    </row>
    <row r="634" ht="15.75" customHeight="1">
      <c r="B634" s="56" t="str">
        <f t="array" ref="B634">IFERROR(INDEX(Data!$A$2:$A$750,SMALL(Data!$S$2:$S$750,528)),"")</f>
        <v>S02447 - 0430 - Marina</v>
      </c>
      <c r="C634" s="56" t="str">
        <f t="array" ref="C634">IFERROR(IF(INDEX(Data!$B$2:$B$750,SMALL(Data!$S$2:$S$750,528))=0,"",INDEX(Data!$B$2:$B$750,SMALL(Data!$S$2:$S$750,528))),"")</f>
        <v>koodle</v>
      </c>
      <c r="D634" s="56" t="str">
        <f t="array" ref="D634">IFERROR(INDEX(Data!$C$2:$C$750,SMALL(Data!$S$2:$S$750,528)),"")</f>
        <v>[OG-00382] MET QR Code Scanner</v>
      </c>
      <c r="E634" s="56">
        <f t="array" ref="E634">IFERROR(IF(INDEX(Data!$D$2:$D$750,SMALL(Data!$S$2:$S$750,528))=0,"",INDEX(Data!$D$2:$D$750,SMALL(Data!$S$2:$S$750,528))),"")</f>
        <v>2</v>
      </c>
      <c r="F634" s="57">
        <f t="array" ref="F634">IFERROR(IF(INDEX(Data!$E$2:$E$750,SMALL(Data!$S$2:$S$750,528))=0,"",INDEX(Data!$E$2:$E$750,SMALL(Data!$S$2:$S$750,528))),"")</f>
        <v>2</v>
      </c>
      <c r="G634" s="57">
        <f t="array" ref="G634">IFERROR(INDEX(Data!$F$2:$F$750,SMALL(Data!$S$2:$S$750,528)),"")</f>
        <v>4</v>
      </c>
      <c r="H634" s="58">
        <f t="array" ref="H634">IFERROR(IF(INDEX(Data!$G$2:$G$750,SMALL(Data!$S$2:$S$750,528))=0,"",INDEX(Data!$G$2:$G$750,SMALL(Data!$S$2:$S$750,528))),"")</f>
        <v>46271</v>
      </c>
      <c r="I634" s="56">
        <f t="array" ref="I634">IFERROR(IF(INDEX(Data!$H$2:$H$750,SMALL(Data!$S$2:$S$750,528))=0,"",INDEX(Data!$H$2:$H$750,SMALL(Data!$S$2:$S$750,528))),"")</f>
        <v>15</v>
      </c>
      <c r="J634" s="58">
        <f t="array" ref="J634">IFERROR(INDEX(Data!$I$2:$I$750,SMALL(Data!$S$2:$S$750,528)),"")</f>
        <v>46376</v>
      </c>
      <c r="K634" s="56" t="str">
        <f t="array" ref="K634">IFERROR(INDEX(Data!$J$2:$J$750,SMALL(Data!$S$2:$S$750,528)),"")</f>
        <v>Not Paid</v>
      </c>
      <c r="L634" s="56" t="str">
        <f t="array" ref="L634">IFERROR(INDEX(Data!$K$2:$K$750,SMALL(Data!$S$2:$S$750,528)),"")</f>
        <v>Pending</v>
      </c>
      <c r="M634" s="48" t="s">
        <v>461</v>
      </c>
      <c r="N634" s="48">
        <f>SUMIFS(Data!D2:D750,Data!A2:A750,M634,Data!Q2:Q750,1)</f>
        <v>100</v>
      </c>
      <c r="O634" s="61">
        <f t="shared" si="1"/>
        <v>100.0000063</v>
      </c>
    </row>
    <row r="635" ht="15.75" customHeight="1">
      <c r="B635" s="53" t="str">
        <f t="array" ref="B635">IFERROR(INDEX(Data!$A$2:$A$750,SMALL(Data!$S$2:$S$750,529)),"")</f>
        <v>S02464 - 1189 - Hassan Allam properties (SLN)</v>
      </c>
      <c r="C635" s="53" t="str">
        <f t="array" ref="C635">IFERROR(IF(INDEX(Data!$B$2:$B$750,SMALL(Data!$S$2:$S$750,529))=0,"",INDEX(Data!$B$2:$B$750,SMALL(Data!$S$2:$S$750,529))),"")</f>
        <v/>
      </c>
      <c r="D635" s="53" t="str">
        <f t="array" ref="D635">IFERROR(INDEX(Data!$C$2:$C$750,SMALL(Data!$S$2:$S$750,529)),"")</f>
        <v>Dell OptiPlex 7020</v>
      </c>
      <c r="E635" s="53">
        <f t="array" ref="E635">IFERROR(IF(INDEX(Data!$D$2:$D$750,SMALL(Data!$S$2:$S$750,529))=0,"",INDEX(Data!$D$2:$D$750,SMALL(Data!$S$2:$S$750,529))),"")</f>
        <v>1</v>
      </c>
      <c r="F635" s="54">
        <f t="array" ref="F635">IFERROR(IF(INDEX(Data!$E$2:$E$750,SMALL(Data!$S$2:$S$750,529))=0,"",INDEX(Data!$E$2:$E$750,SMALL(Data!$S$2:$S$750,529))),"")</f>
        <v>5</v>
      </c>
      <c r="G635" s="54">
        <f t="array" ref="G635">IFERROR(INDEX(Data!$F$2:$F$750,SMALL(Data!$S$2:$S$750,529)),"")</f>
        <v>5</v>
      </c>
      <c r="H635" s="55">
        <f t="array" ref="H635">IFERROR(IF(INDEX(Data!$G$2:$G$750,SMALL(Data!$S$2:$S$750,529))=0,"",INDEX(Data!$G$2:$G$750,SMALL(Data!$S$2:$S$750,529))),"")</f>
        <v>46272</v>
      </c>
      <c r="I635" s="53">
        <f t="array" ref="I635">IFERROR(IF(INDEX(Data!$H$2:$H$750,SMALL(Data!$S$2:$S$750,529))=0,"",INDEX(Data!$H$2:$H$750,SMALL(Data!$S$2:$S$750,529))),"")</f>
        <v>17</v>
      </c>
      <c r="J635" s="55">
        <f t="array" ref="J635">IFERROR(INDEX(Data!$I$2:$I$750,SMALL(Data!$S$2:$S$750,529)),"")</f>
        <v>46391</v>
      </c>
      <c r="K635" s="53" t="str">
        <f t="array" ref="K635">IFERROR(INDEX(Data!$J$2:$J$750,SMALL(Data!$S$2:$S$750,529)),"")</f>
        <v>Not Paid</v>
      </c>
      <c r="L635" s="53" t="str">
        <f t="array" ref="L635">IFERROR(INDEX(Data!$K$2:$K$750,SMALL(Data!$S$2:$S$750,529)),"")</f>
        <v>Pending</v>
      </c>
      <c r="M635" s="48" t="s">
        <v>463</v>
      </c>
      <c r="N635" s="48">
        <f>SUMIFS(Data!D2:D750,Data!A2:A750,M635,Data!Q2:Q750,1)</f>
        <v>3000</v>
      </c>
      <c r="O635" s="61">
        <f t="shared" si="1"/>
        <v>3000.000006</v>
      </c>
    </row>
    <row r="636" ht="15.75" customHeight="1">
      <c r="B636" s="56" t="str">
        <f t="array" ref="B636">IFERROR(INDEX(Data!$A$2:$A$750,SMALL(Data!$S$2:$S$750,530)),"")</f>
        <v>S02438 - 1189 - Hassan Allam Properties (HQ)</v>
      </c>
      <c r="C636" s="56" t="str">
        <f t="array" ref="C636">IFERROR(IF(INDEX(Data!$B$2:$B$750,SMALL(Data!$S$2:$S$750,530))=0,"",INDEX(Data!$B$2:$B$750,SMALL(Data!$S$2:$S$750,530))),"")</f>
        <v/>
      </c>
      <c r="D636" s="56" t="str">
        <f t="array" ref="D636">IFERROR(INDEX(Data!$C$2:$C$750,SMALL(Data!$S$2:$S$750,530)),"")</f>
        <v>MAX 50.10</v>
      </c>
      <c r="E636" s="56">
        <f t="array" ref="E636">IFERROR(IF(INDEX(Data!$D$2:$D$750,SMALL(Data!$S$2:$S$750,530))=0,"",INDEX(Data!$D$2:$D$750,SMALL(Data!$S$2:$S$750,530))),"")</f>
        <v>1</v>
      </c>
      <c r="F636" s="57">
        <f t="array" ref="F636">IFERROR(IF(INDEX(Data!$E$2:$E$750,SMALL(Data!$S$2:$S$750,530))=0,"",INDEX(Data!$E$2:$E$750,SMALL(Data!$S$2:$S$750,530))),"")</f>
        <v>6</v>
      </c>
      <c r="G636" s="57">
        <f t="array" ref="G636">IFERROR(INDEX(Data!$F$2:$F$750,SMALL(Data!$S$2:$S$750,530)),"")</f>
        <v>6</v>
      </c>
      <c r="H636" s="58">
        <f t="array" ref="H636">IFERROR(IF(INDEX(Data!$G$2:$G$750,SMALL(Data!$S$2:$S$750,530))=0,"",INDEX(Data!$G$2:$G$750,SMALL(Data!$S$2:$S$750,530))),"")</f>
        <v>46273</v>
      </c>
      <c r="I636" s="56">
        <f t="array" ref="I636">IFERROR(IF(INDEX(Data!$H$2:$H$750,SMALL(Data!$S$2:$S$750,530))=0,"",INDEX(Data!$H$2:$H$750,SMALL(Data!$S$2:$S$750,530))),"")</f>
        <v>17</v>
      </c>
      <c r="J636" s="58">
        <f t="array" ref="J636">IFERROR(INDEX(Data!$I$2:$I$750,SMALL(Data!$S$2:$S$750,530)),"")</f>
        <v>46392</v>
      </c>
      <c r="K636" s="56" t="str">
        <f t="array" ref="K636">IFERROR(INDEX(Data!$J$2:$J$750,SMALL(Data!$S$2:$S$750,530)),"")</f>
        <v>Not Paid</v>
      </c>
      <c r="L636" s="56" t="str">
        <f t="array" ref="L636">IFERROR(INDEX(Data!$K$2:$K$750,SMALL(Data!$S$2:$S$750,530)),"")</f>
        <v>Pending</v>
      </c>
      <c r="M636" s="48" t="s">
        <v>464</v>
      </c>
      <c r="N636" s="48">
        <f>SUMIFS(Data!D2:D750,Data!A2:A750,M636,Data!Q2:Q750,1)</f>
        <v>10000</v>
      </c>
      <c r="O636" s="61">
        <f t="shared" si="1"/>
        <v>10000.00001</v>
      </c>
    </row>
    <row r="637" ht="15.75" customHeight="1">
      <c r="B637" s="53" t="str">
        <f t="array" ref="B637">IFERROR(INDEX(Data!$A$2:$A$750,SMALL(Data!$S$2:$S$750,531)),"")</f>
        <v>460- VFS Global</v>
      </c>
      <c r="C637" s="53" t="str">
        <f t="array" ref="C637">IFERROR(IF(INDEX(Data!$B$2:$B$750,SMALL(Data!$S$2:$S$750,531))=0,"",INDEX(Data!$B$2:$B$750,SMALL(Data!$S$2:$S$750,531))),"")</f>
        <v/>
      </c>
      <c r="D637" s="53" t="str">
        <f t="array" ref="D637">IFERROR(INDEX(Data!$C$2:$C$750,SMALL(Data!$S$2:$S$750,531)),"")</f>
        <v>Silver Barcode Labels (50mm * 25mm)- printed</v>
      </c>
      <c r="E637" s="53">
        <f t="array" ref="E637">IFERROR(IF(INDEX(Data!$D$2:$D$750,SMALL(Data!$S$2:$S$750,531))=0,"",INDEX(Data!$D$2:$D$750,SMALL(Data!$S$2:$S$750,531))),"")</f>
        <v>1335</v>
      </c>
      <c r="F637" s="54">
        <f t="array" ref="F637">IFERROR(IF(INDEX(Data!$E$2:$E$750,SMALL(Data!$S$2:$S$750,531))=0,"",INDEX(Data!$E$2:$E$750,SMALL(Data!$S$2:$S$750,531))),"")</f>
        <v>7</v>
      </c>
      <c r="G637" s="54">
        <f t="array" ref="G637">IFERROR(INDEX(Data!$F$2:$F$750,SMALL(Data!$S$2:$S$750,531)),"")</f>
        <v>9345</v>
      </c>
      <c r="H637" s="55">
        <f t="array" ref="H637">IFERROR(IF(INDEX(Data!$G$2:$G$750,SMALL(Data!$S$2:$S$750,531))=0,"",INDEX(Data!$G$2:$G$750,SMALL(Data!$S$2:$S$750,531))),"")</f>
        <v>46274</v>
      </c>
      <c r="I637" s="53">
        <f t="array" ref="I637">IFERROR(IF(INDEX(Data!$H$2:$H$750,SMALL(Data!$S$2:$S$750,531))=0,"",INDEX(Data!$H$2:$H$750,SMALL(Data!$S$2:$S$750,531))),"")</f>
        <v>16</v>
      </c>
      <c r="J637" s="55">
        <f t="array" ref="J637">IFERROR(INDEX(Data!$I$2:$I$750,SMALL(Data!$S$2:$S$750,531)),"")</f>
        <v>46386</v>
      </c>
      <c r="K637" s="53" t="str">
        <f t="array" ref="K637">IFERROR(INDEX(Data!$J$2:$J$750,SMALL(Data!$S$2:$S$750,531)),"")</f>
        <v>Not Paid</v>
      </c>
      <c r="L637" s="53" t="str">
        <f t="array" ref="L637">IFERROR(INDEX(Data!$K$2:$K$750,SMALL(Data!$S$2:$S$750,531)),"")</f>
        <v>Pending</v>
      </c>
      <c r="M637" s="48" t="s">
        <v>467</v>
      </c>
      <c r="N637" s="48">
        <f>SUMIFS(Data!D2:D750,Data!A2:A750,M637,Data!Q2:Q750,1)</f>
        <v>150</v>
      </c>
      <c r="O637" s="61">
        <f t="shared" si="1"/>
        <v>150.0000064</v>
      </c>
    </row>
    <row r="638" ht="15.75" customHeight="1">
      <c r="B638" s="56" t="str">
        <f t="array" ref="B638">IFERROR(INDEX(Data!$A$2:$A$750,SMALL(Data!$S$2:$S$750,532)),"")</f>
        <v>460- VFS Global</v>
      </c>
      <c r="C638" s="56" t="str">
        <f t="array" ref="C638">IFERROR(IF(INDEX(Data!$B$2:$B$750,SMALL(Data!$S$2:$S$750,532))=0,"",INDEX(Data!$B$2:$B$750,SMALL(Data!$S$2:$S$750,532))),"")</f>
        <v>ATID</v>
      </c>
      <c r="D638" s="56" t="str">
        <f t="array" ref="D638">IFERROR(INDEX(Data!$C$2:$C$750,SMALL(Data!$S$2:$S$750,532)),"")</f>
        <v>AT909</v>
      </c>
      <c r="E638" s="56">
        <f t="array" ref="E638">IFERROR(IF(INDEX(Data!$D$2:$D$750,SMALL(Data!$S$2:$S$750,532))=0,"",INDEX(Data!$D$2:$D$750,SMALL(Data!$S$2:$S$750,532))),"")</f>
        <v>1</v>
      </c>
      <c r="F638" s="57">
        <f t="array" ref="F638">IFERROR(IF(INDEX(Data!$E$2:$E$750,SMALL(Data!$S$2:$S$750,532))=0,"",INDEX(Data!$E$2:$E$750,SMALL(Data!$S$2:$S$750,532))),"")</f>
        <v>8</v>
      </c>
      <c r="G638" s="57">
        <f t="array" ref="G638">IFERROR(INDEX(Data!$F$2:$F$750,SMALL(Data!$S$2:$S$750,532)),"")</f>
        <v>8</v>
      </c>
      <c r="H638" s="58">
        <f t="array" ref="H638">IFERROR(IF(INDEX(Data!$G$2:$G$750,SMALL(Data!$S$2:$S$750,532))=0,"",INDEX(Data!$G$2:$G$750,SMALL(Data!$S$2:$S$750,532))),"")</f>
        <v>46275</v>
      </c>
      <c r="I638" s="56">
        <f t="array" ref="I638">IFERROR(IF(INDEX(Data!$H$2:$H$750,SMALL(Data!$S$2:$S$750,532))=0,"",INDEX(Data!$H$2:$H$750,SMALL(Data!$S$2:$S$750,532))),"")</f>
        <v>24</v>
      </c>
      <c r="J638" s="58">
        <f t="array" ref="J638">IFERROR(INDEX(Data!$I$2:$I$750,SMALL(Data!$S$2:$S$750,532)),"")</f>
        <v>46443</v>
      </c>
      <c r="K638" s="56" t="str">
        <f t="array" ref="K638">IFERROR(INDEX(Data!$J$2:$J$750,SMALL(Data!$S$2:$S$750,532)),"")</f>
        <v>Not Paid</v>
      </c>
      <c r="L638" s="56" t="str">
        <f t="array" ref="L638">IFERROR(INDEX(Data!$K$2:$K$750,SMALL(Data!$S$2:$S$750,532)),"")</f>
        <v>Pending</v>
      </c>
      <c r="M638" s="48" t="s">
        <v>469</v>
      </c>
      <c r="N638" s="48">
        <f>SUMIFS(Data!D2:D750,Data!A2:A750,M638,Data!Q2:Q750,1)</f>
        <v>250</v>
      </c>
      <c r="O638" s="61">
        <f t="shared" si="1"/>
        <v>250.0000064</v>
      </c>
    </row>
    <row r="639" ht="15.75" customHeight="1">
      <c r="B639" s="53" t="str">
        <f t="array" ref="B639">IFERROR(INDEX(Data!$A$2:$A$750,SMALL(Data!$S$2:$S$750,533)),"")</f>
        <v>460- VFS Global</v>
      </c>
      <c r="C639" s="53" t="str">
        <f t="array" ref="C639">IFERROR(IF(INDEX(Data!$B$2:$B$750,SMALL(Data!$S$2:$S$750,533))=0,"",INDEX(Data!$B$2:$B$750,SMALL(Data!$S$2:$S$750,533))),"")</f>
        <v>Rich</v>
      </c>
      <c r="D639" s="53" t="str">
        <f t="array" ref="D639">IFERROR(INDEX(Data!$C$2:$C$750,SMALL(Data!$S$2:$S$750,533)),"")</f>
        <v>RCO7012- printed</v>
      </c>
      <c r="E639" s="53">
        <f t="array" ref="E639">IFERROR(IF(INDEX(Data!$D$2:$D$750,SMALL(Data!$S$2:$S$750,533))=0,"",INDEX(Data!$D$2:$D$750,SMALL(Data!$S$2:$S$750,533))),"")</f>
        <v>6500</v>
      </c>
      <c r="F639" s="54">
        <f t="array" ref="F639">IFERROR(IF(INDEX(Data!$E$2:$E$750,SMALL(Data!$S$2:$S$750,533))=0,"",INDEX(Data!$E$2:$E$750,SMALL(Data!$S$2:$S$750,533))),"")</f>
        <v>2</v>
      </c>
      <c r="G639" s="54">
        <f t="array" ref="G639">IFERROR(INDEX(Data!$F$2:$F$750,SMALL(Data!$S$2:$S$750,533)),"")</f>
        <v>13000</v>
      </c>
      <c r="H639" s="55">
        <f t="array" ref="H639">IFERROR(IF(INDEX(Data!$G$2:$G$750,SMALL(Data!$S$2:$S$750,533))=0,"",INDEX(Data!$G$2:$G$750,SMALL(Data!$S$2:$S$750,533))),"")</f>
        <v>46276</v>
      </c>
      <c r="I639" s="53">
        <f t="array" ref="I639">IFERROR(IF(INDEX(Data!$H$2:$H$750,SMALL(Data!$S$2:$S$750,533))=0,"",INDEX(Data!$H$2:$H$750,SMALL(Data!$S$2:$S$750,533))),"")</f>
        <v>24</v>
      </c>
      <c r="J639" s="55">
        <f t="array" ref="J639">IFERROR(INDEX(Data!$I$2:$I$750,SMALL(Data!$S$2:$S$750,533)),"")</f>
        <v>46444</v>
      </c>
      <c r="K639" s="53" t="str">
        <f t="array" ref="K639">IFERROR(INDEX(Data!$J$2:$J$750,SMALL(Data!$S$2:$S$750,533)),"")</f>
        <v>Not Paid</v>
      </c>
      <c r="L639" s="53" t="str">
        <f t="array" ref="L639">IFERROR(INDEX(Data!$K$2:$K$750,SMALL(Data!$S$2:$S$750,533)),"")</f>
        <v>Pending</v>
      </c>
      <c r="M639" s="48" t="s">
        <v>472</v>
      </c>
      <c r="N639" s="48">
        <f>SUMIFS(Data!D2:D750,Data!A2:A750,M639,Data!Q2:Q750,1)</f>
        <v>2700</v>
      </c>
      <c r="O639" s="61">
        <f t="shared" si="1"/>
        <v>2700.000006</v>
      </c>
    </row>
    <row r="640" ht="15.75" customHeight="1">
      <c r="B640" s="56" t="str">
        <f t="array" ref="B640">IFERROR(INDEX(Data!$A$2:$A$750,SMALL(Data!$S$2:$S$750,534)),"")</f>
        <v>0027 - El-Sewedy Electric</v>
      </c>
      <c r="C640" s="56" t="str">
        <f t="array" ref="C640">IFERROR(IF(INDEX(Data!$B$2:$B$750,SMALL(Data!$S$2:$S$750,534))=0,"",INDEX(Data!$B$2:$B$750,SMALL(Data!$S$2:$S$750,534))),"")</f>
        <v/>
      </c>
      <c r="D640" s="56" t="str">
        <f t="array" ref="D640">IFERROR(INDEX(Data!$C$2:$C$750,SMALL(Data!$S$2:$S$750,534)),"")</f>
        <v>At 909</v>
      </c>
      <c r="E640" s="56">
        <f t="array" ref="E640">IFERROR(IF(INDEX(Data!$D$2:$D$750,SMALL(Data!$S$2:$S$750,534))=0,"",INDEX(Data!$D$2:$D$750,SMALL(Data!$S$2:$S$750,534))),"")</f>
        <v>2</v>
      </c>
      <c r="F640" s="57">
        <f t="array" ref="F640">IFERROR(IF(INDEX(Data!$E$2:$E$750,SMALL(Data!$S$2:$S$750,534))=0,"",INDEX(Data!$E$2:$E$750,SMALL(Data!$S$2:$S$750,534))),"")</f>
        <v>15</v>
      </c>
      <c r="G640" s="57">
        <f t="array" ref="G640">IFERROR(INDEX(Data!$F$2:$F$750,SMALL(Data!$S$2:$S$750,534)),"")</f>
        <v>30</v>
      </c>
      <c r="H640" s="58">
        <f t="array" ref="H640">IFERROR(IF(INDEX(Data!$G$2:$G$750,SMALL(Data!$S$2:$S$750,534))=0,"",INDEX(Data!$G$2:$G$750,SMALL(Data!$S$2:$S$750,534))),"")</f>
        <v>46277</v>
      </c>
      <c r="I640" s="56">
        <f t="array" ref="I640">IFERROR(IF(INDEX(Data!$H$2:$H$750,SMALL(Data!$S$2:$S$750,534))=0,"",INDEX(Data!$H$2:$H$750,SMALL(Data!$S$2:$S$750,534))),"")</f>
        <v>23</v>
      </c>
      <c r="J640" s="58">
        <f t="array" ref="J640">IFERROR(INDEX(Data!$I$2:$I$750,SMALL(Data!$S$2:$S$750,534)),"")</f>
        <v>46438</v>
      </c>
      <c r="K640" s="56" t="str">
        <f t="array" ref="K640">IFERROR(INDEX(Data!$J$2:$J$750,SMALL(Data!$S$2:$S$750,534)),"")</f>
        <v>Not Paid</v>
      </c>
      <c r="L640" s="56" t="str">
        <f t="array" ref="L640">IFERROR(INDEX(Data!$K$2:$K$750,SMALL(Data!$S$2:$S$750,534)),"")</f>
        <v>Pending</v>
      </c>
      <c r="M640" s="48" t="s">
        <v>475</v>
      </c>
      <c r="N640" s="48">
        <f>SUMIFS(Data!D2:D750,Data!A2:A750,M640,Data!Q2:Q750,1)</f>
        <v>5009</v>
      </c>
      <c r="O640" s="61">
        <f t="shared" si="1"/>
        <v>5009.000006</v>
      </c>
    </row>
    <row r="641" ht="15.75" customHeight="1">
      <c r="B641" s="53" t="str">
        <f t="array" ref="B641">IFERROR(INDEX(Data!$A$2:$A$750,SMALL(Data!$S$2:$S$750,535)),"")</f>
        <v>S02543 - 0030 - La Vista</v>
      </c>
      <c r="C641" s="53" t="str">
        <f t="array" ref="C641">IFERROR(IF(INDEX(Data!$B$2:$B$750,SMALL(Data!$S$2:$S$750,535))=0,"",INDEX(Data!$B$2:$B$750,SMALL(Data!$S$2:$S$750,535))),"")</f>
        <v>FEIG</v>
      </c>
      <c r="D641" s="53" t="str">
        <f t="array" ref="D641">IFERROR(INDEX(Data!$C$2:$C$750,SMALL(Data!$S$2:$S$750,535)),"")</f>
        <v>LRU4000 UHF Reader with 2 Antennas Kit</v>
      </c>
      <c r="E641" s="53">
        <f t="array" ref="E641">IFERROR(IF(INDEX(Data!$D$2:$D$750,SMALL(Data!$S$2:$S$750,535))=0,"",INDEX(Data!$D$2:$D$750,SMALL(Data!$S$2:$S$750,535))),"")</f>
        <v>2</v>
      </c>
      <c r="F641" s="54">
        <f t="array" ref="F641">IFERROR(IF(INDEX(Data!$E$2:$E$750,SMALL(Data!$S$2:$S$750,535))=0,"",INDEX(Data!$E$2:$E$750,SMALL(Data!$S$2:$S$750,535))),"")</f>
        <v>45</v>
      </c>
      <c r="G641" s="54">
        <f t="array" ref="G641">IFERROR(INDEX(Data!$F$2:$F$750,SMALL(Data!$S$2:$S$750,535)),"")</f>
        <v>90</v>
      </c>
      <c r="H641" s="55">
        <f t="array" ref="H641">IFERROR(IF(INDEX(Data!$G$2:$G$750,SMALL(Data!$S$2:$S$750,535))=0,"",INDEX(Data!$G$2:$G$750,SMALL(Data!$S$2:$S$750,535))),"")</f>
        <v>46278</v>
      </c>
      <c r="I641" s="53">
        <f t="array" ref="I641">IFERROR(IF(INDEX(Data!$H$2:$H$750,SMALL(Data!$S$2:$S$750,535))=0,"",INDEX(Data!$H$2:$H$750,SMALL(Data!$S$2:$S$750,535))),"")</f>
        <v>23</v>
      </c>
      <c r="J641" s="55">
        <f t="array" ref="J641">IFERROR(INDEX(Data!$I$2:$I$750,SMALL(Data!$S$2:$S$750,535)),"")</f>
        <v>46439</v>
      </c>
      <c r="K641" s="53" t="str">
        <f t="array" ref="K641">IFERROR(INDEX(Data!$J$2:$J$750,SMALL(Data!$S$2:$S$750,535)),"")</f>
        <v>Not Paid</v>
      </c>
      <c r="L641" s="53" t="str">
        <f t="array" ref="L641">IFERROR(INDEX(Data!$K$2:$K$750,SMALL(Data!$S$2:$S$750,535)),"")</f>
        <v>Pending</v>
      </c>
      <c r="M641" s="48" t="s">
        <v>478</v>
      </c>
      <c r="N641" s="48">
        <f>SUMIFS(Data!D2:D750,Data!A2:A750,M641,Data!Q2:Q750,1)</f>
        <v>35</v>
      </c>
      <c r="O641" s="61">
        <f t="shared" si="1"/>
        <v>35.00000641</v>
      </c>
    </row>
    <row r="642" ht="15.75" customHeight="1">
      <c r="B642" s="56" t="str">
        <f t="array" ref="B642">IFERROR(INDEX(Data!$A$2:$A$750,SMALL(Data!$S$2:$S$750,536)),"")</f>
        <v>S02543 - 0030 - La Vista</v>
      </c>
      <c r="C642" s="56" t="str">
        <f t="array" ref="C642">IFERROR(IF(INDEX(Data!$B$2:$B$750,SMALL(Data!$S$2:$S$750,536))=0,"",INDEX(Data!$B$2:$B$750,SMALL(Data!$S$2:$S$750,536))),"")</f>
        <v>Metalcraft</v>
      </c>
      <c r="D642" s="56" t="str">
        <f t="array" ref="D642">IFERROR(INDEX(Data!$C$2:$C$750,SMALL(Data!$S$2:$S$750,536)),"")</f>
        <v>Destructive Windshield Tags</v>
      </c>
      <c r="E642" s="56">
        <f t="array" ref="E642">IFERROR(IF(INDEX(Data!$D$2:$D$750,SMALL(Data!$S$2:$S$750,536))=0,"",INDEX(Data!$D$2:$D$750,SMALL(Data!$S$2:$S$750,536))),"")</f>
        <v>5000</v>
      </c>
      <c r="F642" s="57">
        <f t="array" ref="F642">IFERROR(IF(INDEX(Data!$E$2:$E$750,SMALL(Data!$S$2:$S$750,536))=0,"",INDEX(Data!$E$2:$E$750,SMALL(Data!$S$2:$S$750,536))),"")</f>
        <v>24</v>
      </c>
      <c r="G642" s="57">
        <f t="array" ref="G642">IFERROR(INDEX(Data!$F$2:$F$750,SMALL(Data!$S$2:$S$750,536)),"")</f>
        <v>120000</v>
      </c>
      <c r="H642" s="58">
        <f t="array" ref="H642">IFERROR(IF(INDEX(Data!$G$2:$G$750,SMALL(Data!$S$2:$S$750,536))=0,"",INDEX(Data!$G$2:$G$750,SMALL(Data!$S$2:$S$750,536))),"")</f>
        <v>46279</v>
      </c>
      <c r="I642" s="56">
        <f t="array" ref="I642">IFERROR(IF(INDEX(Data!$H$2:$H$750,SMALL(Data!$S$2:$S$750,536))=0,"",INDEX(Data!$H$2:$H$750,SMALL(Data!$S$2:$S$750,536))),"")</f>
        <v>23</v>
      </c>
      <c r="J642" s="58">
        <f t="array" ref="J642">IFERROR(INDEX(Data!$I$2:$I$750,SMALL(Data!$S$2:$S$750,536)),"")</f>
        <v>46440</v>
      </c>
      <c r="K642" s="56" t="str">
        <f t="array" ref="K642">IFERROR(INDEX(Data!$J$2:$J$750,SMALL(Data!$S$2:$S$750,536)),"")</f>
        <v>Not Paid</v>
      </c>
      <c r="L642" s="56" t="str">
        <f t="array" ref="L642">IFERROR(INDEX(Data!$K$2:$K$750,SMALL(Data!$S$2:$S$750,536)),"")</f>
        <v>Pending</v>
      </c>
      <c r="M642" s="48" t="s">
        <v>480</v>
      </c>
      <c r="N642" s="48">
        <f>SUMIFS(Data!D2:D750,Data!A2:A750,M642,Data!Q2:Q750,1)</f>
        <v>2</v>
      </c>
      <c r="O642" s="61">
        <f t="shared" si="1"/>
        <v>2.00000642</v>
      </c>
    </row>
    <row r="643" ht="15.75" customHeight="1">
      <c r="B643" s="53" t="str">
        <f t="array" ref="B643">IFERROR(INDEX(Data!$A$2:$A$750,SMALL(Data!$S$2:$S$750,537)),"")</f>
        <v>S02418 - 1342 - Mirage City</v>
      </c>
      <c r="C643" s="53" t="str">
        <f t="array" ref="C643">IFERROR(IF(INDEX(Data!$B$2:$B$750,SMALL(Data!$S$2:$S$750,537))=0,"",INDEX(Data!$B$2:$B$750,SMALL(Data!$S$2:$S$750,537))),"")</f>
        <v/>
      </c>
      <c r="D643" s="53" t="str">
        <f t="array" ref="D643">IFERROR(INDEX(Data!$C$2:$C$750,SMALL(Data!$S$2:$S$750,537)),"")</f>
        <v>Coaxial Cable 20m</v>
      </c>
      <c r="E643" s="53">
        <f t="array" ref="E643">IFERROR(IF(INDEX(Data!$D$2:$D$750,SMALL(Data!$S$2:$S$750,537))=0,"",INDEX(Data!$D$2:$D$750,SMALL(Data!$S$2:$S$750,537))),"")</f>
        <v>1</v>
      </c>
      <c r="F643" s="54">
        <f t="array" ref="F643">IFERROR(IF(INDEX(Data!$E$2:$E$750,SMALL(Data!$S$2:$S$750,537))=0,"",INDEX(Data!$E$2:$E$750,SMALL(Data!$S$2:$S$750,537))),"")</f>
        <v>25</v>
      </c>
      <c r="G643" s="54">
        <f t="array" ref="G643">IFERROR(INDEX(Data!$F$2:$F$750,SMALL(Data!$S$2:$S$750,537)),"")</f>
        <v>25</v>
      </c>
      <c r="H643" s="55">
        <f t="array" ref="H643">IFERROR(IF(INDEX(Data!$G$2:$G$750,SMALL(Data!$S$2:$S$750,537))=0,"",INDEX(Data!$G$2:$G$750,SMALL(Data!$S$2:$S$750,537))),"")</f>
        <v>46280</v>
      </c>
      <c r="I643" s="53">
        <f t="array" ref="I643">IFERROR(IF(INDEX(Data!$H$2:$H$750,SMALL(Data!$S$2:$S$750,537))=0,"",INDEX(Data!$H$2:$H$750,SMALL(Data!$S$2:$S$750,537))),"")</f>
        <v>24</v>
      </c>
      <c r="J643" s="55">
        <f t="array" ref="J643">IFERROR(INDEX(Data!$I$2:$I$750,SMALL(Data!$S$2:$S$750,537)),"")</f>
        <v>46448</v>
      </c>
      <c r="K643" s="53" t="str">
        <f t="array" ref="K643">IFERROR(INDEX(Data!$J$2:$J$750,SMALL(Data!$S$2:$S$750,537)),"")</f>
        <v>Not Paid</v>
      </c>
      <c r="L643" s="53" t="str">
        <f t="array" ref="L643">IFERROR(INDEX(Data!$K$2:$K$750,SMALL(Data!$S$2:$S$750,537)),"")</f>
        <v>Pending</v>
      </c>
      <c r="M643" s="48" t="s">
        <v>482</v>
      </c>
      <c r="N643" s="48">
        <f>SUMIFS(Data!D2:D750,Data!A2:A750,M643,Data!Q2:Q750,1)</f>
        <v>1</v>
      </c>
      <c r="O643" s="61">
        <f t="shared" si="1"/>
        <v>1.00000643</v>
      </c>
    </row>
    <row r="644" ht="15.75" customHeight="1">
      <c r="B644" s="56" t="str">
        <f t="array" ref="B644">IFERROR(INDEX(Data!$A$2:$A$750,SMALL(Data!$S$2:$S$750,538)),"")</f>
        <v>S02534 - 324-STELLA DI MARE SIDI ABDEL RAHMAN RESORT</v>
      </c>
      <c r="C644" s="56" t="str">
        <f t="array" ref="C644">IFERROR(IF(INDEX(Data!$B$2:$B$750,SMALL(Data!$S$2:$S$750,538))=0,"",INDEX(Data!$B$2:$B$750,SMALL(Data!$S$2:$S$750,538))),"")</f>
        <v/>
      </c>
      <c r="D644" s="56" t="str">
        <f t="array" ref="D644">IFERROR(INDEX(Data!$C$2:$C$750,SMALL(Data!$S$2:$S$750,538)),"")</f>
        <v>HF cards- printed</v>
      </c>
      <c r="E644" s="56">
        <f t="array" ref="E644">IFERROR(IF(INDEX(Data!$D$2:$D$750,SMALL(Data!$S$2:$S$750,538))=0,"",INDEX(Data!$D$2:$D$750,SMALL(Data!$S$2:$S$750,538))),"")</f>
        <v>300</v>
      </c>
      <c r="F644" s="57">
        <f t="array" ref="F644">IFERROR(IF(INDEX(Data!$E$2:$E$750,SMALL(Data!$S$2:$S$750,538))=0,"",INDEX(Data!$E$2:$E$750,SMALL(Data!$S$2:$S$750,538))),"")</f>
        <v>36</v>
      </c>
      <c r="G644" s="57">
        <f t="array" ref="G644">IFERROR(INDEX(Data!$F$2:$F$750,SMALL(Data!$S$2:$S$750,538)),"")</f>
        <v>10800</v>
      </c>
      <c r="H644" s="58">
        <f t="array" ref="H644">IFERROR(IF(INDEX(Data!$G$2:$G$750,SMALL(Data!$S$2:$S$750,538))=0,"",INDEX(Data!$G$2:$G$750,SMALL(Data!$S$2:$S$750,538))),"")</f>
        <v>46281</v>
      </c>
      <c r="I644" s="56">
        <f t="array" ref="I644">IFERROR(IF(INDEX(Data!$H$2:$H$750,SMALL(Data!$S$2:$S$750,538))=0,"",INDEX(Data!$H$2:$H$750,SMALL(Data!$S$2:$S$750,538))),"")</f>
        <v>24</v>
      </c>
      <c r="J644" s="58">
        <f t="array" ref="J644">IFERROR(INDEX(Data!$I$2:$I$750,SMALL(Data!$S$2:$S$750,538)),"")</f>
        <v>46449</v>
      </c>
      <c r="K644" s="56" t="str">
        <f t="array" ref="K644">IFERROR(INDEX(Data!$J$2:$J$750,SMALL(Data!$S$2:$S$750,538)),"")</f>
        <v>Not Paid</v>
      </c>
      <c r="L644" s="56" t="str">
        <f t="array" ref="L644">IFERROR(INDEX(Data!$K$2:$K$750,SMALL(Data!$S$2:$S$750,538)),"")</f>
        <v>Pending</v>
      </c>
      <c r="M644" s="48" t="s">
        <v>483</v>
      </c>
      <c r="N644" s="48">
        <f>SUMIFS(Data!D2:D750,Data!A2:A750,M644,Data!Q2:Q750,1)</f>
        <v>3</v>
      </c>
      <c r="O644" s="61">
        <f t="shared" si="1"/>
        <v>3.00000644</v>
      </c>
    </row>
    <row r="645" ht="15.75" customHeight="1">
      <c r="B645" s="53" t="str">
        <f t="array" ref="B645">IFERROR(INDEX(Data!$A$2:$A$750,SMALL(Data!$S$2:$S$750,539)),"")</f>
        <v>S02534 - 324-STELLA DI MARE SIDI ABDEL RAHMAN RESORT</v>
      </c>
      <c r="C645" s="53" t="str">
        <f t="array" ref="C645">IFERROR(IF(INDEX(Data!$B$2:$B$750,SMALL(Data!$S$2:$S$750,539))=0,"",INDEX(Data!$B$2:$B$750,SMALL(Data!$S$2:$S$750,539))),"")</f>
        <v/>
      </c>
      <c r="D645" s="53" t="str">
        <f t="array" ref="D645">IFERROR(INDEX(Data!$C$2:$C$750,SMALL(Data!$S$2:$S$750,539)),"")</f>
        <v>ZC300 Card Ribbon - YMCKOK</v>
      </c>
      <c r="E645" s="53">
        <f t="array" ref="E645">IFERROR(IF(INDEX(Data!$D$2:$D$750,SMALL(Data!$S$2:$S$750,539))=0,"",INDEX(Data!$D$2:$D$750,SMALL(Data!$S$2:$S$750,539))),"")</f>
        <v>1</v>
      </c>
      <c r="F645" s="54">
        <f t="array" ref="F645">IFERROR(IF(INDEX(Data!$E$2:$E$750,SMALL(Data!$S$2:$S$750,539))=0,"",INDEX(Data!$E$2:$E$750,SMALL(Data!$S$2:$S$750,539))),"")</f>
        <v>95</v>
      </c>
      <c r="G645" s="54">
        <f t="array" ref="G645">IFERROR(INDEX(Data!$F$2:$F$750,SMALL(Data!$S$2:$S$750,539)),"")</f>
        <v>95</v>
      </c>
      <c r="H645" s="55">
        <f t="array" ref="H645">IFERROR(IF(INDEX(Data!$G$2:$G$750,SMALL(Data!$S$2:$S$750,539))=0,"",INDEX(Data!$G$2:$G$750,SMALL(Data!$S$2:$S$750,539))),"")</f>
        <v>46282</v>
      </c>
      <c r="I645" s="53">
        <f t="array" ref="I645">IFERROR(IF(INDEX(Data!$H$2:$H$750,SMALL(Data!$S$2:$S$750,539))=0,"",INDEX(Data!$H$2:$H$750,SMALL(Data!$S$2:$S$750,539))),"")</f>
        <v>24</v>
      </c>
      <c r="J645" s="55">
        <f t="array" ref="J645">IFERROR(INDEX(Data!$I$2:$I$750,SMALL(Data!$S$2:$S$750,539)),"")</f>
        <v>46450</v>
      </c>
      <c r="K645" s="53" t="str">
        <f t="array" ref="K645">IFERROR(INDEX(Data!$J$2:$J$750,SMALL(Data!$S$2:$S$750,539)),"")</f>
        <v>Not Paid</v>
      </c>
      <c r="L645" s="53" t="str">
        <f t="array" ref="L645">IFERROR(INDEX(Data!$K$2:$K$750,SMALL(Data!$S$2:$S$750,539)),"")</f>
        <v>Pending</v>
      </c>
      <c r="M645" s="48" t="s">
        <v>485</v>
      </c>
      <c r="N645" s="48">
        <f>SUMIFS(Data!D2:D750,Data!A2:A750,M645,Data!Q2:Q750,1)</f>
        <v>131026</v>
      </c>
      <c r="O645" s="61">
        <f t="shared" si="1"/>
        <v>131026</v>
      </c>
    </row>
    <row r="646" ht="15.75" customHeight="1">
      <c r="B646" s="56" t="str">
        <f t="array" ref="B646">IFERROR(INDEX(Data!$A$2:$A$750,SMALL(Data!$S$2:$S$750,540)),"")</f>
        <v>S02534 - 324-STELLA DI MARE SIDI ABDEL RAHMAN RESORT</v>
      </c>
      <c r="C646" s="56" t="str">
        <f t="array" ref="C646">IFERROR(IF(INDEX(Data!$B$2:$B$750,SMALL(Data!$S$2:$S$750,540))=0,"",INDEX(Data!$B$2:$B$750,SMALL(Data!$S$2:$S$750,540))),"")</f>
        <v/>
      </c>
      <c r="D646" s="56" t="str">
        <f t="array" ref="D646">IFERROR(INDEX(Data!$C$2:$C$750,SMALL(Data!$S$2:$S$750,540)),"")</f>
        <v>Push to exit button </v>
      </c>
      <c r="E646" s="56">
        <f t="array" ref="E646">IFERROR(IF(INDEX(Data!$D$2:$D$750,SMALL(Data!$S$2:$S$750,540))=0,"",INDEX(Data!$D$2:$D$750,SMALL(Data!$S$2:$S$750,540))),"")</f>
        <v>1</v>
      </c>
      <c r="F646" s="57">
        <f t="array" ref="F646">IFERROR(IF(INDEX(Data!$E$2:$E$750,SMALL(Data!$S$2:$S$750,540))=0,"",INDEX(Data!$E$2:$E$750,SMALL(Data!$S$2:$S$750,540))),"")</f>
        <v>574</v>
      </c>
      <c r="G646" s="57">
        <f t="array" ref="G646">IFERROR(INDEX(Data!$F$2:$F$750,SMALL(Data!$S$2:$S$750,540)),"")</f>
        <v>574</v>
      </c>
      <c r="H646" s="58">
        <f t="array" ref="H646">IFERROR(IF(INDEX(Data!$G$2:$G$750,SMALL(Data!$S$2:$S$750,540))=0,"",INDEX(Data!$G$2:$G$750,SMALL(Data!$S$2:$S$750,540))),"")</f>
        <v>46283</v>
      </c>
      <c r="I646" s="56">
        <f t="array" ref="I646">IFERROR(IF(INDEX(Data!$H$2:$H$750,SMALL(Data!$S$2:$S$750,540))=0,"",INDEX(Data!$H$2:$H$750,SMALL(Data!$S$2:$S$750,540))),"")</f>
        <v>22</v>
      </c>
      <c r="J646" s="58">
        <f t="array" ref="J646">IFERROR(INDEX(Data!$I$2:$I$750,SMALL(Data!$S$2:$S$750,540)),"")</f>
        <v>46437</v>
      </c>
      <c r="K646" s="56" t="str">
        <f t="array" ref="K646">IFERROR(INDEX(Data!$J$2:$J$750,SMALL(Data!$S$2:$S$750,540)),"")</f>
        <v>Not Paid</v>
      </c>
      <c r="L646" s="56" t="str">
        <f t="array" ref="L646">IFERROR(INDEX(Data!$K$2:$K$750,SMALL(Data!$S$2:$S$750,540)),"")</f>
        <v>Pending</v>
      </c>
      <c r="M646" s="48" t="s">
        <v>486</v>
      </c>
      <c r="N646" s="48">
        <f>SUMIFS(Data!D2:D750,Data!A2:A750,M646,Data!Q2:Q750,1)</f>
        <v>800</v>
      </c>
      <c r="O646" s="61">
        <f t="shared" si="1"/>
        <v>800.0000065</v>
      </c>
    </row>
    <row r="647" ht="15.75" customHeight="1">
      <c r="B647" s="53" t="str">
        <f t="array" ref="B647">IFERROR(INDEX(Data!$A$2:$A$750,SMALL(Data!$S$2:$S$750,541)),"")</f>
        <v>S02519 - 1707 - 57357 Hospital</v>
      </c>
      <c r="C647" s="53" t="str">
        <f t="array" ref="C647">IFERROR(IF(INDEX(Data!$B$2:$B$750,SMALL(Data!$S$2:$S$750,541))=0,"",INDEX(Data!$B$2:$B$750,SMALL(Data!$S$2:$S$750,541))),"")</f>
        <v>FEIG</v>
      </c>
      <c r="D647" s="53" t="str">
        <f t="array" ref="D647">IFERROR(INDEX(Data!$C$2:$C$750,SMALL(Data!$S$2:$S$750,541)),"")</f>
        <v>LRU4000 UHF Fixed Reader</v>
      </c>
      <c r="E647" s="53">
        <f t="array" ref="E647">IFERROR(IF(INDEX(Data!$D$2:$D$750,SMALL(Data!$S$2:$S$750,541))=0,"",INDEX(Data!$D$2:$D$750,SMALL(Data!$S$2:$S$750,541))),"")</f>
        <v>6</v>
      </c>
      <c r="F647" s="54">
        <f t="array" ref="F647">IFERROR(IF(INDEX(Data!$E$2:$E$750,SMALL(Data!$S$2:$S$750,541))=0,"",INDEX(Data!$E$2:$E$750,SMALL(Data!$S$2:$S$750,541))),"")</f>
        <v>558</v>
      </c>
      <c r="G647" s="54">
        <f t="array" ref="G647">IFERROR(INDEX(Data!$F$2:$F$750,SMALL(Data!$S$2:$S$750,541)),"")</f>
        <v>3348</v>
      </c>
      <c r="H647" s="55">
        <f t="array" ref="H647">IFERROR(IF(INDEX(Data!$G$2:$G$750,SMALL(Data!$S$2:$S$750,541))=0,"",INDEX(Data!$G$2:$G$750,SMALL(Data!$S$2:$S$750,541))),"")</f>
        <v>46284</v>
      </c>
      <c r="I647" s="53">
        <f t="array" ref="I647">IFERROR(IF(INDEX(Data!$H$2:$H$750,SMALL(Data!$S$2:$S$750,541))=0,"",INDEX(Data!$H$2:$H$750,SMALL(Data!$S$2:$S$750,541))),"")</f>
        <v>22</v>
      </c>
      <c r="J647" s="55">
        <f t="array" ref="J647">IFERROR(INDEX(Data!$I$2:$I$750,SMALL(Data!$S$2:$S$750,541)),"")</f>
        <v>46438</v>
      </c>
      <c r="K647" s="53" t="str">
        <f t="array" ref="K647">IFERROR(INDEX(Data!$J$2:$J$750,SMALL(Data!$S$2:$S$750,541)),"")</f>
        <v>Not Paid</v>
      </c>
      <c r="L647" s="53" t="str">
        <f t="array" ref="L647">IFERROR(INDEX(Data!$K$2:$K$750,SMALL(Data!$S$2:$S$750,541)),"")</f>
        <v>Pending</v>
      </c>
      <c r="M647" s="48" t="s">
        <v>487</v>
      </c>
      <c r="N647" s="48">
        <f>SUMIFS(Data!D2:D750,Data!A2:A750,M647,Data!Q2:Q750,1)</f>
        <v>1</v>
      </c>
      <c r="O647" s="61">
        <f t="shared" si="1"/>
        <v>1.00000647</v>
      </c>
    </row>
    <row r="648" ht="15.75" customHeight="1">
      <c r="B648" s="56" t="str">
        <f t="array" ref="B648">IFERROR(INDEX(Data!$A$2:$A$750,SMALL(Data!$S$2:$S$750,542)),"")</f>
        <v>S02519 - 1707 - 57357 Hospital</v>
      </c>
      <c r="C648" s="56" t="str">
        <f t="array" ref="C648">IFERROR(IF(INDEX(Data!$B$2:$B$750,SMALL(Data!$S$2:$S$750,542))=0,"",INDEX(Data!$B$2:$B$750,SMALL(Data!$S$2:$S$750,542))),"")</f>
        <v>FEIG</v>
      </c>
      <c r="D648" s="56" t="str">
        <f t="array" ref="D648">IFERROR(INDEX(Data!$C$2:$C$750,SMALL(Data!$S$2:$S$750,542)),"")</f>
        <v>ID ISC.ANT.U270/270-EU UHF Antenna</v>
      </c>
      <c r="E648" s="56">
        <f t="array" ref="E648">IFERROR(IF(INDEX(Data!$D$2:$D$750,SMALL(Data!$S$2:$S$750,542))=0,"",INDEX(Data!$D$2:$D$750,SMALL(Data!$S$2:$S$750,542))),"")</f>
        <v>12</v>
      </c>
      <c r="F648" s="57">
        <f t="array" ref="F648">IFERROR(IF(INDEX(Data!$E$2:$E$750,SMALL(Data!$S$2:$S$750,542))=0,"",INDEX(Data!$E$2:$E$750,SMALL(Data!$S$2:$S$750,542))),"")</f>
        <v>2265</v>
      </c>
      <c r="G648" s="57">
        <f t="array" ref="G648">IFERROR(INDEX(Data!$F$2:$F$750,SMALL(Data!$S$2:$S$750,542)),"")</f>
        <v>27180</v>
      </c>
      <c r="H648" s="58">
        <f t="array" ref="H648">IFERROR(IF(INDEX(Data!$G$2:$G$750,SMALL(Data!$S$2:$S$750,542))=0,"",INDEX(Data!$G$2:$G$750,SMALL(Data!$S$2:$S$750,542))),"")</f>
        <v>46285</v>
      </c>
      <c r="I648" s="56">
        <f t="array" ref="I648">IFERROR(IF(INDEX(Data!$H$2:$H$750,SMALL(Data!$S$2:$S$750,542))=0,"",INDEX(Data!$H$2:$H$750,SMALL(Data!$S$2:$S$750,542))),"")</f>
        <v>22</v>
      </c>
      <c r="J648" s="58">
        <f t="array" ref="J648">IFERROR(INDEX(Data!$I$2:$I$750,SMALL(Data!$S$2:$S$750,542)),"")</f>
        <v>46439</v>
      </c>
      <c r="K648" s="56" t="str">
        <f t="array" ref="K648">IFERROR(INDEX(Data!$J$2:$J$750,SMALL(Data!$S$2:$S$750,542)),"")</f>
        <v>Not Paid</v>
      </c>
      <c r="L648" s="56" t="str">
        <f t="array" ref="L648">IFERROR(INDEX(Data!$K$2:$K$750,SMALL(Data!$S$2:$S$750,542)),"")</f>
        <v>Pending</v>
      </c>
      <c r="M648" s="48" t="s">
        <v>488</v>
      </c>
      <c r="N648" s="48">
        <f>SUMIFS(Data!D2:D750,Data!A2:A750,M648,Data!Q2:Q750,1)</f>
        <v>2510</v>
      </c>
      <c r="O648" s="61">
        <f t="shared" si="1"/>
        <v>2510.000006</v>
      </c>
    </row>
    <row r="649" ht="15.75" customHeight="1">
      <c r="B649" s="53" t="str">
        <f t="array" ref="B649">IFERROR(INDEX(Data!$A$2:$A$750,SMALL(Data!$S$2:$S$750,543)),"")</f>
        <v>S02519 - 1707 - 57357 Hospital</v>
      </c>
      <c r="C649" s="53" t="str">
        <f t="array" ref="C649">IFERROR(IF(INDEX(Data!$B$2:$B$750,SMALL(Data!$S$2:$S$750,543))=0,"",INDEX(Data!$B$2:$B$750,SMALL(Data!$S$2:$S$750,543))),"")</f>
        <v>ATID</v>
      </c>
      <c r="D649" s="53" t="str">
        <f t="array" ref="D649">IFERROR(INDEX(Data!$C$2:$C$750,SMALL(Data!$S$2:$S$750,543)),"")</f>
        <v>ATID RFID Handheld - AT909</v>
      </c>
      <c r="E649" s="53">
        <f t="array" ref="E649">IFERROR(IF(INDEX(Data!$D$2:$D$750,SMALL(Data!$S$2:$S$750,543))=0,"",INDEX(Data!$D$2:$D$750,SMALL(Data!$S$2:$S$750,543))),"")</f>
        <v>3</v>
      </c>
      <c r="F649" s="54">
        <f t="array" ref="F649">IFERROR(IF(INDEX(Data!$E$2:$E$750,SMALL(Data!$S$2:$S$750,543))=0,"",INDEX(Data!$E$2:$E$750,SMALL(Data!$S$2:$S$750,543))),"")</f>
        <v>45</v>
      </c>
      <c r="G649" s="54">
        <f t="array" ref="G649">IFERROR(INDEX(Data!$F$2:$F$750,SMALL(Data!$S$2:$S$750,543)),"")</f>
        <v>135</v>
      </c>
      <c r="H649" s="55">
        <f t="array" ref="H649">IFERROR(IF(INDEX(Data!$G$2:$G$750,SMALL(Data!$S$2:$S$750,543))=0,"",INDEX(Data!$G$2:$G$750,SMALL(Data!$S$2:$S$750,543))),"")</f>
        <v>46286</v>
      </c>
      <c r="I649" s="53">
        <f t="array" ref="I649">IFERROR(IF(INDEX(Data!$H$2:$H$750,SMALL(Data!$S$2:$S$750,543))=0,"",INDEX(Data!$H$2:$H$750,SMALL(Data!$S$2:$S$750,543))),"")</f>
        <v>21</v>
      </c>
      <c r="J649" s="55">
        <f t="array" ref="J649">IFERROR(INDEX(Data!$I$2:$I$750,SMALL(Data!$S$2:$S$750,543)),"")</f>
        <v>46433</v>
      </c>
      <c r="K649" s="53" t="str">
        <f t="array" ref="K649">IFERROR(INDEX(Data!$J$2:$J$750,SMALL(Data!$S$2:$S$750,543)),"")</f>
        <v>Not Paid</v>
      </c>
      <c r="L649" s="53" t="str">
        <f t="array" ref="L649">IFERROR(INDEX(Data!$K$2:$K$750,SMALL(Data!$S$2:$S$750,543)),"")</f>
        <v>Pending</v>
      </c>
      <c r="M649" s="48" t="s">
        <v>491</v>
      </c>
      <c r="N649" s="48">
        <f>SUMIFS(Data!D2:D750,Data!A2:A750,M649,Data!Q2:Q750,1)</f>
        <v>2</v>
      </c>
      <c r="O649" s="61">
        <f t="shared" si="1"/>
        <v>2.00000649</v>
      </c>
    </row>
    <row r="650" ht="15.75" customHeight="1">
      <c r="B650" s="56" t="str">
        <f t="array" ref="B650">IFERROR(INDEX(Data!$A$2:$A$750,SMALL(Data!$S$2:$S$750,544)),"")</f>
        <v>S02519 - 1707 - 57357 Hospital</v>
      </c>
      <c r="C650" s="56" t="str">
        <f t="array" ref="C650">IFERROR(IF(INDEX(Data!$B$2:$B$750,SMALL(Data!$S$2:$S$750,544))=0,"",INDEX(Data!$B$2:$B$750,SMALL(Data!$S$2:$S$750,544))),"")</f>
        <v>SATO</v>
      </c>
      <c r="D650" s="56" t="str">
        <f t="array" ref="D650">IFERROR(INDEX(Data!$C$2:$C$750,SMALL(Data!$S$2:$S$750,544)),"")</f>
        <v>RFID Industrial Printer CL4NX Plus Kit</v>
      </c>
      <c r="E650" s="56">
        <f t="array" ref="E650">IFERROR(IF(INDEX(Data!$D$2:$D$750,SMALL(Data!$S$2:$S$750,544))=0,"",INDEX(Data!$D$2:$D$750,SMALL(Data!$S$2:$S$750,544))),"")</f>
        <v>1</v>
      </c>
      <c r="F650" s="57">
        <f t="array" ref="F650">IFERROR(IF(INDEX(Data!$E$2:$E$750,SMALL(Data!$S$2:$S$750,544))=0,"",INDEX(Data!$E$2:$E$750,SMALL(Data!$S$2:$S$750,544))),"")</f>
        <v>5554</v>
      </c>
      <c r="G650" s="57">
        <f t="array" ref="G650">IFERROR(INDEX(Data!$F$2:$F$750,SMALL(Data!$S$2:$S$750,544)),"")</f>
        <v>5554</v>
      </c>
      <c r="H650" s="58">
        <f t="array" ref="H650">IFERROR(IF(INDEX(Data!$G$2:$G$750,SMALL(Data!$S$2:$S$750,544))=0,"",INDEX(Data!$G$2:$G$750,SMALL(Data!$S$2:$S$750,544))),"")</f>
        <v>46287</v>
      </c>
      <c r="I650" s="56">
        <f t="array" ref="I650">IFERROR(IF(INDEX(Data!$H$2:$H$750,SMALL(Data!$S$2:$S$750,544))=0,"",INDEX(Data!$H$2:$H$750,SMALL(Data!$S$2:$S$750,544))),"")</f>
        <v>20</v>
      </c>
      <c r="J650" s="58">
        <f t="array" ref="J650">IFERROR(INDEX(Data!$I$2:$I$750,SMALL(Data!$S$2:$S$750,544)),"")</f>
        <v>46427</v>
      </c>
      <c r="K650" s="56" t="str">
        <f t="array" ref="K650">IFERROR(INDEX(Data!$J$2:$J$750,SMALL(Data!$S$2:$S$750,544)),"")</f>
        <v>Not Paid</v>
      </c>
      <c r="L650" s="56" t="str">
        <f t="array" ref="L650">IFERROR(INDEX(Data!$K$2:$K$750,SMALL(Data!$S$2:$S$750,544)),"")</f>
        <v>Pending</v>
      </c>
      <c r="M650" s="48" t="s">
        <v>493</v>
      </c>
      <c r="N650" s="48">
        <f>SUMIFS(Data!D2:D750,Data!A2:A750,M650,Data!Q2:Q750,1)</f>
        <v>200</v>
      </c>
      <c r="O650" s="61">
        <f t="shared" si="1"/>
        <v>200.0000065</v>
      </c>
    </row>
    <row r="651" ht="15.75" customHeight="1">
      <c r="B651" s="53" t="str">
        <f t="array" ref="B651">IFERROR(INDEX(Data!$A$2:$A$750,SMALL(Data!$S$2:$S$750,545)),"")</f>
        <v>S02519 - 1707 - 57357 Hospital</v>
      </c>
      <c r="C651" s="53" t="str">
        <f t="array" ref="C651">IFERROR(IF(INDEX(Data!$B$2:$B$750,SMALL(Data!$S$2:$S$750,545))=0,"",INDEX(Data!$B$2:$B$750,SMALL(Data!$S$2:$S$750,545))),"")</f>
        <v>SATO</v>
      </c>
      <c r="D651" s="53" t="str">
        <f t="array" ref="D651">IFERROR(INDEX(Data!$C$2:$C$750,SMALL(Data!$S$2:$S$750,545)),"")</f>
        <v>Ribbons for SATO Industrial Printer</v>
      </c>
      <c r="E651" s="53">
        <f t="array" ref="E651">IFERROR(IF(INDEX(Data!$D$2:$D$750,SMALL(Data!$S$2:$S$750,545))=0,"",INDEX(Data!$D$2:$D$750,SMALL(Data!$S$2:$S$750,545))),"")</f>
        <v>1</v>
      </c>
      <c r="F651" s="54">
        <f t="array" ref="F651">IFERROR(IF(INDEX(Data!$E$2:$E$750,SMALL(Data!$S$2:$S$750,545))=0,"",INDEX(Data!$E$2:$E$750,SMALL(Data!$S$2:$S$750,545))),"")</f>
        <v>41</v>
      </c>
      <c r="G651" s="54">
        <f t="array" ref="G651">IFERROR(INDEX(Data!$F$2:$F$750,SMALL(Data!$S$2:$S$750,545)),"")</f>
        <v>41</v>
      </c>
      <c r="H651" s="55">
        <f t="array" ref="H651">IFERROR(IF(INDEX(Data!$G$2:$G$750,SMALL(Data!$S$2:$S$750,545))=0,"",INDEX(Data!$G$2:$G$750,SMALL(Data!$S$2:$S$750,545))),"")</f>
        <v>46288</v>
      </c>
      <c r="I651" s="53">
        <f t="array" ref="I651">IFERROR(IF(INDEX(Data!$H$2:$H$750,SMALL(Data!$S$2:$S$750,545))=0,"",INDEX(Data!$H$2:$H$750,SMALL(Data!$S$2:$S$750,545))),"")</f>
        <v>21</v>
      </c>
      <c r="J651" s="55">
        <f t="array" ref="J651">IFERROR(INDEX(Data!$I$2:$I$750,SMALL(Data!$S$2:$S$750,545)),"")</f>
        <v>46435</v>
      </c>
      <c r="K651" s="53" t="str">
        <f t="array" ref="K651">IFERROR(INDEX(Data!$J$2:$J$750,SMALL(Data!$S$2:$S$750,545)),"")</f>
        <v>Not Paid</v>
      </c>
      <c r="L651" s="53" t="str">
        <f t="array" ref="L651">IFERROR(INDEX(Data!$K$2:$K$750,SMALL(Data!$S$2:$S$750,545)),"")</f>
        <v>Pending</v>
      </c>
      <c r="M651" s="48" t="s">
        <v>496</v>
      </c>
      <c r="N651" s="48">
        <f>SUMIFS(Data!D2:D750,Data!A2:A750,M651,Data!Q2:Q750,1)</f>
        <v>2000</v>
      </c>
      <c r="O651" s="61">
        <f t="shared" si="1"/>
        <v>2000.000007</v>
      </c>
    </row>
    <row r="652" ht="15.75" customHeight="1">
      <c r="B652" s="56" t="str">
        <f t="array" ref="B652">IFERROR(INDEX(Data!$A$2:$A$750,SMALL(Data!$S$2:$S$750,546)),"")</f>
        <v>S02519 - 1707 - 57357 Hospital</v>
      </c>
      <c r="C652" s="56" t="str">
        <f t="array" ref="C652">IFERROR(IF(INDEX(Data!$B$2:$B$750,SMALL(Data!$S$2:$S$750,546))=0,"",INDEX(Data!$B$2:$B$750,SMALL(Data!$S$2:$S$750,546))),"")</f>
        <v>Rich</v>
      </c>
      <c r="D652" s="56" t="str">
        <f t="array" ref="D652">IFERROR(INDEX(Data!$C$2:$C$750,SMALL(Data!$S$2:$S$750,546)),"")</f>
        <v>Rich tags (RCO7012) Blank</v>
      </c>
      <c r="E652" s="56">
        <f t="array" ref="E652">IFERROR(IF(INDEX(Data!$D$2:$D$750,SMALL(Data!$S$2:$S$750,546))=0,"",INDEX(Data!$D$2:$D$750,SMALL(Data!$S$2:$S$750,546))),"")</f>
        <v>1000</v>
      </c>
      <c r="F652" s="57">
        <f t="array" ref="F652">IFERROR(IF(INDEX(Data!$E$2:$E$750,SMALL(Data!$S$2:$S$750,546))=0,"",INDEX(Data!$E$2:$E$750,SMALL(Data!$S$2:$S$750,546))),"")</f>
        <v>231</v>
      </c>
      <c r="G652" s="57">
        <f t="array" ref="G652">IFERROR(INDEX(Data!$F$2:$F$750,SMALL(Data!$S$2:$S$750,546)),"")</f>
        <v>231000</v>
      </c>
      <c r="H652" s="58">
        <f t="array" ref="H652">IFERROR(IF(INDEX(Data!$G$2:$G$750,SMALL(Data!$S$2:$S$750,546))=0,"",INDEX(Data!$G$2:$G$750,SMALL(Data!$S$2:$S$750,546))),"")</f>
        <v>46289</v>
      </c>
      <c r="I652" s="56">
        <f t="array" ref="I652">IFERROR(IF(INDEX(Data!$H$2:$H$750,SMALL(Data!$S$2:$S$750,546))=0,"",INDEX(Data!$H$2:$H$750,SMALL(Data!$S$2:$S$750,546))),"")</f>
        <v>18</v>
      </c>
      <c r="J652" s="58">
        <f t="array" ref="J652">IFERROR(INDEX(Data!$I$2:$I$750,SMALL(Data!$S$2:$S$750,546)),"")</f>
        <v>46415</v>
      </c>
      <c r="K652" s="56" t="str">
        <f t="array" ref="K652">IFERROR(INDEX(Data!$J$2:$J$750,SMALL(Data!$S$2:$S$750,546)),"")</f>
        <v>Not Paid</v>
      </c>
      <c r="L652" s="56" t="str">
        <f t="array" ref="L652">IFERROR(INDEX(Data!$K$2:$K$750,SMALL(Data!$S$2:$S$750,546)),"")</f>
        <v>Pending</v>
      </c>
      <c r="M652" s="48" t="s">
        <v>497</v>
      </c>
      <c r="N652" s="48">
        <f>SUMIFS(Data!D2:D750,Data!A2:A750,M652,Data!Q2:Q750,1)</f>
        <v>6</v>
      </c>
      <c r="O652" s="61">
        <f t="shared" si="1"/>
        <v>6.00000652</v>
      </c>
    </row>
    <row r="653" ht="15.75" customHeight="1">
      <c r="B653" s="53" t="str">
        <f t="array" ref="B653">IFERROR(INDEX(Data!$A$2:$A$750,SMALL(Data!$S$2:$S$750,547)),"")</f>
        <v>S02519 - 1707 - 57357 Hospital</v>
      </c>
      <c r="C653" s="53" t="str">
        <f t="array" ref="C653">IFERROR(IF(INDEX(Data!$B$2:$B$750,SMALL(Data!$S$2:$S$750,547))=0,"",INDEX(Data!$B$2:$B$750,SMALL(Data!$S$2:$S$750,547))),"")</f>
        <v>Avery Dennison/Dipole</v>
      </c>
      <c r="D653" s="53" t="str">
        <f t="array" ref="D653">IFERROR(INDEX(Data!$C$2:$C$750,SMALL(Data!$S$2:$S$750,547)),"")</f>
        <v>Paper tags (Dogbone) Blank</v>
      </c>
      <c r="E653" s="53">
        <f t="array" ref="E653">IFERROR(IF(INDEX(Data!$D$2:$D$750,SMALL(Data!$S$2:$S$750,547))=0,"",INDEX(Data!$D$2:$D$750,SMALL(Data!$S$2:$S$750,547))),"")</f>
        <v>2500</v>
      </c>
      <c r="F653" s="54">
        <f t="array" ref="F653">IFERROR(IF(INDEX(Data!$E$2:$E$750,SMALL(Data!$S$2:$S$750,547))=0,"",INDEX(Data!$E$2:$E$750,SMALL(Data!$S$2:$S$750,547))),"")</f>
        <v>25</v>
      </c>
      <c r="G653" s="54">
        <f t="array" ref="G653">IFERROR(INDEX(Data!$F$2:$F$750,SMALL(Data!$S$2:$S$750,547)),"")</f>
        <v>62500</v>
      </c>
      <c r="H653" s="55">
        <f t="array" ref="H653">IFERROR(IF(INDEX(Data!$G$2:$G$750,SMALL(Data!$S$2:$S$750,547))=0,"",INDEX(Data!$G$2:$G$750,SMALL(Data!$S$2:$S$750,547))),"")</f>
        <v>46290</v>
      </c>
      <c r="I653" s="53">
        <f t="array" ref="I653">IFERROR(IF(INDEX(Data!$H$2:$H$750,SMALL(Data!$S$2:$S$750,547))=0,"",INDEX(Data!$H$2:$H$750,SMALL(Data!$S$2:$S$750,547))),"")</f>
        <v>22</v>
      </c>
      <c r="J653" s="55">
        <f t="array" ref="J653">IFERROR(INDEX(Data!$I$2:$I$750,SMALL(Data!$S$2:$S$750,547)),"")</f>
        <v>46444</v>
      </c>
      <c r="K653" s="53" t="str">
        <f t="array" ref="K653">IFERROR(INDEX(Data!$J$2:$J$750,SMALL(Data!$S$2:$S$750,547)),"")</f>
        <v>Not Paid</v>
      </c>
      <c r="L653" s="53" t="str">
        <f t="array" ref="L653">IFERROR(INDEX(Data!$K$2:$K$750,SMALL(Data!$S$2:$S$750,547)),"")</f>
        <v>Pending</v>
      </c>
      <c r="M653" s="48" t="s">
        <v>498</v>
      </c>
      <c r="N653" s="48">
        <f>SUMIFS(Data!D2:D750,Data!A2:A750,M653,Data!Q2:Q750,1)</f>
        <v>1</v>
      </c>
      <c r="O653" s="61">
        <f t="shared" si="1"/>
        <v>1.00000653</v>
      </c>
    </row>
    <row r="654" ht="15.75" customHeight="1">
      <c r="B654" s="56" t="str">
        <f t="array" ref="B654">IFERROR(INDEX(Data!$A$2:$A$750,SMALL(Data!$S$2:$S$750,548)),"")</f>
        <v>S02519 - 1707 - 57357 Hospital</v>
      </c>
      <c r="C654" s="56" t="str">
        <f t="array" ref="C654">IFERROR(IF(INDEX(Data!$B$2:$B$750,SMALL(Data!$S$2:$S$750,548))=0,"",INDEX(Data!$B$2:$B$750,SMALL(Data!$S$2:$S$750,548))),"")</f>
        <v>Metalcraft</v>
      </c>
      <c r="D654" s="56" t="str">
        <f t="array" ref="D654">IFERROR(INDEX(Data!$C$2:$C$750,SMALL(Data!$S$2:$S$750,548)),"")</f>
        <v>Destructive Windshield Tags</v>
      </c>
      <c r="E654" s="56">
        <f t="array" ref="E654">IFERROR(IF(INDEX(Data!$D$2:$D$750,SMALL(Data!$S$2:$S$750,548))=0,"",INDEX(Data!$D$2:$D$750,SMALL(Data!$S$2:$S$750,548))),"")</f>
        <v>50</v>
      </c>
      <c r="F654" s="57">
        <f t="array" ref="F654">IFERROR(IF(INDEX(Data!$E$2:$E$750,SMALL(Data!$S$2:$S$750,548))=0,"",INDEX(Data!$E$2:$E$750,SMALL(Data!$S$2:$S$750,548))),"")</f>
        <v>245</v>
      </c>
      <c r="G654" s="57">
        <f t="array" ref="G654">IFERROR(INDEX(Data!$F$2:$F$750,SMALL(Data!$S$2:$S$750,548)),"")</f>
        <v>12250</v>
      </c>
      <c r="H654" s="58">
        <f t="array" ref="H654">IFERROR(IF(INDEX(Data!$G$2:$G$750,SMALL(Data!$S$2:$S$750,548))=0,"",INDEX(Data!$G$2:$G$750,SMALL(Data!$S$2:$S$750,548))),"")</f>
        <v>46291</v>
      </c>
      <c r="I654" s="56">
        <f t="array" ref="I654">IFERROR(IF(INDEX(Data!$H$2:$H$750,SMALL(Data!$S$2:$S$750,548))=0,"",INDEX(Data!$H$2:$H$750,SMALL(Data!$S$2:$S$750,548))),"")</f>
        <v>21</v>
      </c>
      <c r="J654" s="58">
        <f t="array" ref="J654">IFERROR(INDEX(Data!$I$2:$I$750,SMALL(Data!$S$2:$S$750,548)),"")</f>
        <v>46438</v>
      </c>
      <c r="K654" s="56" t="str">
        <f t="array" ref="K654">IFERROR(INDEX(Data!$J$2:$J$750,SMALL(Data!$S$2:$S$750,548)),"")</f>
        <v>Not Paid</v>
      </c>
      <c r="L654" s="56" t="str">
        <f t="array" ref="L654">IFERROR(INDEX(Data!$K$2:$K$750,SMALL(Data!$S$2:$S$750,548)),"")</f>
        <v>Pending</v>
      </c>
      <c r="M654" s="48" t="s">
        <v>500</v>
      </c>
      <c r="N654" s="48">
        <f>SUMIFS(Data!D2:D750,Data!A2:A750,M654,Data!Q2:Q750,1)</f>
        <v>1</v>
      </c>
      <c r="O654" s="61">
        <f t="shared" si="1"/>
        <v>1.00000654</v>
      </c>
    </row>
    <row r="655" ht="15.75" customHeight="1">
      <c r="B655" s="53" t="str">
        <f t="array" ref="B655">IFERROR(INDEX(Data!$A$2:$A$750,SMALL(Data!$S$2:$S$750,549)),"")</f>
        <v>S02519 - 1707 - 57357 Hospital</v>
      </c>
      <c r="C655" s="53" t="str">
        <f t="array" ref="C655">IFERROR(IF(INDEX(Data!$B$2:$B$750,SMALL(Data!$S$2:$S$750,549))=0,"",INDEX(Data!$B$2:$B$750,SMALL(Data!$S$2:$S$750,549))),"")</f>
        <v>Rich</v>
      </c>
      <c r="D655" s="53" t="str">
        <f t="array" ref="D655">IFERROR(INDEX(Data!$C$2:$C$750,SMALL(Data!$S$2:$S$750,549)),"")</f>
        <v>Laundry Tag</v>
      </c>
      <c r="E655" s="53">
        <f t="array" ref="E655">IFERROR(IF(INDEX(Data!$D$2:$D$750,SMALL(Data!$S$2:$S$750,549))=0,"",INDEX(Data!$D$2:$D$750,SMALL(Data!$S$2:$S$750,549))),"")</f>
        <v>100</v>
      </c>
      <c r="F655" s="54">
        <f t="array" ref="F655">IFERROR(IF(INDEX(Data!$E$2:$E$750,SMALL(Data!$S$2:$S$750,549))=0,"",INDEX(Data!$E$2:$E$750,SMALL(Data!$S$2:$S$750,549))),"")</f>
        <v>2555</v>
      </c>
      <c r="G655" s="54">
        <f t="array" ref="G655">IFERROR(INDEX(Data!$F$2:$F$750,SMALL(Data!$S$2:$S$750,549)),"")</f>
        <v>255500</v>
      </c>
      <c r="H655" s="55">
        <f t="array" ref="H655">IFERROR(IF(INDEX(Data!$G$2:$G$750,SMALL(Data!$S$2:$S$750,549))=0,"",INDEX(Data!$G$2:$G$750,SMALL(Data!$S$2:$S$750,549))),"")</f>
        <v>46292</v>
      </c>
      <c r="I655" s="53">
        <f t="array" ref="I655">IFERROR(IF(INDEX(Data!$H$2:$H$750,SMALL(Data!$S$2:$S$750,549))=0,"",INDEX(Data!$H$2:$H$750,SMALL(Data!$S$2:$S$750,549))),"")</f>
        <v>20</v>
      </c>
      <c r="J655" s="55">
        <f t="array" ref="J655">IFERROR(INDEX(Data!$I$2:$I$750,SMALL(Data!$S$2:$S$750,549)),"")</f>
        <v>46432</v>
      </c>
      <c r="K655" s="53" t="str">
        <f t="array" ref="K655">IFERROR(INDEX(Data!$J$2:$J$750,SMALL(Data!$S$2:$S$750,549)),"")</f>
        <v>Not Paid</v>
      </c>
      <c r="L655" s="53" t="str">
        <f t="array" ref="L655">IFERROR(INDEX(Data!$K$2:$K$750,SMALL(Data!$S$2:$S$750,549)),"")</f>
        <v>Pending</v>
      </c>
      <c r="M655" s="48" t="s">
        <v>502</v>
      </c>
      <c r="N655" s="48">
        <f>SUMIFS(Data!D2:D750,Data!A2:A750,M655,Data!Q2:Q750,1)</f>
        <v>7836</v>
      </c>
      <c r="O655" s="61">
        <f t="shared" si="1"/>
        <v>7836.000007</v>
      </c>
    </row>
    <row r="656" ht="15.75" customHeight="1">
      <c r="B656" s="56" t="str">
        <f t="array" ref="B656">IFERROR(INDEX(Data!$A$2:$A$750,SMALL(Data!$S$2:$S$750,550)),"")</f>
        <v>S02607 - 1189 - Hassan Allam Properties (HAPtown)</v>
      </c>
      <c r="C656" s="56" t="str">
        <f t="array" ref="C656">IFERROR(IF(INDEX(Data!$B$2:$B$750,SMALL(Data!$S$2:$S$750,550))=0,"",INDEX(Data!$B$2:$B$750,SMALL(Data!$S$2:$S$750,550))),"")</f>
        <v>ATID</v>
      </c>
      <c r="D656" s="56" t="str">
        <f t="array" ref="D656">IFERROR(INDEX(Data!$C$2:$C$750,SMALL(Data!$S$2:$S$750,550)),"")</f>
        <v>ATID RFID Handheld - AT909</v>
      </c>
      <c r="E656" s="56">
        <f t="array" ref="E656">IFERROR(IF(INDEX(Data!$D$2:$D$750,SMALL(Data!$S$2:$S$750,550))=0,"",INDEX(Data!$D$2:$D$750,SMALL(Data!$S$2:$S$750,550))),"")</f>
        <v>2</v>
      </c>
      <c r="F656" s="57">
        <f t="array" ref="F656">IFERROR(IF(INDEX(Data!$E$2:$E$750,SMALL(Data!$S$2:$S$750,550))=0,"",INDEX(Data!$E$2:$E$750,SMALL(Data!$S$2:$S$750,550))),"")</f>
        <v>255</v>
      </c>
      <c r="G656" s="57">
        <f t="array" ref="G656">IFERROR(INDEX(Data!$F$2:$F$750,SMALL(Data!$S$2:$S$750,550)),"")</f>
        <v>510</v>
      </c>
      <c r="H656" s="58">
        <f t="array" ref="H656">IFERROR(IF(INDEX(Data!$G$2:$G$750,SMALL(Data!$S$2:$S$750,550))=0,"",INDEX(Data!$G$2:$G$750,SMALL(Data!$S$2:$S$750,550))),"")</f>
        <v>46293</v>
      </c>
      <c r="I656" s="56">
        <f t="array" ref="I656">IFERROR(IF(INDEX(Data!$H$2:$H$750,SMALL(Data!$S$2:$S$750,550))=0,"",INDEX(Data!$H$2:$H$750,SMALL(Data!$S$2:$S$750,550))),"")</f>
        <v>18</v>
      </c>
      <c r="J656" s="58">
        <f t="array" ref="J656">IFERROR(INDEX(Data!$I$2:$I$750,SMALL(Data!$S$2:$S$750,550)),"")</f>
        <v>46419</v>
      </c>
      <c r="K656" s="56" t="str">
        <f t="array" ref="K656">IFERROR(INDEX(Data!$J$2:$J$750,SMALL(Data!$S$2:$S$750,550)),"")</f>
        <v>Not Paid</v>
      </c>
      <c r="L656" s="56" t="str">
        <f t="array" ref="L656">IFERROR(INDEX(Data!$K$2:$K$750,SMALL(Data!$S$2:$S$750,550)),"")</f>
        <v>Pending</v>
      </c>
      <c r="M656" s="48" t="s">
        <v>505</v>
      </c>
      <c r="N656" s="48">
        <f>SUMIFS(Data!D2:D750,Data!A2:A750,M656,Data!Q2:Q750,1)</f>
        <v>2</v>
      </c>
      <c r="O656" s="61">
        <f t="shared" si="1"/>
        <v>2.00000656</v>
      </c>
    </row>
    <row r="657" ht="15.75" customHeight="1">
      <c r="B657" s="53" t="str">
        <f t="array" ref="B657">IFERROR(INDEX(Data!$A$2:$A$750,SMALL(Data!$S$2:$S$750,551)),"")</f>
        <v>S02607 - 1189 - Hassan Allam Properties (HAPtown)</v>
      </c>
      <c r="C657" s="53" t="str">
        <f t="array" ref="C657">IFERROR(IF(INDEX(Data!$B$2:$B$750,SMALL(Data!$S$2:$S$750,551))=0,"",INDEX(Data!$B$2:$B$750,SMALL(Data!$S$2:$S$750,551))),"")</f>
        <v>Avery Dennison/Dipole</v>
      </c>
      <c r="D657" s="53" t="str">
        <f t="array" ref="D657">IFERROR(INDEX(Data!$C$2:$C$750,SMALL(Data!$S$2:$S$750,551)),"")</f>
        <v>Paper tags Dogbone Printed</v>
      </c>
      <c r="E657" s="53">
        <f t="array" ref="E657">IFERROR(IF(INDEX(Data!$D$2:$D$750,SMALL(Data!$S$2:$S$750,551))=0,"",INDEX(Data!$D$2:$D$750,SMALL(Data!$S$2:$S$750,551))),"")</f>
        <v>7000</v>
      </c>
      <c r="F657" s="54">
        <f t="array" ref="F657">IFERROR(IF(INDEX(Data!$E$2:$E$750,SMALL(Data!$S$2:$S$750,551))=0,"",INDEX(Data!$E$2:$E$750,SMALL(Data!$S$2:$S$750,551))),"")</f>
        <v>45</v>
      </c>
      <c r="G657" s="54">
        <f t="array" ref="G657">IFERROR(INDEX(Data!$F$2:$F$750,SMALL(Data!$S$2:$S$750,551)),"")</f>
        <v>315000</v>
      </c>
      <c r="H657" s="55">
        <f t="array" ref="H657">IFERROR(IF(INDEX(Data!$G$2:$G$750,SMALL(Data!$S$2:$S$750,551))=0,"",INDEX(Data!$G$2:$G$750,SMALL(Data!$S$2:$S$750,551))),"")</f>
        <v>46294</v>
      </c>
      <c r="I657" s="53">
        <f t="array" ref="I657">IFERROR(IF(INDEX(Data!$H$2:$H$750,SMALL(Data!$S$2:$S$750,551))=0,"",INDEX(Data!$H$2:$H$750,SMALL(Data!$S$2:$S$750,551))),"")</f>
        <v>19</v>
      </c>
      <c r="J657" s="55">
        <f t="array" ref="J657">IFERROR(INDEX(Data!$I$2:$I$750,SMALL(Data!$S$2:$S$750,551)),"")</f>
        <v>46427</v>
      </c>
      <c r="K657" s="53" t="str">
        <f t="array" ref="K657">IFERROR(INDEX(Data!$J$2:$J$750,SMALL(Data!$S$2:$S$750,551)),"")</f>
        <v>Not Paid</v>
      </c>
      <c r="L657" s="53" t="str">
        <f t="array" ref="L657">IFERROR(INDEX(Data!$K$2:$K$750,SMALL(Data!$S$2:$S$750,551)),"")</f>
        <v>Pending</v>
      </c>
      <c r="M657" s="48" t="s">
        <v>507</v>
      </c>
      <c r="N657" s="48">
        <f>SUMIFS(Data!D2:D750,Data!A2:A750,M657,Data!Q2:Q750,1)</f>
        <v>5002</v>
      </c>
      <c r="O657" s="61">
        <f t="shared" si="1"/>
        <v>5002.000007</v>
      </c>
    </row>
    <row r="658" ht="15.75" customHeight="1">
      <c r="B658" s="56" t="str">
        <f t="array" ref="B658">IFERROR(INDEX(Data!$A$2:$A$750,SMALL(Data!$S$2:$S$750,552)),"")</f>
        <v>S02607 - 1189 - Hassan Allam Properties (HAPtown)</v>
      </c>
      <c r="C658" s="56" t="str">
        <f t="array" ref="C658">IFERROR(IF(INDEX(Data!$B$2:$B$750,SMALL(Data!$S$2:$S$750,552))=0,"",INDEX(Data!$B$2:$B$750,SMALL(Data!$S$2:$S$750,552))),"")</f>
        <v>Metalcraft</v>
      </c>
      <c r="D658" s="56" t="str">
        <f t="array" ref="D658">IFERROR(INDEX(Data!$C$2:$C$750,SMALL(Data!$S$2:$S$750,552)),"")</f>
        <v>EU-Universal Tags (On Metal Tags)</v>
      </c>
      <c r="E658" s="56">
        <f t="array" ref="E658">IFERROR(IF(INDEX(Data!$D$2:$D$750,SMALL(Data!$S$2:$S$750,552))=0,"",INDEX(Data!$D$2:$D$750,SMALL(Data!$S$2:$S$750,552))),"")</f>
        <v>3000</v>
      </c>
      <c r="F658" s="57">
        <f t="array" ref="F658">IFERROR(IF(INDEX(Data!$E$2:$E$750,SMALL(Data!$S$2:$S$750,552))=0,"",INDEX(Data!$E$2:$E$750,SMALL(Data!$S$2:$S$750,552))),"")</f>
        <v>36</v>
      </c>
      <c r="G658" s="57">
        <f t="array" ref="G658">IFERROR(INDEX(Data!$F$2:$F$750,SMALL(Data!$S$2:$S$750,552)),"")</f>
        <v>108000</v>
      </c>
      <c r="H658" s="58">
        <f t="array" ref="H658">IFERROR(IF(INDEX(Data!$G$2:$G$750,SMALL(Data!$S$2:$S$750,552))=0,"",INDEX(Data!$G$2:$G$750,SMALL(Data!$S$2:$S$750,552))),"")</f>
        <v>46295</v>
      </c>
      <c r="I658" s="56">
        <f t="array" ref="I658">IFERROR(IF(INDEX(Data!$H$2:$H$750,SMALL(Data!$S$2:$S$750,552))=0,"",INDEX(Data!$H$2:$H$750,SMALL(Data!$S$2:$S$750,552))),"")</f>
        <v>5</v>
      </c>
      <c r="J658" s="58">
        <f t="array" ref="J658">IFERROR(INDEX(Data!$I$2:$I$750,SMALL(Data!$S$2:$S$750,552)),"")</f>
        <v>46330</v>
      </c>
      <c r="K658" s="56" t="str">
        <f t="array" ref="K658">IFERROR(INDEX(Data!$J$2:$J$750,SMALL(Data!$S$2:$S$750,552)),"")</f>
        <v>Not Paid</v>
      </c>
      <c r="L658" s="56" t="str">
        <f t="array" ref="L658">IFERROR(INDEX(Data!$K$2:$K$750,SMALL(Data!$S$2:$S$750,552)),"")</f>
        <v>Pending</v>
      </c>
      <c r="M658" s="48" t="s">
        <v>510</v>
      </c>
      <c r="N658" s="48">
        <f>SUMIFS(Data!D2:D750,Data!A2:A750,M658,Data!Q2:Q750,1)</f>
        <v>1</v>
      </c>
      <c r="O658" s="61">
        <f t="shared" si="1"/>
        <v>1.00000658</v>
      </c>
    </row>
    <row r="659" ht="15.75" customHeight="1">
      <c r="B659" s="53" t="str">
        <f t="array" ref="B659">IFERROR(INDEX(Data!$A$2:$A$750,SMALL(Data!$S$2:$S$750,553)),"")</f>
        <v>S02485 - 1979-Mazarine</v>
      </c>
      <c r="C659" s="53" t="str">
        <f t="array" ref="C659">IFERROR(IF(INDEX(Data!$B$2:$B$750,SMALL(Data!$S$2:$S$750,553))=0,"",INDEX(Data!$B$2:$B$750,SMALL(Data!$S$2:$S$750,553))),"")</f>
        <v>Koodle</v>
      </c>
      <c r="D659" s="53" t="str">
        <f t="array" ref="D659">IFERROR(INDEX(Data!$C$2:$C$750,SMALL(Data!$S$2:$S$750,553)),"")</f>
        <v> MET QR Code Scanner</v>
      </c>
      <c r="E659" s="53">
        <f t="array" ref="E659">IFERROR(IF(INDEX(Data!$D$2:$D$750,SMALL(Data!$S$2:$S$750,553))=0,"",INDEX(Data!$D$2:$D$750,SMALL(Data!$S$2:$S$750,553))),"")</f>
        <v>22</v>
      </c>
      <c r="F659" s="54">
        <f t="array" ref="F659">IFERROR(IF(INDEX(Data!$E$2:$E$750,SMALL(Data!$S$2:$S$750,553))=0,"",INDEX(Data!$E$2:$E$750,SMALL(Data!$S$2:$S$750,553))),"")</f>
        <v>96</v>
      </c>
      <c r="G659" s="54">
        <f t="array" ref="G659">IFERROR(INDEX(Data!$F$2:$F$750,SMALL(Data!$S$2:$S$750,553)),"")</f>
        <v>2112</v>
      </c>
      <c r="H659" s="55">
        <f t="array" ref="H659">IFERROR(IF(INDEX(Data!$G$2:$G$750,SMALL(Data!$S$2:$S$750,553))=0,"",INDEX(Data!$G$2:$G$750,SMALL(Data!$S$2:$S$750,553))),"")</f>
        <v>46296</v>
      </c>
      <c r="I659" s="53">
        <f t="array" ref="I659">IFERROR(IF(INDEX(Data!$H$2:$H$750,SMALL(Data!$S$2:$S$750,553))=0,"",INDEX(Data!$H$2:$H$750,SMALL(Data!$S$2:$S$750,553))),"")</f>
        <v>4</v>
      </c>
      <c r="J659" s="55">
        <f t="array" ref="J659">IFERROR(INDEX(Data!$I$2:$I$750,SMALL(Data!$S$2:$S$750,553)),"")</f>
        <v>46324</v>
      </c>
      <c r="K659" s="53" t="str">
        <f t="array" ref="K659">IFERROR(INDEX(Data!$J$2:$J$750,SMALL(Data!$S$2:$S$750,553)),"")</f>
        <v>Not Paid</v>
      </c>
      <c r="L659" s="53" t="str">
        <f t="array" ref="L659">IFERROR(INDEX(Data!$K$2:$K$750,SMALL(Data!$S$2:$S$750,553)),"")</f>
        <v>Pending</v>
      </c>
      <c r="M659" s="48" t="s">
        <v>512</v>
      </c>
      <c r="N659" s="48">
        <f>SUMIFS(Data!D2:D750,Data!A2:A750,M659,Data!Q2:Q750,1)</f>
        <v>302</v>
      </c>
      <c r="O659" s="61">
        <f t="shared" si="1"/>
        <v>302.0000066</v>
      </c>
    </row>
    <row r="660" ht="15.75" customHeight="1">
      <c r="B660" s="56" t="str">
        <f t="array" ref="B660">IFERROR(INDEX(Data!$A$2:$A$750,SMALL(Data!$S$2:$S$750,554)),"")</f>
        <v>S02485 - 1979-Mazarine</v>
      </c>
      <c r="C660" s="56" t="str">
        <f t="array" ref="C660">IFERROR(IF(INDEX(Data!$B$2:$B$750,SMALL(Data!$S$2:$S$750,554))=0,"",INDEX(Data!$B$2:$B$750,SMALL(Data!$S$2:$S$750,554))),"")</f>
        <v>FAAC</v>
      </c>
      <c r="D660" s="56" t="str">
        <f t="array" ref="D660">IFERROR(INDEX(Data!$C$2:$C$750,SMALL(Data!$S$2:$S$750,554)),"")</f>
        <v>FAAC Barrier B680- 5 Meters</v>
      </c>
      <c r="E660" s="56">
        <f t="array" ref="E660">IFERROR(IF(INDEX(Data!$D$2:$D$750,SMALL(Data!$S$2:$S$750,554))=0,"",INDEX(Data!$D$2:$D$750,SMALL(Data!$S$2:$S$750,554))),"")</f>
        <v>22</v>
      </c>
      <c r="F660" s="57">
        <f t="array" ref="F660">IFERROR(IF(INDEX(Data!$E$2:$E$750,SMALL(Data!$S$2:$S$750,554))=0,"",INDEX(Data!$E$2:$E$750,SMALL(Data!$S$2:$S$750,554))),"")</f>
        <v>8</v>
      </c>
      <c r="G660" s="57">
        <f t="array" ref="G660">IFERROR(INDEX(Data!$F$2:$F$750,SMALL(Data!$S$2:$S$750,554)),"")</f>
        <v>176</v>
      </c>
      <c r="H660" s="58">
        <f t="array" ref="H660">IFERROR(IF(INDEX(Data!$G$2:$G$750,SMALL(Data!$S$2:$S$750,554))=0,"",INDEX(Data!$G$2:$G$750,SMALL(Data!$S$2:$S$750,554))),"")</f>
        <v>46297</v>
      </c>
      <c r="I660" s="56">
        <f t="array" ref="I660">IFERROR(IF(INDEX(Data!$H$2:$H$750,SMALL(Data!$S$2:$S$750,554))=0,"",INDEX(Data!$H$2:$H$750,SMALL(Data!$S$2:$S$750,554))),"")</f>
        <v>6</v>
      </c>
      <c r="J660" s="58">
        <f t="array" ref="J660">IFERROR(INDEX(Data!$I$2:$I$750,SMALL(Data!$S$2:$S$750,554)),"")</f>
        <v>46339</v>
      </c>
      <c r="K660" s="56" t="str">
        <f t="array" ref="K660">IFERROR(INDEX(Data!$J$2:$J$750,SMALL(Data!$S$2:$S$750,554)),"")</f>
        <v>Not Paid</v>
      </c>
      <c r="L660" s="56" t="str">
        <f t="array" ref="L660">IFERROR(INDEX(Data!$K$2:$K$750,SMALL(Data!$S$2:$S$750,554)),"")</f>
        <v>Pending</v>
      </c>
      <c r="M660" s="48" t="s">
        <v>514</v>
      </c>
      <c r="N660" s="48">
        <f>SUMIFS(Data!D2:D750,Data!A2:A750,M660,Data!Q2:Q750,1)</f>
        <v>3673</v>
      </c>
      <c r="O660" s="61">
        <f t="shared" si="1"/>
        <v>3673.000007</v>
      </c>
    </row>
    <row r="661" ht="15.75" customHeight="1">
      <c r="B661" s="53" t="str">
        <f t="array" ref="B661">IFERROR(INDEX(Data!$A$2:$A$750,SMALL(Data!$S$2:$S$750,555)),"")</f>
        <v>S02485 - 1979-Mazarine</v>
      </c>
      <c r="C661" s="53" t="str">
        <f t="array" ref="C661">IFERROR(IF(INDEX(Data!$B$2:$B$750,SMALL(Data!$S$2:$S$750,555))=0,"",INDEX(Data!$B$2:$B$750,SMALL(Data!$S$2:$S$750,555))),"")</f>
        <v>FAAC</v>
      </c>
      <c r="D661" s="53" t="str">
        <f t="array" ref="D661">IFERROR(INDEX(Data!$C$2:$C$750,SMALL(Data!$S$2:$S$750,555)),"")</f>
        <v>FAAC Photocell</v>
      </c>
      <c r="E661" s="53">
        <f t="array" ref="E661">IFERROR(IF(INDEX(Data!$D$2:$D$750,SMALL(Data!$S$2:$S$750,555))=0,"",INDEX(Data!$D$2:$D$750,SMALL(Data!$S$2:$S$750,555))),"")</f>
        <v>22</v>
      </c>
      <c r="F661" s="54">
        <f t="array" ref="F661">IFERROR(IF(INDEX(Data!$E$2:$E$750,SMALL(Data!$S$2:$S$750,555))=0,"",INDEX(Data!$E$2:$E$750,SMALL(Data!$S$2:$S$750,555))),"")</f>
        <v>5</v>
      </c>
      <c r="G661" s="54">
        <f t="array" ref="G661">IFERROR(INDEX(Data!$F$2:$F$750,SMALL(Data!$S$2:$S$750,555)),"")</f>
        <v>110</v>
      </c>
      <c r="H661" s="55">
        <f t="array" ref="H661">IFERROR(IF(INDEX(Data!$G$2:$G$750,SMALL(Data!$S$2:$S$750,555))=0,"",INDEX(Data!$G$2:$G$750,SMALL(Data!$S$2:$S$750,555))),"")</f>
        <v>46298</v>
      </c>
      <c r="I661" s="53">
        <f t="array" ref="I661">IFERROR(IF(INDEX(Data!$H$2:$H$750,SMALL(Data!$S$2:$S$750,555))=0,"",INDEX(Data!$H$2:$H$750,SMALL(Data!$S$2:$S$750,555))),"")</f>
        <v>5</v>
      </c>
      <c r="J661" s="55">
        <f t="array" ref="J661">IFERROR(INDEX(Data!$I$2:$I$750,SMALL(Data!$S$2:$S$750,555)),"")</f>
        <v>46333</v>
      </c>
      <c r="K661" s="53" t="str">
        <f t="array" ref="K661">IFERROR(INDEX(Data!$J$2:$J$750,SMALL(Data!$S$2:$S$750,555)),"")</f>
        <v>Not Paid</v>
      </c>
      <c r="L661" s="53" t="str">
        <f t="array" ref="L661">IFERROR(INDEX(Data!$K$2:$K$750,SMALL(Data!$S$2:$S$750,555)),"")</f>
        <v>Pending</v>
      </c>
      <c r="M661" s="48" t="s">
        <v>516</v>
      </c>
      <c r="N661" s="48">
        <f>SUMIFS(Data!D2:D750,Data!A2:A750,M661,Data!Q2:Q750,1)</f>
        <v>10002</v>
      </c>
      <c r="O661" s="61">
        <f t="shared" si="1"/>
        <v>10002.00001</v>
      </c>
    </row>
    <row r="662" ht="15.75" customHeight="1">
      <c r="B662" s="56" t="str">
        <f t="array" ref="B662">IFERROR(INDEX(Data!$A$2:$A$750,SMALL(Data!$S$2:$S$750,556)),"")</f>
        <v>S02651 - 0430 - Marina</v>
      </c>
      <c r="C662" s="56" t="str">
        <f t="array" ref="C662">IFERROR(IF(INDEX(Data!$B$2:$B$750,SMALL(Data!$S$2:$S$750,556))=0,"",INDEX(Data!$B$2:$B$750,SMALL(Data!$S$2:$S$750,556))),"")</f>
        <v/>
      </c>
      <c r="D662" s="56" t="str">
        <f t="array" ref="D662">IFERROR(INDEX(Data!$C$2:$C$750,SMALL(Data!$S$2:$S$750,556)),"")</f>
        <v>Control board for Magnetic Toll</v>
      </c>
      <c r="E662" s="56">
        <f t="array" ref="E662">IFERROR(IF(INDEX(Data!$D$2:$D$750,SMALL(Data!$S$2:$S$750,556))=0,"",INDEX(Data!$D$2:$D$750,SMALL(Data!$S$2:$S$750,556))),"")</f>
        <v>2</v>
      </c>
      <c r="F662" s="57">
        <f t="array" ref="F662">IFERROR(IF(INDEX(Data!$E$2:$E$750,SMALL(Data!$S$2:$S$750,556))=0,"",INDEX(Data!$E$2:$E$750,SMALL(Data!$S$2:$S$750,556))),"")</f>
        <v>4</v>
      </c>
      <c r="G662" s="57">
        <f t="array" ref="G662">IFERROR(INDEX(Data!$F$2:$F$750,SMALL(Data!$S$2:$S$750,556)),"")</f>
        <v>8</v>
      </c>
      <c r="H662" s="58">
        <f t="array" ref="H662">IFERROR(IF(INDEX(Data!$G$2:$G$750,SMALL(Data!$S$2:$S$750,556))=0,"",INDEX(Data!$G$2:$G$750,SMALL(Data!$S$2:$S$750,556))),"")</f>
        <v>46299</v>
      </c>
      <c r="I662" s="56">
        <f t="array" ref="I662">IFERROR(IF(INDEX(Data!$H$2:$H$750,SMALL(Data!$S$2:$S$750,556))=0,"",INDEX(Data!$H$2:$H$750,SMALL(Data!$S$2:$S$750,556))),"")</f>
        <v>2</v>
      </c>
      <c r="J662" s="58">
        <f t="array" ref="J662">IFERROR(INDEX(Data!$I$2:$I$750,SMALL(Data!$S$2:$S$750,556)),"")</f>
        <v>46313</v>
      </c>
      <c r="K662" s="56" t="str">
        <f t="array" ref="K662">IFERROR(INDEX(Data!$J$2:$J$750,SMALL(Data!$S$2:$S$750,556)),"")</f>
        <v>Not Paid</v>
      </c>
      <c r="L662" s="56" t="str">
        <f t="array" ref="L662">IFERROR(INDEX(Data!$K$2:$K$750,SMALL(Data!$S$2:$S$750,556)),"")</f>
        <v>Pending</v>
      </c>
      <c r="M662" s="48" t="s">
        <v>517</v>
      </c>
      <c r="N662" s="48">
        <f>SUMIFS(Data!D2:D750,Data!A2:A750,M662,Data!Q2:Q750,1)</f>
        <v>66</v>
      </c>
      <c r="O662" s="61">
        <f t="shared" si="1"/>
        <v>66.00000662</v>
      </c>
    </row>
    <row r="663" ht="15.75" customHeight="1">
      <c r="B663" s="53" t="str">
        <f t="array" ref="B663">IFERROR(INDEX(Data!$A$2:$A$750,SMALL(Data!$S$2:$S$750,557)),"")</f>
        <v>S02651 - 0430 - Marina</v>
      </c>
      <c r="C663" s="53" t="str">
        <f t="array" ref="C663">IFERROR(IF(INDEX(Data!$B$2:$B$750,SMALL(Data!$S$2:$S$750,557))=0,"",INDEX(Data!$B$2:$B$750,SMALL(Data!$S$2:$S$750,557))),"")</f>
        <v/>
      </c>
      <c r="D663" s="53" t="str">
        <f t="array" ref="D663">IFERROR(INDEX(Data!$C$2:$C$750,SMALL(Data!$S$2:$S$750,557)),"")</f>
        <v>power supply for magnetic toll</v>
      </c>
      <c r="E663" s="53">
        <f t="array" ref="E663">IFERROR(IF(INDEX(Data!$D$2:$D$750,SMALL(Data!$S$2:$S$750,557))=0,"",INDEX(Data!$D$2:$D$750,SMALL(Data!$S$2:$S$750,557))),"")</f>
        <v>2</v>
      </c>
      <c r="F663" s="54">
        <f t="array" ref="F663">IFERROR(IF(INDEX(Data!$E$2:$E$750,SMALL(Data!$S$2:$S$750,557))=0,"",INDEX(Data!$E$2:$E$750,SMALL(Data!$S$2:$S$750,557))),"")</f>
        <v>2</v>
      </c>
      <c r="G663" s="54">
        <f t="array" ref="G663">IFERROR(INDEX(Data!$F$2:$F$750,SMALL(Data!$S$2:$S$750,557)),"")</f>
        <v>4</v>
      </c>
      <c r="H663" s="55">
        <f t="array" ref="H663">IFERROR(IF(INDEX(Data!$G$2:$G$750,SMALL(Data!$S$2:$S$750,557))=0,"",INDEX(Data!$G$2:$G$750,SMALL(Data!$S$2:$S$750,557))),"")</f>
        <v>46300</v>
      </c>
      <c r="I663" s="53">
        <f t="array" ref="I663">IFERROR(IF(INDEX(Data!$H$2:$H$750,SMALL(Data!$S$2:$S$750,557))=0,"",INDEX(Data!$H$2:$H$750,SMALL(Data!$S$2:$S$750,557))),"")</f>
        <v>5</v>
      </c>
      <c r="J663" s="55">
        <f t="array" ref="J663">IFERROR(INDEX(Data!$I$2:$I$750,SMALL(Data!$S$2:$S$750,557)),"")</f>
        <v>46335</v>
      </c>
      <c r="K663" s="53" t="str">
        <f t="array" ref="K663">IFERROR(INDEX(Data!$J$2:$J$750,SMALL(Data!$S$2:$S$750,557)),"")</f>
        <v>Not Paid</v>
      </c>
      <c r="L663" s="53" t="str">
        <f t="array" ref="L663">IFERROR(INDEX(Data!$K$2:$K$750,SMALL(Data!$S$2:$S$750,557)),"")</f>
        <v>Pending</v>
      </c>
      <c r="M663" s="48" t="s">
        <v>519</v>
      </c>
      <c r="N663" s="48">
        <f>SUMIFS(Data!D2:D750,Data!A2:A750,M663,Data!Q2:Q750,1)</f>
        <v>6</v>
      </c>
      <c r="O663" s="61">
        <f t="shared" si="1"/>
        <v>6.00000663</v>
      </c>
    </row>
    <row r="664" ht="15.75" customHeight="1">
      <c r="B664" s="56" t="str">
        <f t="array" ref="B664">IFERROR(INDEX(Data!$A$2:$A$750,SMALL(Data!$S$2:$S$750,558)),"")</f>
        <v>S02651 - 0430 - Marina</v>
      </c>
      <c r="C664" s="56" t="str">
        <f t="array" ref="C664">IFERROR(IF(INDEX(Data!$B$2:$B$750,SMALL(Data!$S$2:$S$750,558))=0,"",INDEX(Data!$B$2:$B$750,SMALL(Data!$S$2:$S$750,558))),"")</f>
        <v>Koodle</v>
      </c>
      <c r="D664" s="56" t="str">
        <f t="array" ref="D664">IFERROR(INDEX(Data!$C$2:$C$750,SMALL(Data!$S$2:$S$750,558)),"")</f>
        <v>MET QR Code Scanner</v>
      </c>
      <c r="E664" s="56">
        <f t="array" ref="E664">IFERROR(IF(INDEX(Data!$D$2:$D$750,SMALL(Data!$S$2:$S$750,558))=0,"",INDEX(Data!$D$2:$D$750,SMALL(Data!$S$2:$S$750,558))),"")</f>
        <v>2</v>
      </c>
      <c r="F664" s="57">
        <f t="array" ref="F664">IFERROR(IF(INDEX(Data!$E$2:$E$750,SMALL(Data!$S$2:$S$750,558))=0,"",INDEX(Data!$E$2:$E$750,SMALL(Data!$S$2:$S$750,558))),"")</f>
        <v>36</v>
      </c>
      <c r="G664" s="57">
        <f t="array" ref="G664">IFERROR(INDEX(Data!$F$2:$F$750,SMALL(Data!$S$2:$S$750,558)),"")</f>
        <v>72</v>
      </c>
      <c r="H664" s="58">
        <f t="array" ref="H664">IFERROR(IF(INDEX(Data!$G$2:$G$750,SMALL(Data!$S$2:$S$750,558))=0,"",INDEX(Data!$G$2:$G$750,SMALL(Data!$S$2:$S$750,558))),"")</f>
        <v>46301</v>
      </c>
      <c r="I664" s="56">
        <f t="array" ref="I664">IFERROR(IF(INDEX(Data!$H$2:$H$750,SMALL(Data!$S$2:$S$750,558))=0,"",INDEX(Data!$H$2:$H$750,SMALL(Data!$S$2:$S$750,558))),"")</f>
        <v>2</v>
      </c>
      <c r="J664" s="58">
        <f t="array" ref="J664">IFERROR(INDEX(Data!$I$2:$I$750,SMALL(Data!$S$2:$S$750,558)),"")</f>
        <v>46315</v>
      </c>
      <c r="K664" s="56" t="str">
        <f t="array" ref="K664">IFERROR(INDEX(Data!$J$2:$J$750,SMALL(Data!$S$2:$S$750,558)),"")</f>
        <v>Not Paid</v>
      </c>
      <c r="L664" s="56" t="str">
        <f t="array" ref="L664">IFERROR(INDEX(Data!$K$2:$K$750,SMALL(Data!$S$2:$S$750,558)),"")</f>
        <v>Pending</v>
      </c>
      <c r="M664" s="48" t="s">
        <v>521</v>
      </c>
      <c r="N664" s="48">
        <f>SUMIFS(Data!D2:D750,Data!A2:A750,M664,Data!Q2:Q750,1)</f>
        <v>10006</v>
      </c>
      <c r="O664" s="61">
        <f t="shared" si="1"/>
        <v>10006.00001</v>
      </c>
    </row>
    <row r="665" ht="15.75" customHeight="1">
      <c r="B665" s="53" t="str">
        <f t="array" ref="B665">IFERROR(INDEX(Data!$A$2:$A$750,SMALL(Data!$S$2:$S$750,559)),"")</f>
        <v>S02622 - 1888-El Abd</v>
      </c>
      <c r="C665" s="53" t="str">
        <f t="array" ref="C665">IFERROR(IF(INDEX(Data!$B$2:$B$750,SMALL(Data!$S$2:$S$750,559))=0,"",INDEX(Data!$B$2:$B$750,SMALL(Data!$S$2:$S$750,559))),"")</f>
        <v>FEIG</v>
      </c>
      <c r="D665" s="53" t="str">
        <f t="array" ref="D665">IFERROR(INDEX(Data!$C$2:$C$750,SMALL(Data!$S$2:$S$750,559)),"")</f>
        <v>LRU4000 UHF with 3 antennas Kit</v>
      </c>
      <c r="E665" s="53">
        <f t="array" ref="E665">IFERROR(IF(INDEX(Data!$D$2:$D$750,SMALL(Data!$S$2:$S$750,559))=0,"",INDEX(Data!$D$2:$D$750,SMALL(Data!$S$2:$S$750,559))),"")</f>
        <v>1</v>
      </c>
      <c r="F665" s="54">
        <f t="array" ref="F665">IFERROR(IF(INDEX(Data!$E$2:$E$750,SMALL(Data!$S$2:$S$750,559))=0,"",INDEX(Data!$E$2:$E$750,SMALL(Data!$S$2:$S$750,559))),"")</f>
        <v>2</v>
      </c>
      <c r="G665" s="54">
        <f t="array" ref="G665">IFERROR(INDEX(Data!$F$2:$F$750,SMALL(Data!$S$2:$S$750,559)),"")</f>
        <v>2</v>
      </c>
      <c r="H665" s="55">
        <f t="array" ref="H665">IFERROR(IF(INDEX(Data!$G$2:$G$750,SMALL(Data!$S$2:$S$750,559))=0,"",INDEX(Data!$G$2:$G$750,SMALL(Data!$S$2:$S$750,559))),"")</f>
        <v>46302</v>
      </c>
      <c r="I665" s="53">
        <f t="array" ref="I665">IFERROR(IF(INDEX(Data!$H$2:$H$750,SMALL(Data!$S$2:$S$750,559))=0,"",INDEX(Data!$H$2:$H$750,SMALL(Data!$S$2:$S$750,559))),"")</f>
        <v>4</v>
      </c>
      <c r="J665" s="55">
        <f t="array" ref="J665">IFERROR(INDEX(Data!$I$2:$I$750,SMALL(Data!$S$2:$S$750,559)),"")</f>
        <v>46330</v>
      </c>
      <c r="K665" s="53" t="str">
        <f t="array" ref="K665">IFERROR(INDEX(Data!$J$2:$J$750,SMALL(Data!$S$2:$S$750,559)),"")</f>
        <v>Not Paid</v>
      </c>
      <c r="L665" s="53" t="str">
        <f t="array" ref="L665">IFERROR(INDEX(Data!$K$2:$K$750,SMALL(Data!$S$2:$S$750,559)),"")</f>
        <v>Pending</v>
      </c>
      <c r="M665" s="48" t="s">
        <v>524</v>
      </c>
      <c r="N665" s="48">
        <f>SUMIFS(Data!D2:D750,Data!A2:A750,M665,Data!Q2:Q750,1)</f>
        <v>500</v>
      </c>
      <c r="O665" s="61">
        <f t="shared" si="1"/>
        <v>500.0000067</v>
      </c>
    </row>
    <row r="666" ht="15.75" customHeight="1">
      <c r="B666" s="56" t="str">
        <f t="array" ref="B666">IFERROR(INDEX(Data!$A$2:$A$750,SMALL(Data!$S$2:$S$750,560)),"")</f>
        <v>S02622 - 1888-El Abd</v>
      </c>
      <c r="C666" s="56" t="str">
        <f t="array" ref="C666">IFERROR(IF(INDEX(Data!$B$2:$B$750,SMALL(Data!$S$2:$S$750,560))=0,"",INDEX(Data!$B$2:$B$750,SMALL(Data!$S$2:$S$750,560))),"")</f>
        <v>Avery Dennison/Dipole</v>
      </c>
      <c r="D666" s="56" t="str">
        <f t="array" ref="D666">IFERROR(INDEX(Data!$C$2:$C$750,SMALL(Data!$S$2:$S$750,560)),"")</f>
        <v>Paper tags Dogbone Printed</v>
      </c>
      <c r="E666" s="56">
        <f t="array" ref="E666">IFERROR(IF(INDEX(Data!$D$2:$D$750,SMALL(Data!$S$2:$S$750,560))=0,"",INDEX(Data!$D$2:$D$750,SMALL(Data!$S$2:$S$750,560))),"")</f>
        <v>5000</v>
      </c>
      <c r="F666" s="57">
        <f t="array" ref="F666">IFERROR(IF(INDEX(Data!$E$2:$E$750,SMALL(Data!$S$2:$S$750,560))=0,"",INDEX(Data!$E$2:$E$750,SMALL(Data!$S$2:$S$750,560))),"")</f>
        <v>5</v>
      </c>
      <c r="G666" s="57">
        <f t="array" ref="G666">IFERROR(INDEX(Data!$F$2:$F$750,SMALL(Data!$S$2:$S$750,560)),"")</f>
        <v>25000</v>
      </c>
      <c r="H666" s="58">
        <f t="array" ref="H666">IFERROR(IF(INDEX(Data!$G$2:$G$750,SMALL(Data!$S$2:$S$750,560))=0,"",INDEX(Data!$G$2:$G$750,SMALL(Data!$S$2:$S$750,560))),"")</f>
        <v>46303</v>
      </c>
      <c r="I666" s="56">
        <f t="array" ref="I666">IFERROR(IF(INDEX(Data!$H$2:$H$750,SMALL(Data!$S$2:$S$750,560))=0,"",INDEX(Data!$H$2:$H$750,SMALL(Data!$S$2:$S$750,560))),"")</f>
        <v>3</v>
      </c>
      <c r="J666" s="58">
        <f t="array" ref="J666">IFERROR(INDEX(Data!$I$2:$I$750,SMALL(Data!$S$2:$S$750,560)),"")</f>
        <v>46324</v>
      </c>
      <c r="K666" s="56" t="str">
        <f t="array" ref="K666">IFERROR(INDEX(Data!$J$2:$J$750,SMALL(Data!$S$2:$S$750,560)),"")</f>
        <v>Not Paid</v>
      </c>
      <c r="L666" s="56" t="str">
        <f t="array" ref="L666">IFERROR(INDEX(Data!$K$2:$K$750,SMALL(Data!$S$2:$S$750,560)),"")</f>
        <v>Pending</v>
      </c>
      <c r="M666" s="48" t="s">
        <v>526</v>
      </c>
      <c r="N666" s="48">
        <f>SUMIFS(Data!D2:D750,Data!A2:A750,M666,Data!Q2:Q750,1)</f>
        <v>100</v>
      </c>
      <c r="O666" s="61">
        <f t="shared" si="1"/>
        <v>100.0000067</v>
      </c>
    </row>
    <row r="667" ht="15.75" customHeight="1">
      <c r="B667" s="53" t="str">
        <f t="array" ref="B667">IFERROR(INDEX(Data!$A$2:$A$750,SMALL(Data!$S$2:$S$750,561)),"")</f>
        <v>S02622 - 1888-El Abd</v>
      </c>
      <c r="C667" s="53" t="str">
        <f t="array" ref="C667">IFERROR(IF(INDEX(Data!$B$2:$B$750,SMALL(Data!$S$2:$S$750,561))=0,"",INDEX(Data!$B$2:$B$750,SMALL(Data!$S$2:$S$750,561))),"")</f>
        <v>Rich</v>
      </c>
      <c r="D667" s="53" t="str">
        <f t="array" ref="D667">IFERROR(INDEX(Data!$C$2:$C$750,SMALL(Data!$S$2:$S$750,561)),"")</f>
        <v>Rich tags (RCO7012) Printed</v>
      </c>
      <c r="E667" s="53">
        <f t="array" ref="E667">IFERROR(IF(INDEX(Data!$D$2:$D$750,SMALL(Data!$S$2:$S$750,561))=0,"",INDEX(Data!$D$2:$D$750,SMALL(Data!$S$2:$S$750,561))),"")</f>
        <v>3500</v>
      </c>
      <c r="F667" s="54">
        <f t="array" ref="F667">IFERROR(IF(INDEX(Data!$E$2:$E$750,SMALL(Data!$S$2:$S$750,561))=0,"",INDEX(Data!$E$2:$E$750,SMALL(Data!$S$2:$S$750,561))),"")</f>
        <v>6</v>
      </c>
      <c r="G667" s="54">
        <f t="array" ref="G667">IFERROR(INDEX(Data!$F$2:$F$750,SMALL(Data!$S$2:$S$750,561)),"")</f>
        <v>21000</v>
      </c>
      <c r="H667" s="55">
        <f t="array" ref="H667">IFERROR(IF(INDEX(Data!$G$2:$G$750,SMALL(Data!$S$2:$S$750,561))=0,"",INDEX(Data!$G$2:$G$750,SMALL(Data!$S$2:$S$750,561))),"")</f>
        <v>46304</v>
      </c>
      <c r="I667" s="53">
        <f t="array" ref="I667">IFERROR(IF(INDEX(Data!$H$2:$H$750,SMALL(Data!$S$2:$S$750,561))=0,"",INDEX(Data!$H$2:$H$750,SMALL(Data!$S$2:$S$750,561))),"")</f>
        <v>6</v>
      </c>
      <c r="J667" s="55">
        <f t="array" ref="J667">IFERROR(INDEX(Data!$I$2:$I$750,SMALL(Data!$S$2:$S$750,561)),"")</f>
        <v>46346</v>
      </c>
      <c r="K667" s="53" t="str">
        <f t="array" ref="K667">IFERROR(INDEX(Data!$J$2:$J$750,SMALL(Data!$S$2:$S$750,561)),"")</f>
        <v>Not Paid</v>
      </c>
      <c r="L667" s="53" t="str">
        <f t="array" ref="L667">IFERROR(INDEX(Data!$K$2:$K$750,SMALL(Data!$S$2:$S$750,561)),"")</f>
        <v>Pending</v>
      </c>
      <c r="M667" s="48" t="s">
        <v>529</v>
      </c>
      <c r="N667" s="48">
        <f>SUMIFS(Data!D2:D750,Data!A2:A750,M667,Data!Q2:Q750,1)</f>
        <v>1</v>
      </c>
      <c r="O667" s="61">
        <f t="shared" si="1"/>
        <v>1.00000667</v>
      </c>
    </row>
    <row r="668" ht="15.75" customHeight="1">
      <c r="B668" s="56" t="str">
        <f t="array" ref="B668">IFERROR(INDEX(Data!$A$2:$A$750,SMALL(Data!$S$2:$S$750,562)),"")</f>
        <v>S02622 - 1888-El Abd</v>
      </c>
      <c r="C668" s="56" t="str">
        <f t="array" ref="C668">IFERROR(IF(INDEX(Data!$B$2:$B$750,SMALL(Data!$S$2:$S$750,562))=0,"",INDEX(Data!$B$2:$B$750,SMALL(Data!$S$2:$S$750,562))),"")</f>
        <v/>
      </c>
      <c r="D668" s="56" t="str">
        <f t="array" ref="D668">IFERROR(INDEX(Data!$C$2:$C$750,SMALL(Data!$S$2:$S$750,562)),"")</f>
        <v>Devil 4015 UHF Hard Tag</v>
      </c>
      <c r="E668" s="56">
        <f t="array" ref="E668">IFERROR(IF(INDEX(Data!$D$2:$D$750,SMALL(Data!$S$2:$S$750,562))=0,"",INDEX(Data!$D$2:$D$750,SMALL(Data!$S$2:$S$750,562))),"")</f>
        <v>1500</v>
      </c>
      <c r="F668" s="57">
        <f t="array" ref="F668">IFERROR(IF(INDEX(Data!$E$2:$E$750,SMALL(Data!$S$2:$S$750,562))=0,"",INDEX(Data!$E$2:$E$750,SMALL(Data!$S$2:$S$750,562))),"")</f>
        <v>7</v>
      </c>
      <c r="G668" s="57">
        <f t="array" ref="G668">IFERROR(INDEX(Data!$F$2:$F$750,SMALL(Data!$S$2:$S$750,562)),"")</f>
        <v>10500</v>
      </c>
      <c r="H668" s="58">
        <f t="array" ref="H668">IFERROR(IF(INDEX(Data!$G$2:$G$750,SMALL(Data!$S$2:$S$750,562))=0,"",INDEX(Data!$G$2:$G$750,SMALL(Data!$S$2:$S$750,562))),"")</f>
        <v>46305</v>
      </c>
      <c r="I668" s="56">
        <f t="array" ref="I668">IFERROR(IF(INDEX(Data!$H$2:$H$750,SMALL(Data!$S$2:$S$750,562))=0,"",INDEX(Data!$H$2:$H$750,SMALL(Data!$S$2:$S$750,562))),"")</f>
        <v>22</v>
      </c>
      <c r="J668" s="58">
        <f t="array" ref="J668">IFERROR(INDEX(Data!$I$2:$I$750,SMALL(Data!$S$2:$S$750,562)),"")</f>
        <v>46459</v>
      </c>
      <c r="K668" s="56" t="str">
        <f t="array" ref="K668">IFERROR(INDEX(Data!$J$2:$J$750,SMALL(Data!$S$2:$S$750,562)),"")</f>
        <v>Not Paid</v>
      </c>
      <c r="L668" s="56" t="str">
        <f t="array" ref="L668">IFERROR(INDEX(Data!$K$2:$K$750,SMALL(Data!$S$2:$S$750,562)),"")</f>
        <v>Pending</v>
      </c>
    </row>
    <row r="669" ht="15.75" customHeight="1">
      <c r="B669" s="53" t="str">
        <f t="array" ref="B669">IFERROR(INDEX(Data!$A$2:$A$750,SMALL(Data!$S$2:$S$750,563)),"")</f>
        <v>S02622 - 1888-El Abd</v>
      </c>
      <c r="C669" s="53" t="str">
        <f t="array" ref="C669">IFERROR(IF(INDEX(Data!$B$2:$B$750,SMALL(Data!$S$2:$S$750,563))=0,"",INDEX(Data!$B$2:$B$750,SMALL(Data!$S$2:$S$750,563))),"")</f>
        <v>ATID</v>
      </c>
      <c r="D669" s="53" t="str">
        <f t="array" ref="D669">IFERROR(INDEX(Data!$C$2:$C$750,SMALL(Data!$S$2:$S$750,563)),"")</f>
        <v>ATID RFID Handheld - AT909</v>
      </c>
      <c r="E669" s="53">
        <f t="array" ref="E669">IFERROR(IF(INDEX(Data!$D$2:$D$750,SMALL(Data!$S$2:$S$750,563))=0,"",INDEX(Data!$D$2:$D$750,SMALL(Data!$S$2:$S$750,563))),"")</f>
        <v>5</v>
      </c>
      <c r="F669" s="54">
        <f t="array" ref="F669">IFERROR(IF(INDEX(Data!$E$2:$E$750,SMALL(Data!$S$2:$S$750,563))=0,"",INDEX(Data!$E$2:$E$750,SMALL(Data!$S$2:$S$750,563))),"")</f>
        <v>8</v>
      </c>
      <c r="G669" s="54">
        <f t="array" ref="G669">IFERROR(INDEX(Data!$F$2:$F$750,SMALL(Data!$S$2:$S$750,563)),"")</f>
        <v>40</v>
      </c>
      <c r="H669" s="55">
        <f t="array" ref="H669">IFERROR(IF(INDEX(Data!$G$2:$G$750,SMALL(Data!$S$2:$S$750,563))=0,"",INDEX(Data!$G$2:$G$750,SMALL(Data!$S$2:$S$750,563))),"")</f>
        <v>46306</v>
      </c>
      <c r="I669" s="53">
        <f t="array" ref="I669">IFERROR(IF(INDEX(Data!$H$2:$H$750,SMALL(Data!$S$2:$S$750,563))=0,"",INDEX(Data!$H$2:$H$750,SMALL(Data!$S$2:$S$750,563))),"")</f>
        <v>24</v>
      </c>
      <c r="J669" s="55">
        <f t="array" ref="J669">IFERROR(INDEX(Data!$I$2:$I$750,SMALL(Data!$S$2:$S$750,563)),"")</f>
        <v>46474</v>
      </c>
      <c r="K669" s="53" t="str">
        <f t="array" ref="K669">IFERROR(INDEX(Data!$J$2:$J$750,SMALL(Data!$S$2:$S$750,563)),"")</f>
        <v>Not Paid</v>
      </c>
      <c r="L669" s="53" t="str">
        <f t="array" ref="L669">IFERROR(INDEX(Data!$K$2:$K$750,SMALL(Data!$S$2:$S$750,563)),"")</f>
        <v>Pending</v>
      </c>
      <c r="M669" s="46" t="s">
        <v>697</v>
      </c>
    </row>
    <row r="670" ht="15.75" customHeight="1">
      <c r="B670" s="56" t="str">
        <f t="array" ref="B670">IFERROR(INDEX(Data!$A$2:$A$750,SMALL(Data!$S$2:$S$750,564)),"")</f>
        <v>1996-Hourof Company</v>
      </c>
      <c r="C670" s="56" t="str">
        <f t="array" ref="C670">IFERROR(IF(INDEX(Data!$B$2:$B$750,SMALL(Data!$S$2:$S$750,564))=0,"",INDEX(Data!$B$2:$B$750,SMALL(Data!$S$2:$S$750,564))),"")</f>
        <v>Rich</v>
      </c>
      <c r="D670" s="56" t="str">
        <f t="array" ref="D670">IFERROR(INDEX(Data!$C$2:$C$750,SMALL(Data!$S$2:$S$750,564)),"")</f>
        <v>Rich tags (RCO7012) Blank</v>
      </c>
      <c r="E670" s="56">
        <f t="array" ref="E670">IFERROR(IF(INDEX(Data!$D$2:$D$750,SMALL(Data!$S$2:$S$750,564))=0,"",INDEX(Data!$D$2:$D$750,SMALL(Data!$S$2:$S$750,564))),"")</f>
        <v>500</v>
      </c>
      <c r="F670" s="57">
        <f t="array" ref="F670">IFERROR(IF(INDEX(Data!$E$2:$E$750,SMALL(Data!$S$2:$S$750,564))=0,"",INDEX(Data!$E$2:$E$750,SMALL(Data!$S$2:$S$750,564))),"")</f>
        <v>2</v>
      </c>
      <c r="G670" s="57">
        <f t="array" ref="G670">IFERROR(INDEX(Data!$F$2:$F$750,SMALL(Data!$S$2:$S$750,564)),"")</f>
        <v>1000</v>
      </c>
      <c r="H670" s="58">
        <f t="array" ref="H670">IFERROR(IF(INDEX(Data!$G$2:$G$750,SMALL(Data!$S$2:$S$750,564))=0,"",INDEX(Data!$G$2:$G$750,SMALL(Data!$S$2:$S$750,564))),"")</f>
        <v>46307</v>
      </c>
      <c r="I670" s="56">
        <f t="array" ref="I670">IFERROR(IF(INDEX(Data!$H$2:$H$750,SMALL(Data!$S$2:$S$750,564))=0,"",INDEX(Data!$H$2:$H$750,SMALL(Data!$S$2:$S$750,564))),"")</f>
        <v>24</v>
      </c>
      <c r="J670" s="58">
        <f t="array" ref="J670">IFERROR(INDEX(Data!$I$2:$I$750,SMALL(Data!$S$2:$S$750,564)),"")</f>
        <v>46475</v>
      </c>
      <c r="K670" s="56" t="str">
        <f t="array" ref="K670">IFERROR(INDEX(Data!$J$2:$J$750,SMALL(Data!$S$2:$S$750,564)),"")</f>
        <v>Not Paid</v>
      </c>
      <c r="L670" s="56" t="str">
        <f t="array" ref="L670">IFERROR(INDEX(Data!$K$2:$K$750,SMALL(Data!$S$2:$S$750,564)),"")</f>
        <v>Pending</v>
      </c>
      <c r="M670" s="47" t="s">
        <v>682</v>
      </c>
      <c r="N670" s="47" t="s">
        <v>3</v>
      </c>
      <c r="O670" s="61" t="s">
        <v>698</v>
      </c>
    </row>
    <row r="671" ht="15.75" customHeight="1">
      <c r="B671" s="53" t="str">
        <f t="array" ref="B671">IFERROR(INDEX(Data!$A$2:$A$750,SMALL(Data!$S$2:$S$750,565)),"")</f>
        <v>S02661 - 1189 - Hassan Allam Properties (HQ)</v>
      </c>
      <c r="C671" s="53" t="str">
        <f t="array" ref="C671">IFERROR(IF(INDEX(Data!$B$2:$B$750,SMALL(Data!$S$2:$S$750,565))=0,"",INDEX(Data!$B$2:$B$750,SMALL(Data!$S$2:$S$750,565))),"")</f>
        <v/>
      </c>
      <c r="D671" s="53" t="str">
        <f t="array" ref="D671">IFERROR(INDEX(Data!$C$2:$C$750,SMALL(Data!$S$2:$S$750,565)),"")</f>
        <v>HF cards- printed</v>
      </c>
      <c r="E671" s="53">
        <f t="array" ref="E671">IFERROR(IF(INDEX(Data!$D$2:$D$750,SMALL(Data!$S$2:$S$750,565))=0,"",INDEX(Data!$D$2:$D$750,SMALL(Data!$S$2:$S$750,565))),"")</f>
        <v>100</v>
      </c>
      <c r="F671" s="54">
        <f t="array" ref="F671">IFERROR(IF(INDEX(Data!$E$2:$E$750,SMALL(Data!$S$2:$S$750,565))=0,"",INDEX(Data!$E$2:$E$750,SMALL(Data!$S$2:$S$750,565))),"")</f>
        <v>15</v>
      </c>
      <c r="G671" s="54">
        <f t="array" ref="G671">IFERROR(INDEX(Data!$F$2:$F$750,SMALL(Data!$S$2:$S$750,565)),"")</f>
        <v>1500</v>
      </c>
      <c r="H671" s="55">
        <f t="array" ref="H671">IFERROR(IF(INDEX(Data!$G$2:$G$750,SMALL(Data!$S$2:$S$750,565))=0,"",INDEX(Data!$G$2:$G$750,SMALL(Data!$S$2:$S$750,565))),"")</f>
        <v>46308</v>
      </c>
      <c r="I671" s="53">
        <f t="array" ref="I671">IFERROR(IF(INDEX(Data!$H$2:$H$750,SMALL(Data!$S$2:$S$750,565))=0,"",INDEX(Data!$H$2:$H$750,SMALL(Data!$S$2:$S$750,565))),"")</f>
        <v>23</v>
      </c>
      <c r="J671" s="55">
        <f t="array" ref="J671">IFERROR(INDEX(Data!$I$2:$I$750,SMALL(Data!$S$2:$S$750,565)),"")</f>
        <v>46469</v>
      </c>
      <c r="K671" s="53" t="str">
        <f t="array" ref="K671">IFERROR(INDEX(Data!$J$2:$J$750,SMALL(Data!$S$2:$S$750,565)),"")</f>
        <v>Not Paid</v>
      </c>
      <c r="L671" s="53" t="str">
        <f t="array" ref="L671">IFERROR(INDEX(Data!$K$2:$K$750,SMALL(Data!$S$2:$S$750,565)),"")</f>
        <v>Pending</v>
      </c>
      <c r="M671" s="48" t="str">
        <f t="array" ref="M671">IFERROR(INDEX($M$471:$M$667,MATCH(LARGE($O$471:$O$667,1),$O$471:$O$667,0)),"")</f>
        <v>Semiramis</v>
      </c>
      <c r="N671" s="48">
        <f t="array" ref="N671">IFERROR(INDEX($N$471:$N$667,MATCH(LARGE($O$471:$O$667,1),$O$471:$O$667,0)),"")</f>
        <v>146009</v>
      </c>
    </row>
    <row r="672" ht="15.75" customHeight="1">
      <c r="B672" s="56" t="str">
        <f t="array" ref="B672">IFERROR(INDEX(Data!$A$2:$A$750,SMALL(Data!$S$2:$S$750,566)),"")</f>
        <v>S02642 - 0030 - La Vista</v>
      </c>
      <c r="C672" s="56" t="str">
        <f t="array" ref="C672">IFERROR(IF(INDEX(Data!$B$2:$B$750,SMALL(Data!$S$2:$S$750,566))=0,"",INDEX(Data!$B$2:$B$750,SMALL(Data!$S$2:$S$750,566))),"")</f>
        <v>Cube</v>
      </c>
      <c r="D672" s="56" t="str">
        <f t="array" ref="D672">IFERROR(INDEX(Data!$C$2:$C$750,SMALL(Data!$S$2:$S$750,566)),"")</f>
        <v>Magnetic Access Pro Boom 6m</v>
      </c>
      <c r="E672" s="56">
        <f t="array" ref="E672">IFERROR(IF(INDEX(Data!$D$2:$D$750,SMALL(Data!$S$2:$S$750,566))=0,"",INDEX(Data!$D$2:$D$750,SMALL(Data!$S$2:$S$750,566))),"")</f>
        <v>1</v>
      </c>
      <c r="F672" s="57">
        <f t="array" ref="F672">IFERROR(IF(INDEX(Data!$E$2:$E$750,SMALL(Data!$S$2:$S$750,566))=0,"",INDEX(Data!$E$2:$E$750,SMALL(Data!$S$2:$S$750,566))),"")</f>
        <v>45</v>
      </c>
      <c r="G672" s="57">
        <f t="array" ref="G672">IFERROR(INDEX(Data!$F$2:$F$750,SMALL(Data!$S$2:$S$750,566)),"")</f>
        <v>45</v>
      </c>
      <c r="H672" s="58">
        <f t="array" ref="H672">IFERROR(IF(INDEX(Data!$G$2:$G$750,SMALL(Data!$S$2:$S$750,566))=0,"",INDEX(Data!$G$2:$G$750,SMALL(Data!$S$2:$S$750,566))),"")</f>
        <v>46309</v>
      </c>
      <c r="I672" s="56">
        <f t="array" ref="I672">IFERROR(IF(INDEX(Data!$H$2:$H$750,SMALL(Data!$S$2:$S$750,566))=0,"",INDEX(Data!$H$2:$H$750,SMALL(Data!$S$2:$S$750,566))),"")</f>
        <v>24</v>
      </c>
      <c r="J672" s="58">
        <f t="array" ref="J672">IFERROR(INDEX(Data!$I$2:$I$750,SMALL(Data!$S$2:$S$750,566)),"")</f>
        <v>46477</v>
      </c>
      <c r="K672" s="56" t="str">
        <f t="array" ref="K672">IFERROR(INDEX(Data!$J$2:$J$750,SMALL(Data!$S$2:$S$750,566)),"")</f>
        <v>Not Paid</v>
      </c>
      <c r="L672" s="56" t="str">
        <f t="array" ref="L672">IFERROR(INDEX(Data!$K$2:$K$750,SMALL(Data!$S$2:$S$750,566)),"")</f>
        <v>Pending</v>
      </c>
      <c r="M672" s="48" t="str">
        <f t="array" ref="M672">IFERROR(INDEX($M$471:$M$667,MATCH(LARGE($O$471:$O$667,2),$O$471:$O$667,0)),"")</f>
        <v>BANQUE DU CAIRE S.A.E</v>
      </c>
      <c r="N672" s="48">
        <f t="array" ref="N672">IFERROR(INDEX($N$471:$N$667,MATCH(LARGE($O$471:$O$667,2),$O$471:$O$667,0)),"")</f>
        <v>135717</v>
      </c>
    </row>
    <row r="673" ht="15.75" customHeight="1">
      <c r="B673" s="53" t="str">
        <f t="array" ref="B673">IFERROR(INDEX(Data!$A$2:$A$750,SMALL(Data!$S$2:$S$750,567)),"")</f>
        <v/>
      </c>
      <c r="C673" s="53" t="str">
        <f t="array" ref="C673">IFERROR(IF(INDEX(Data!$B$2:$B$750,SMALL(Data!$S$2:$S$750,567))=0,"",INDEX(Data!$B$2:$B$750,SMALL(Data!$S$2:$S$750,567))),"")</f>
        <v/>
      </c>
      <c r="D673" s="53" t="str">
        <f t="array" ref="D673">IFERROR(INDEX(Data!$C$2:$C$750,SMALL(Data!$S$2:$S$750,567)),"")</f>
        <v/>
      </c>
      <c r="E673" s="53" t="str">
        <f t="array" ref="E673">IFERROR(IF(INDEX(Data!$D$2:$D$750,SMALL(Data!$S$2:$S$750,567))=0,"",INDEX(Data!$D$2:$D$750,SMALL(Data!$S$2:$S$750,567))),"")</f>
        <v/>
      </c>
      <c r="F673" s="54" t="str">
        <f t="array" ref="F673">IFERROR(IF(INDEX(Data!$E$2:$E$750,SMALL(Data!$S$2:$S$750,567))=0,"",INDEX(Data!$E$2:$E$750,SMALL(Data!$S$2:$S$750,567))),"")</f>
        <v/>
      </c>
      <c r="G673" s="54" t="str">
        <f t="array" ref="G673">IFERROR(INDEX(Data!$F$2:$F$750,SMALL(Data!$S$2:$S$750,567)),"")</f>
        <v/>
      </c>
      <c r="H673" s="55" t="str">
        <f t="array" ref="H673">IFERROR(IF(INDEX(Data!$G$2:$G$750,SMALL(Data!$S$2:$S$750,567))=0,"",INDEX(Data!$G$2:$G$750,SMALL(Data!$S$2:$S$750,567))),"")</f>
        <v/>
      </c>
      <c r="I673" s="53" t="str">
        <f t="array" ref="I673">IFERROR(IF(INDEX(Data!$H$2:$H$750,SMALL(Data!$S$2:$S$750,567))=0,"",INDEX(Data!$H$2:$H$750,SMALL(Data!$S$2:$S$750,567))),"")</f>
        <v/>
      </c>
      <c r="J673" s="55" t="str">
        <f t="array" ref="J673">IFERROR(INDEX(Data!$I$2:$I$750,SMALL(Data!$S$2:$S$750,567)),"")</f>
        <v/>
      </c>
      <c r="K673" s="53" t="str">
        <f t="array" ref="K673">IFERROR(INDEX(Data!$J$2:$J$750,SMALL(Data!$S$2:$S$750,567)),"")</f>
        <v/>
      </c>
      <c r="L673" s="53" t="str">
        <f t="array" ref="L673">IFERROR(INDEX(Data!$K$2:$K$750,SMALL(Data!$S$2:$S$750,567)),"")</f>
        <v/>
      </c>
      <c r="M673" s="48" t="str">
        <f t="array" ref="M673">IFERROR(INDEX($M$471:$M$667,MATCH(LARGE($O$471:$O$667,3),$O$471:$O$667,0)),"")</f>
        <v>S02432 - 0800 - Cairo University</v>
      </c>
      <c r="N673" s="48">
        <f t="array" ref="N673">IFERROR(INDEX($N$471:$N$667,MATCH(LARGE($O$471:$O$667,3),$O$471:$O$667,0)),"")</f>
        <v>131026</v>
      </c>
    </row>
    <row r="674" ht="15.75" customHeight="1">
      <c r="B674" s="56" t="str">
        <f t="array" ref="B674">IFERROR(INDEX(Data!$A$2:$A$750,SMALL(Data!$S$2:$S$750,568)),"")</f>
        <v/>
      </c>
      <c r="C674" s="56" t="str">
        <f t="array" ref="C674">IFERROR(IF(INDEX(Data!$B$2:$B$750,SMALL(Data!$S$2:$S$750,568))=0,"",INDEX(Data!$B$2:$B$750,SMALL(Data!$S$2:$S$750,568))),"")</f>
        <v/>
      </c>
      <c r="D674" s="56" t="str">
        <f t="array" ref="D674">IFERROR(INDEX(Data!$C$2:$C$750,SMALL(Data!$S$2:$S$750,568)),"")</f>
        <v/>
      </c>
      <c r="E674" s="56" t="str">
        <f t="array" ref="E674">IFERROR(IF(INDEX(Data!$D$2:$D$750,SMALL(Data!$S$2:$S$750,568))=0,"",INDEX(Data!$D$2:$D$750,SMALL(Data!$S$2:$S$750,568))),"")</f>
        <v/>
      </c>
      <c r="F674" s="57" t="str">
        <f t="array" ref="F674">IFERROR(IF(INDEX(Data!$E$2:$E$750,SMALL(Data!$S$2:$S$750,568))=0,"",INDEX(Data!$E$2:$E$750,SMALL(Data!$S$2:$S$750,568))),"")</f>
        <v/>
      </c>
      <c r="G674" s="57" t="str">
        <f t="array" ref="G674">IFERROR(INDEX(Data!$F$2:$F$750,SMALL(Data!$S$2:$S$750,568)),"")</f>
        <v/>
      </c>
      <c r="H674" s="58" t="str">
        <f t="array" ref="H674">IFERROR(IF(INDEX(Data!$G$2:$G$750,SMALL(Data!$S$2:$S$750,568))=0,"",INDEX(Data!$G$2:$G$750,SMALL(Data!$S$2:$S$750,568))),"")</f>
        <v/>
      </c>
      <c r="I674" s="56" t="str">
        <f t="array" ref="I674">IFERROR(IF(INDEX(Data!$H$2:$H$750,SMALL(Data!$S$2:$S$750,568))=0,"",INDEX(Data!$H$2:$H$750,SMALL(Data!$S$2:$S$750,568))),"")</f>
        <v/>
      </c>
      <c r="J674" s="58" t="str">
        <f t="array" ref="J674">IFERROR(INDEX(Data!$I$2:$I$750,SMALL(Data!$S$2:$S$750,568)),"")</f>
        <v/>
      </c>
      <c r="K674" s="56" t="str">
        <f t="array" ref="K674">IFERROR(INDEX(Data!$J$2:$J$750,SMALL(Data!$S$2:$S$750,568)),"")</f>
        <v/>
      </c>
      <c r="L674" s="56" t="str">
        <f t="array" ref="L674">IFERROR(INDEX(Data!$K$2:$K$750,SMALL(Data!$S$2:$S$750,568)),"")</f>
        <v/>
      </c>
      <c r="M674" s="48" t="str">
        <f t="array" ref="M674">IFERROR(INDEX($M$471:$M$667,MATCH(LARGE($O$471:$O$667,4),$O$471:$O$667,0)),"")</f>
        <v>CACC(CARGOLINX)</v>
      </c>
      <c r="N674" s="48">
        <f t="array" ref="N674">IFERROR(INDEX($N$471:$N$667,MATCH(LARGE($O$471:$O$667,4),$O$471:$O$667,0)),"")</f>
        <v>60019</v>
      </c>
    </row>
    <row r="675" ht="15.75" customHeight="1">
      <c r="B675" s="53" t="str">
        <f t="array" ref="B675">IFERROR(INDEX(Data!$A$2:$A$750,SMALL(Data!$S$2:$S$750,569)),"")</f>
        <v/>
      </c>
      <c r="C675" s="53" t="str">
        <f t="array" ref="C675">IFERROR(IF(INDEX(Data!$B$2:$B$750,SMALL(Data!$S$2:$S$750,569))=0,"",INDEX(Data!$B$2:$B$750,SMALL(Data!$S$2:$S$750,569))),"")</f>
        <v/>
      </c>
      <c r="D675" s="53" t="str">
        <f t="array" ref="D675">IFERROR(INDEX(Data!$C$2:$C$750,SMALL(Data!$S$2:$S$750,569)),"")</f>
        <v/>
      </c>
      <c r="E675" s="53" t="str">
        <f t="array" ref="E675">IFERROR(IF(INDEX(Data!$D$2:$D$750,SMALL(Data!$S$2:$S$750,569))=0,"",INDEX(Data!$D$2:$D$750,SMALL(Data!$S$2:$S$750,569))),"")</f>
        <v/>
      </c>
      <c r="F675" s="54" t="str">
        <f t="array" ref="F675">IFERROR(IF(INDEX(Data!$E$2:$E$750,SMALL(Data!$S$2:$S$750,569))=0,"",INDEX(Data!$E$2:$E$750,SMALL(Data!$S$2:$S$750,569))),"")</f>
        <v/>
      </c>
      <c r="G675" s="54" t="str">
        <f t="array" ref="G675">IFERROR(INDEX(Data!$F$2:$F$750,SMALL(Data!$S$2:$S$750,569)),"")</f>
        <v/>
      </c>
      <c r="H675" s="55" t="str">
        <f t="array" ref="H675">IFERROR(IF(INDEX(Data!$G$2:$G$750,SMALL(Data!$S$2:$S$750,569))=0,"",INDEX(Data!$G$2:$G$750,SMALL(Data!$S$2:$S$750,569))),"")</f>
        <v/>
      </c>
      <c r="I675" s="53" t="str">
        <f t="array" ref="I675">IFERROR(IF(INDEX(Data!$H$2:$H$750,SMALL(Data!$S$2:$S$750,569))=0,"",INDEX(Data!$H$2:$H$750,SMALL(Data!$S$2:$S$750,569))),"")</f>
        <v/>
      </c>
      <c r="J675" s="55" t="str">
        <f t="array" ref="J675">IFERROR(INDEX(Data!$I$2:$I$750,SMALL(Data!$S$2:$S$750,569)),"")</f>
        <v/>
      </c>
      <c r="K675" s="53" t="str">
        <f t="array" ref="K675">IFERROR(INDEX(Data!$J$2:$J$750,SMALL(Data!$S$2:$S$750,569)),"")</f>
        <v/>
      </c>
      <c r="L675" s="53" t="str">
        <f t="array" ref="L675">IFERROR(INDEX(Data!$K$2:$K$750,SMALL(Data!$S$2:$S$750,569)),"")</f>
        <v/>
      </c>
      <c r="M675" s="48" t="str">
        <f t="array" ref="M675">IFERROR(INDEX($M$471:$M$667,MATCH(LARGE($O$471:$O$667,5),$O$471:$O$667,0)),"")</f>
        <v>Al Baraka Bank</v>
      </c>
      <c r="N675" s="48">
        <f t="array" ref="N675">IFERROR(INDEX($N$471:$N$667,MATCH(LARGE($O$471:$O$667,5),$O$471:$O$667,0)),"")</f>
        <v>60012</v>
      </c>
    </row>
    <row r="676" ht="15.75" customHeight="1">
      <c r="B676" s="56" t="str">
        <f t="array" ref="B676">IFERROR(INDEX(Data!$A$2:$A$750,SMALL(Data!$S$2:$S$750,570)),"")</f>
        <v/>
      </c>
      <c r="C676" s="56" t="str">
        <f t="array" ref="C676">IFERROR(IF(INDEX(Data!$B$2:$B$750,SMALL(Data!$S$2:$S$750,570))=0,"",INDEX(Data!$B$2:$B$750,SMALL(Data!$S$2:$S$750,570))),"")</f>
        <v/>
      </c>
      <c r="D676" s="56" t="str">
        <f t="array" ref="D676">IFERROR(INDEX(Data!$C$2:$C$750,SMALL(Data!$S$2:$S$750,570)),"")</f>
        <v/>
      </c>
      <c r="E676" s="56" t="str">
        <f t="array" ref="E676">IFERROR(IF(INDEX(Data!$D$2:$D$750,SMALL(Data!$S$2:$S$750,570))=0,"",INDEX(Data!$D$2:$D$750,SMALL(Data!$S$2:$S$750,570))),"")</f>
        <v/>
      </c>
      <c r="F676" s="57" t="str">
        <f t="array" ref="F676">IFERROR(IF(INDEX(Data!$E$2:$E$750,SMALL(Data!$S$2:$S$750,570))=0,"",INDEX(Data!$E$2:$E$750,SMALL(Data!$S$2:$S$750,570))),"")</f>
        <v/>
      </c>
      <c r="G676" s="57" t="str">
        <f t="array" ref="G676">IFERROR(INDEX(Data!$F$2:$F$750,SMALL(Data!$S$2:$S$750,570)),"")</f>
        <v/>
      </c>
      <c r="H676" s="58" t="str">
        <f t="array" ref="H676">IFERROR(IF(INDEX(Data!$G$2:$G$750,SMALL(Data!$S$2:$S$750,570))=0,"",INDEX(Data!$G$2:$G$750,SMALL(Data!$S$2:$S$750,570))),"")</f>
        <v/>
      </c>
      <c r="I676" s="56" t="str">
        <f t="array" ref="I676">IFERROR(IF(INDEX(Data!$H$2:$H$750,SMALL(Data!$S$2:$S$750,570))=0,"",INDEX(Data!$H$2:$H$750,SMALL(Data!$S$2:$S$750,570))),"")</f>
        <v/>
      </c>
      <c r="J676" s="58" t="str">
        <f t="array" ref="J676">IFERROR(INDEX(Data!$I$2:$I$750,SMALL(Data!$S$2:$S$750,570)),"")</f>
        <v/>
      </c>
      <c r="K676" s="56" t="str">
        <f t="array" ref="K676">IFERROR(INDEX(Data!$J$2:$J$750,SMALL(Data!$S$2:$S$750,570)),"")</f>
        <v/>
      </c>
      <c r="L676" s="56" t="str">
        <f t="array" ref="L676">IFERROR(INDEX(Data!$K$2:$K$750,SMALL(Data!$S$2:$S$750,570)),"")</f>
        <v/>
      </c>
      <c r="M676" s="48" t="str">
        <f t="array" ref="M676">IFERROR(INDEX($M$471:$M$667,MATCH(LARGE($O$471:$O$667,6),$O$471:$O$667,0)),"")</f>
        <v>DOIT</v>
      </c>
      <c r="N676" s="48">
        <f t="array" ref="N676">IFERROR(INDEX($N$471:$N$667,MATCH(LARGE($O$471:$O$667,6),$O$471:$O$667,0)),"")</f>
        <v>52004</v>
      </c>
    </row>
    <row r="677" ht="15.75" customHeight="1">
      <c r="B677" s="53" t="str">
        <f t="array" ref="B677">IFERROR(INDEX(Data!$A$2:$A$750,SMALL(Data!$S$2:$S$750,571)),"")</f>
        <v/>
      </c>
      <c r="C677" s="53" t="str">
        <f t="array" ref="C677">IFERROR(IF(INDEX(Data!$B$2:$B$750,SMALL(Data!$S$2:$S$750,571))=0,"",INDEX(Data!$B$2:$B$750,SMALL(Data!$S$2:$S$750,571))),"")</f>
        <v/>
      </c>
      <c r="D677" s="53" t="str">
        <f t="array" ref="D677">IFERROR(INDEX(Data!$C$2:$C$750,SMALL(Data!$S$2:$S$750,571)),"")</f>
        <v/>
      </c>
      <c r="E677" s="53" t="str">
        <f t="array" ref="E677">IFERROR(IF(INDEX(Data!$D$2:$D$750,SMALL(Data!$S$2:$S$750,571))=0,"",INDEX(Data!$D$2:$D$750,SMALL(Data!$S$2:$S$750,571))),"")</f>
        <v/>
      </c>
      <c r="F677" s="54" t="str">
        <f t="array" ref="F677">IFERROR(IF(INDEX(Data!$E$2:$E$750,SMALL(Data!$S$2:$S$750,571))=0,"",INDEX(Data!$E$2:$E$750,SMALL(Data!$S$2:$S$750,571))),"")</f>
        <v/>
      </c>
      <c r="G677" s="54" t="str">
        <f t="array" ref="G677">IFERROR(INDEX(Data!$F$2:$F$750,SMALL(Data!$S$2:$S$750,571)),"")</f>
        <v/>
      </c>
      <c r="H677" s="55" t="str">
        <f t="array" ref="H677">IFERROR(IF(INDEX(Data!$G$2:$G$750,SMALL(Data!$S$2:$S$750,571))=0,"",INDEX(Data!$G$2:$G$750,SMALL(Data!$S$2:$S$750,571))),"")</f>
        <v/>
      </c>
      <c r="I677" s="53" t="str">
        <f t="array" ref="I677">IFERROR(IF(INDEX(Data!$H$2:$H$750,SMALL(Data!$S$2:$S$750,571))=0,"",INDEX(Data!$H$2:$H$750,SMALL(Data!$S$2:$S$750,571))),"")</f>
        <v/>
      </c>
      <c r="J677" s="55" t="str">
        <f t="array" ref="J677">IFERROR(INDEX(Data!$I$2:$I$750,SMALL(Data!$S$2:$S$750,571)),"")</f>
        <v/>
      </c>
      <c r="K677" s="53" t="str">
        <f t="array" ref="K677">IFERROR(INDEX(Data!$J$2:$J$750,SMALL(Data!$S$2:$S$750,571)),"")</f>
        <v/>
      </c>
      <c r="L677" s="53" t="str">
        <f t="array" ref="L677">IFERROR(INDEX(Data!$K$2:$K$750,SMALL(Data!$S$2:$S$750,571)),"")</f>
        <v/>
      </c>
      <c r="M677" s="48" t="str">
        <f t="array" ref="M677">IFERROR(INDEX($M$471:$M$667,MATCH(LARGE($O$471:$O$667,7),$O$471:$O$667,0)),"")</f>
        <v>Doit</v>
      </c>
      <c r="N677" s="48">
        <f t="array" ref="N677">IFERROR(INDEX($N$471:$N$667,MATCH(LARGE($O$471:$O$667,7),$O$471:$O$667,0)),"")</f>
        <v>52004</v>
      </c>
    </row>
    <row r="678" ht="15.75" customHeight="1">
      <c r="B678" s="56" t="str">
        <f t="array" ref="B678">IFERROR(INDEX(Data!$A$2:$A$750,SMALL(Data!$S$2:$S$750,572)),"")</f>
        <v/>
      </c>
      <c r="C678" s="56" t="str">
        <f t="array" ref="C678">IFERROR(IF(INDEX(Data!$B$2:$B$750,SMALL(Data!$S$2:$S$750,572))=0,"",INDEX(Data!$B$2:$B$750,SMALL(Data!$S$2:$S$750,572))),"")</f>
        <v/>
      </c>
      <c r="D678" s="56" t="str">
        <f t="array" ref="D678">IFERROR(INDEX(Data!$C$2:$C$750,SMALL(Data!$S$2:$S$750,572)),"")</f>
        <v/>
      </c>
      <c r="E678" s="56" t="str">
        <f t="array" ref="E678">IFERROR(IF(INDEX(Data!$D$2:$D$750,SMALL(Data!$S$2:$S$750,572))=0,"",INDEX(Data!$D$2:$D$750,SMALL(Data!$S$2:$S$750,572))),"")</f>
        <v/>
      </c>
      <c r="F678" s="57" t="str">
        <f t="array" ref="F678">IFERROR(IF(INDEX(Data!$E$2:$E$750,SMALL(Data!$S$2:$S$750,572))=0,"",INDEX(Data!$E$2:$E$750,SMALL(Data!$S$2:$S$750,572))),"")</f>
        <v/>
      </c>
      <c r="G678" s="57" t="str">
        <f t="array" ref="G678">IFERROR(INDEX(Data!$F$2:$F$750,SMALL(Data!$S$2:$S$750,572)),"")</f>
        <v/>
      </c>
      <c r="H678" s="58" t="str">
        <f t="array" ref="H678">IFERROR(IF(INDEX(Data!$G$2:$G$750,SMALL(Data!$S$2:$S$750,572))=0,"",INDEX(Data!$G$2:$G$750,SMALL(Data!$S$2:$S$750,572))),"")</f>
        <v/>
      </c>
      <c r="I678" s="56" t="str">
        <f t="array" ref="I678">IFERROR(IF(INDEX(Data!$H$2:$H$750,SMALL(Data!$S$2:$S$750,572))=0,"",INDEX(Data!$H$2:$H$750,SMALL(Data!$S$2:$S$750,572))),"")</f>
        <v/>
      </c>
      <c r="J678" s="58" t="str">
        <f t="array" ref="J678">IFERROR(INDEX(Data!$I$2:$I$750,SMALL(Data!$S$2:$S$750,572)),"")</f>
        <v/>
      </c>
      <c r="K678" s="56" t="str">
        <f t="array" ref="K678">IFERROR(INDEX(Data!$J$2:$J$750,SMALL(Data!$S$2:$S$750,572)),"")</f>
        <v/>
      </c>
      <c r="L678" s="56" t="str">
        <f t="array" ref="L678">IFERROR(INDEX(Data!$K$2:$K$750,SMALL(Data!$S$2:$S$750,572)),"")</f>
        <v/>
      </c>
      <c r="M678" s="48" t="str">
        <f t="array" ref="M678">IFERROR(INDEX($M$471:$M$667,MATCH(LARGE($O$471:$O$667,8),$O$471:$O$667,0)),"")</f>
        <v>Alzad</v>
      </c>
      <c r="N678" s="48">
        <f t="array" ref="N678">IFERROR(INDEX($N$471:$N$667,MATCH(LARGE($O$471:$O$667,8),$O$471:$O$667,0)),"")</f>
        <v>50000</v>
      </c>
    </row>
    <row r="679" ht="15.75" customHeight="1">
      <c r="B679" s="53" t="str">
        <f t="array" ref="B679">IFERROR(INDEX(Data!$A$2:$A$750,SMALL(Data!$S$2:$S$750,573)),"")</f>
        <v/>
      </c>
      <c r="C679" s="53" t="str">
        <f t="array" ref="C679">IFERROR(IF(INDEX(Data!$B$2:$B$750,SMALL(Data!$S$2:$S$750,573))=0,"",INDEX(Data!$B$2:$B$750,SMALL(Data!$S$2:$S$750,573))),"")</f>
        <v/>
      </c>
      <c r="D679" s="53" t="str">
        <f t="array" ref="D679">IFERROR(INDEX(Data!$C$2:$C$750,SMALL(Data!$S$2:$S$750,573)),"")</f>
        <v/>
      </c>
      <c r="E679" s="53" t="str">
        <f t="array" ref="E679">IFERROR(IF(INDEX(Data!$D$2:$D$750,SMALL(Data!$S$2:$S$750,573))=0,"",INDEX(Data!$D$2:$D$750,SMALL(Data!$S$2:$S$750,573))),"")</f>
        <v/>
      </c>
      <c r="F679" s="54" t="str">
        <f t="array" ref="F679">IFERROR(IF(INDEX(Data!$E$2:$E$750,SMALL(Data!$S$2:$S$750,573))=0,"",INDEX(Data!$E$2:$E$750,SMALL(Data!$S$2:$S$750,573))),"")</f>
        <v/>
      </c>
      <c r="G679" s="54" t="str">
        <f t="array" ref="G679">IFERROR(INDEX(Data!$F$2:$F$750,SMALL(Data!$S$2:$S$750,573)),"")</f>
        <v/>
      </c>
      <c r="H679" s="55" t="str">
        <f t="array" ref="H679">IFERROR(IF(INDEX(Data!$G$2:$G$750,SMALL(Data!$S$2:$S$750,573))=0,"",INDEX(Data!$G$2:$G$750,SMALL(Data!$S$2:$S$750,573))),"")</f>
        <v/>
      </c>
      <c r="I679" s="53" t="str">
        <f t="array" ref="I679">IFERROR(IF(INDEX(Data!$H$2:$H$750,SMALL(Data!$S$2:$S$750,573))=0,"",INDEX(Data!$H$2:$H$750,SMALL(Data!$S$2:$S$750,573))),"")</f>
        <v/>
      </c>
      <c r="J679" s="55" t="str">
        <f t="array" ref="J679">IFERROR(INDEX(Data!$I$2:$I$750,SMALL(Data!$S$2:$S$750,573)),"")</f>
        <v/>
      </c>
      <c r="K679" s="53" t="str">
        <f t="array" ref="K679">IFERROR(INDEX(Data!$J$2:$J$750,SMALL(Data!$S$2:$S$750,573)),"")</f>
        <v/>
      </c>
      <c r="L679" s="53" t="str">
        <f t="array" ref="L679">IFERROR(INDEX(Data!$K$2:$K$750,SMALL(Data!$S$2:$S$750,573)),"")</f>
        <v/>
      </c>
      <c r="M679" s="48" t="str">
        <f t="array" ref="M679">IFERROR(INDEX($M$471:$M$667,MATCH(LARGE($O$471:$O$667,9),$O$471:$O$667,0)),"")</f>
        <v>TMG</v>
      </c>
      <c r="N679" s="48">
        <f t="array" ref="N679">IFERROR(INDEX($N$471:$N$667,MATCH(LARGE($O$471:$O$667,9),$O$471:$O$667,0)),"")</f>
        <v>49600</v>
      </c>
    </row>
    <row r="680" ht="15.75" customHeight="1">
      <c r="B680" s="56" t="str">
        <f t="array" ref="B680">IFERROR(INDEX(Data!$A$2:$A$750,SMALL(Data!$S$2:$S$750,574)),"")</f>
        <v/>
      </c>
      <c r="C680" s="56" t="str">
        <f t="array" ref="C680">IFERROR(IF(INDEX(Data!$B$2:$B$750,SMALL(Data!$S$2:$S$750,574))=0,"",INDEX(Data!$B$2:$B$750,SMALL(Data!$S$2:$S$750,574))),"")</f>
        <v/>
      </c>
      <c r="D680" s="56" t="str">
        <f t="array" ref="D680">IFERROR(INDEX(Data!$C$2:$C$750,SMALL(Data!$S$2:$S$750,574)),"")</f>
        <v/>
      </c>
      <c r="E680" s="56" t="str">
        <f t="array" ref="E680">IFERROR(IF(INDEX(Data!$D$2:$D$750,SMALL(Data!$S$2:$S$750,574))=0,"",INDEX(Data!$D$2:$D$750,SMALL(Data!$S$2:$S$750,574))),"")</f>
        <v/>
      </c>
      <c r="F680" s="57" t="str">
        <f t="array" ref="F680">IFERROR(IF(INDEX(Data!$E$2:$E$750,SMALL(Data!$S$2:$S$750,574))=0,"",INDEX(Data!$E$2:$E$750,SMALL(Data!$S$2:$S$750,574))),"")</f>
        <v/>
      </c>
      <c r="G680" s="57" t="str">
        <f t="array" ref="G680">IFERROR(INDEX(Data!$F$2:$F$750,SMALL(Data!$S$2:$S$750,574)),"")</f>
        <v/>
      </c>
      <c r="H680" s="58" t="str">
        <f t="array" ref="H680">IFERROR(IF(INDEX(Data!$G$2:$G$750,SMALL(Data!$S$2:$S$750,574))=0,"",INDEX(Data!$G$2:$G$750,SMALL(Data!$S$2:$S$750,574))),"")</f>
        <v/>
      </c>
      <c r="I680" s="56" t="str">
        <f t="array" ref="I680">IFERROR(IF(INDEX(Data!$H$2:$H$750,SMALL(Data!$S$2:$S$750,574))=0,"",INDEX(Data!$H$2:$H$750,SMALL(Data!$S$2:$S$750,574))),"")</f>
        <v/>
      </c>
      <c r="J680" s="58" t="str">
        <f t="array" ref="J680">IFERROR(INDEX(Data!$I$2:$I$750,SMALL(Data!$S$2:$S$750,574)),"")</f>
        <v/>
      </c>
      <c r="K680" s="56" t="str">
        <f t="array" ref="K680">IFERROR(INDEX(Data!$J$2:$J$750,SMALL(Data!$S$2:$S$750,574)),"")</f>
        <v/>
      </c>
      <c r="L680" s="56" t="str">
        <f t="array" ref="L680">IFERROR(INDEX(Data!$K$2:$K$750,SMALL(Data!$S$2:$S$750,574)),"")</f>
        <v/>
      </c>
      <c r="M680" s="48" t="str">
        <f t="array" ref="M680">IFERROR(INDEX($M$471:$M$667,MATCH(LARGE($O$471:$O$667,10),$O$471:$O$667,0)),"")</f>
        <v>EL KASR</v>
      </c>
      <c r="N680" s="48">
        <f t="array" ref="N680">IFERROR(INDEX($N$471:$N$667,MATCH(LARGE($O$471:$O$667,10),$O$471:$O$667,0)),"")</f>
        <v>45050</v>
      </c>
    </row>
    <row r="681" ht="15.75" customHeight="1">
      <c r="B681" s="53" t="str">
        <f t="array" ref="B681">IFERROR(INDEX(Data!$A$2:$A$750,SMALL(Data!$S$2:$S$750,575)),"")</f>
        <v/>
      </c>
      <c r="C681" s="53" t="str">
        <f t="array" ref="C681">IFERROR(IF(INDEX(Data!$B$2:$B$750,SMALL(Data!$S$2:$S$750,575))=0,"",INDEX(Data!$B$2:$B$750,SMALL(Data!$S$2:$S$750,575))),"")</f>
        <v/>
      </c>
      <c r="D681" s="53" t="str">
        <f t="array" ref="D681">IFERROR(INDEX(Data!$C$2:$C$750,SMALL(Data!$S$2:$S$750,575)),"")</f>
        <v/>
      </c>
      <c r="E681" s="53" t="str">
        <f t="array" ref="E681">IFERROR(IF(INDEX(Data!$D$2:$D$750,SMALL(Data!$S$2:$S$750,575))=0,"",INDEX(Data!$D$2:$D$750,SMALL(Data!$S$2:$S$750,575))),"")</f>
        <v/>
      </c>
      <c r="F681" s="54" t="str">
        <f t="array" ref="F681">IFERROR(IF(INDEX(Data!$E$2:$E$750,SMALL(Data!$S$2:$S$750,575))=0,"",INDEX(Data!$E$2:$E$750,SMALL(Data!$S$2:$S$750,575))),"")</f>
        <v/>
      </c>
      <c r="G681" s="54" t="str">
        <f t="array" ref="G681">IFERROR(INDEX(Data!$F$2:$F$750,SMALL(Data!$S$2:$S$750,575)),"")</f>
        <v/>
      </c>
      <c r="H681" s="55" t="str">
        <f t="array" ref="H681">IFERROR(IF(INDEX(Data!$G$2:$G$750,SMALL(Data!$S$2:$S$750,575))=0,"",INDEX(Data!$G$2:$G$750,SMALL(Data!$S$2:$S$750,575))),"")</f>
        <v/>
      </c>
      <c r="I681" s="53" t="str">
        <f t="array" ref="I681">IFERROR(IF(INDEX(Data!$H$2:$H$750,SMALL(Data!$S$2:$S$750,575))=0,"",INDEX(Data!$H$2:$H$750,SMALL(Data!$S$2:$S$750,575))),"")</f>
        <v/>
      </c>
      <c r="J681" s="55" t="str">
        <f t="array" ref="J681">IFERROR(INDEX(Data!$I$2:$I$750,SMALL(Data!$S$2:$S$750,575)),"")</f>
        <v/>
      </c>
      <c r="K681" s="53" t="str">
        <f t="array" ref="K681">IFERROR(INDEX(Data!$J$2:$J$750,SMALL(Data!$S$2:$S$750,575)),"")</f>
        <v/>
      </c>
      <c r="L681" s="53" t="str">
        <f t="array" ref="L681">IFERROR(INDEX(Data!$K$2:$K$750,SMALL(Data!$S$2:$S$750,575)),"")</f>
        <v/>
      </c>
    </row>
    <row r="682" ht="15.75" customHeight="1">
      <c r="B682" s="56" t="str">
        <f t="array" ref="B682">IFERROR(INDEX(Data!$A$2:$A$750,SMALL(Data!$S$2:$S$750,576)),"")</f>
        <v/>
      </c>
      <c r="C682" s="56" t="str">
        <f t="array" ref="C682">IFERROR(IF(INDEX(Data!$B$2:$B$750,SMALL(Data!$S$2:$S$750,576))=0,"",INDEX(Data!$B$2:$B$750,SMALL(Data!$S$2:$S$750,576))),"")</f>
        <v/>
      </c>
      <c r="D682" s="56" t="str">
        <f t="array" ref="D682">IFERROR(INDEX(Data!$C$2:$C$750,SMALL(Data!$S$2:$S$750,576)),"")</f>
        <v/>
      </c>
      <c r="E682" s="56" t="str">
        <f t="array" ref="E682">IFERROR(IF(INDEX(Data!$D$2:$D$750,SMALL(Data!$S$2:$S$750,576))=0,"",INDEX(Data!$D$2:$D$750,SMALL(Data!$S$2:$S$750,576))),"")</f>
        <v/>
      </c>
      <c r="F682" s="57" t="str">
        <f t="array" ref="F682">IFERROR(IF(INDEX(Data!$E$2:$E$750,SMALL(Data!$S$2:$S$750,576))=0,"",INDEX(Data!$E$2:$E$750,SMALL(Data!$S$2:$S$750,576))),"")</f>
        <v/>
      </c>
      <c r="G682" s="57" t="str">
        <f t="array" ref="G682">IFERROR(INDEX(Data!$F$2:$F$750,SMALL(Data!$S$2:$S$750,576)),"")</f>
        <v/>
      </c>
      <c r="H682" s="58" t="str">
        <f t="array" ref="H682">IFERROR(IF(INDEX(Data!$G$2:$G$750,SMALL(Data!$S$2:$S$750,576))=0,"",INDEX(Data!$G$2:$G$750,SMALL(Data!$S$2:$S$750,576))),"")</f>
        <v/>
      </c>
      <c r="I682" s="56" t="str">
        <f t="array" ref="I682">IFERROR(IF(INDEX(Data!$H$2:$H$750,SMALL(Data!$S$2:$S$750,576))=0,"",INDEX(Data!$H$2:$H$750,SMALL(Data!$S$2:$S$750,576))),"")</f>
        <v/>
      </c>
      <c r="J682" s="58" t="str">
        <f t="array" ref="J682">IFERROR(INDEX(Data!$I$2:$I$750,SMALL(Data!$S$2:$S$750,576)),"")</f>
        <v/>
      </c>
      <c r="K682" s="56" t="str">
        <f t="array" ref="K682">IFERROR(INDEX(Data!$J$2:$J$750,SMALL(Data!$S$2:$S$750,576)),"")</f>
        <v/>
      </c>
      <c r="L682" s="56" t="str">
        <f t="array" ref="L682">IFERROR(INDEX(Data!$K$2:$K$750,SMALL(Data!$S$2:$S$750,576)),"")</f>
        <v/>
      </c>
      <c r="M682" s="63" t="s">
        <v>699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K1"/>
    <mergeCell ref="B2:K2"/>
    <mergeCell ref="B4:C4"/>
    <mergeCell ref="D4:E4"/>
    <mergeCell ref="F4:G4"/>
    <mergeCell ref="H4:I4"/>
    <mergeCell ref="J4:K4"/>
    <mergeCell ref="B22:E22"/>
    <mergeCell ref="C61:F61"/>
    <mergeCell ref="H61:K61"/>
    <mergeCell ref="B84:K84"/>
    <mergeCell ref="B105:L105"/>
    <mergeCell ref="B5:C6"/>
    <mergeCell ref="D5:E6"/>
    <mergeCell ref="F5:G6"/>
    <mergeCell ref="H5:I6"/>
    <mergeCell ref="J5:K6"/>
    <mergeCell ref="B8:K8"/>
    <mergeCell ref="F22:K22"/>
  </mergeCells>
  <dataValidations>
    <dataValidation type="list" allowBlank="1" sqref="C17">
      <formula1>"All,Not Paid,Advance Payment,Fully Paid"</formula1>
    </dataValidation>
    <dataValidation type="list" allowBlank="1" sqref="C15">
      <formula1>Data!$V$2:$V$402</formula1>
    </dataValidation>
    <dataValidation type="list" allowBlank="1" sqref="C14">
      <formula1>Data!$U$2:$U$39</formula1>
    </dataValidation>
    <dataValidation type="list" allowBlank="1" sqref="C16">
      <formula1>"All,Pending,In Progress,Completed,Delayed"</formula1>
    </dataValidation>
    <dataValidation type="list" allowBlank="1" sqref="C13">
      <formula1>Data!$T$2:$T$199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2026-07-20T07:12:37Z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